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onholmes/projects/ChakanaChallenge/"/>
    </mc:Choice>
  </mc:AlternateContent>
  <xr:revisionPtr revIDLastSave="0" documentId="13_ncr:1_{6474B487-015D-1F48-9775-A46EE845F326}" xr6:coauthVersionLast="47" xr6:coauthVersionMax="47" xr10:uidLastSave="{00000000-0000-0000-0000-000000000000}"/>
  <bookViews>
    <workbookView xWindow="7720" yWindow="500" windowWidth="47420" windowHeight="30420" activeTab="1" xr2:uid="{50E1C641-7614-0542-B3D9-BEFC89310226}"/>
  </bookViews>
  <sheets>
    <sheet name="Hidden" sheetId="6" state="hidden" r:id="rId1"/>
    <sheet name="Stances" sheetId="1" r:id="rId2"/>
    <sheet name="Map" sheetId="10" state="hidden" r:id="rId3"/>
    <sheet name="Sheet2" sheetId="11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8" i="1" l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P237" i="1"/>
  <c r="N237" i="1"/>
  <c r="M237" i="1"/>
  <c r="L237" i="1"/>
  <c r="K237" i="1"/>
  <c r="J237" i="1"/>
  <c r="H237" i="1"/>
  <c r="P236" i="1"/>
  <c r="N236" i="1"/>
  <c r="M236" i="1"/>
  <c r="L236" i="1"/>
  <c r="K236" i="1"/>
  <c r="J236" i="1"/>
  <c r="H236" i="1"/>
  <c r="P235" i="1"/>
  <c r="N235" i="1"/>
  <c r="M235" i="1"/>
  <c r="L235" i="1"/>
  <c r="K235" i="1"/>
  <c r="J235" i="1"/>
  <c r="H235" i="1"/>
  <c r="P234" i="1"/>
  <c r="N234" i="1"/>
  <c r="M234" i="1"/>
  <c r="L234" i="1"/>
  <c r="K234" i="1"/>
  <c r="J234" i="1"/>
  <c r="H234" i="1"/>
  <c r="P233" i="1"/>
  <c r="N233" i="1"/>
  <c r="M233" i="1"/>
  <c r="L233" i="1"/>
  <c r="K233" i="1"/>
  <c r="J233" i="1"/>
  <c r="H233" i="1"/>
  <c r="P232" i="1"/>
  <c r="N232" i="1"/>
  <c r="M232" i="1"/>
  <c r="L232" i="1"/>
  <c r="K232" i="1"/>
  <c r="J232" i="1"/>
  <c r="H232" i="1"/>
  <c r="P231" i="1"/>
  <c r="N231" i="1"/>
  <c r="M231" i="1"/>
  <c r="L231" i="1"/>
  <c r="K231" i="1"/>
  <c r="J231" i="1"/>
  <c r="H231" i="1"/>
  <c r="P230" i="1"/>
  <c r="N230" i="1"/>
  <c r="M230" i="1"/>
  <c r="L230" i="1"/>
  <c r="K230" i="1"/>
  <c r="J230" i="1"/>
  <c r="H230" i="1"/>
  <c r="P229" i="1"/>
  <c r="N229" i="1"/>
  <c r="M229" i="1"/>
  <c r="L229" i="1"/>
  <c r="K229" i="1"/>
  <c r="J229" i="1"/>
  <c r="H229" i="1"/>
  <c r="P228" i="1"/>
  <c r="N228" i="1"/>
  <c r="M228" i="1"/>
  <c r="L228" i="1"/>
  <c r="K228" i="1"/>
  <c r="J228" i="1"/>
  <c r="H228" i="1"/>
  <c r="P227" i="1"/>
  <c r="N227" i="1"/>
  <c r="M227" i="1"/>
  <c r="L227" i="1"/>
  <c r="K227" i="1"/>
  <c r="J227" i="1"/>
  <c r="H227" i="1"/>
  <c r="P668" i="1"/>
  <c r="N668" i="1"/>
  <c r="M668" i="1"/>
  <c r="L668" i="1"/>
  <c r="K668" i="1"/>
  <c r="J668" i="1"/>
  <c r="H668" i="1"/>
  <c r="P667" i="1"/>
  <c r="N667" i="1"/>
  <c r="M667" i="1"/>
  <c r="L667" i="1"/>
  <c r="K667" i="1"/>
  <c r="J667" i="1"/>
  <c r="H667" i="1"/>
  <c r="P666" i="1"/>
  <c r="N666" i="1"/>
  <c r="M666" i="1"/>
  <c r="L666" i="1"/>
  <c r="K666" i="1"/>
  <c r="J666" i="1"/>
  <c r="H666" i="1"/>
  <c r="P665" i="1"/>
  <c r="N665" i="1"/>
  <c r="M665" i="1"/>
  <c r="L665" i="1"/>
  <c r="K665" i="1"/>
  <c r="J665" i="1"/>
  <c r="H665" i="1"/>
  <c r="P664" i="1"/>
  <c r="N664" i="1"/>
  <c r="M664" i="1"/>
  <c r="L664" i="1"/>
  <c r="K664" i="1"/>
  <c r="J664" i="1"/>
  <c r="H664" i="1"/>
  <c r="P663" i="1"/>
  <c r="N663" i="1"/>
  <c r="M663" i="1"/>
  <c r="L663" i="1"/>
  <c r="K663" i="1"/>
  <c r="J663" i="1"/>
  <c r="H663" i="1"/>
  <c r="P662" i="1"/>
  <c r="N662" i="1"/>
  <c r="M662" i="1"/>
  <c r="L662" i="1"/>
  <c r="K662" i="1"/>
  <c r="J662" i="1"/>
  <c r="H662" i="1"/>
  <c r="P661" i="1"/>
  <c r="N661" i="1"/>
  <c r="M661" i="1"/>
  <c r="L661" i="1"/>
  <c r="K661" i="1"/>
  <c r="J661" i="1"/>
  <c r="H661" i="1"/>
  <c r="P660" i="1"/>
  <c r="N660" i="1"/>
  <c r="M660" i="1"/>
  <c r="L660" i="1"/>
  <c r="K660" i="1"/>
  <c r="J660" i="1"/>
  <c r="H660" i="1"/>
  <c r="P659" i="1"/>
  <c r="N659" i="1"/>
  <c r="M659" i="1"/>
  <c r="L659" i="1"/>
  <c r="K659" i="1"/>
  <c r="J659" i="1"/>
  <c r="H659" i="1"/>
  <c r="P658" i="1"/>
  <c r="N658" i="1"/>
  <c r="M658" i="1"/>
  <c r="L658" i="1"/>
  <c r="K658" i="1"/>
  <c r="J658" i="1"/>
  <c r="H658" i="1"/>
  <c r="P1152" i="1"/>
  <c r="N1152" i="1"/>
  <c r="M1152" i="1"/>
  <c r="L1152" i="1"/>
  <c r="K1152" i="1"/>
  <c r="J1152" i="1"/>
  <c r="H1152" i="1"/>
  <c r="P1151" i="1"/>
  <c r="N1151" i="1"/>
  <c r="M1151" i="1"/>
  <c r="L1151" i="1"/>
  <c r="K1151" i="1"/>
  <c r="J1151" i="1"/>
  <c r="H1151" i="1"/>
  <c r="P1150" i="1"/>
  <c r="N1150" i="1"/>
  <c r="M1150" i="1"/>
  <c r="L1150" i="1"/>
  <c r="K1150" i="1"/>
  <c r="J1150" i="1"/>
  <c r="H1150" i="1"/>
  <c r="P1149" i="1"/>
  <c r="N1149" i="1"/>
  <c r="M1149" i="1"/>
  <c r="L1149" i="1"/>
  <c r="K1149" i="1"/>
  <c r="J1149" i="1"/>
  <c r="H1149" i="1"/>
  <c r="P343" i="1" l="1"/>
  <c r="N343" i="1"/>
  <c r="M343" i="1"/>
  <c r="L343" i="1"/>
  <c r="K343" i="1"/>
  <c r="J343" i="1"/>
  <c r="P342" i="1"/>
  <c r="N342" i="1"/>
  <c r="M342" i="1"/>
  <c r="L342" i="1"/>
  <c r="K342" i="1"/>
  <c r="J342" i="1"/>
  <c r="H342" i="1"/>
  <c r="P341" i="1"/>
  <c r="N341" i="1"/>
  <c r="M341" i="1"/>
  <c r="L341" i="1"/>
  <c r="K341" i="1"/>
  <c r="J341" i="1"/>
  <c r="H341" i="1"/>
  <c r="P340" i="1"/>
  <c r="N340" i="1"/>
  <c r="M340" i="1"/>
  <c r="L340" i="1"/>
  <c r="K340" i="1"/>
  <c r="J340" i="1"/>
  <c r="H340" i="1"/>
  <c r="P339" i="1"/>
  <c r="N339" i="1"/>
  <c r="M339" i="1"/>
  <c r="L339" i="1"/>
  <c r="K339" i="1"/>
  <c r="J339" i="1"/>
  <c r="H339" i="1"/>
  <c r="P338" i="1"/>
  <c r="N338" i="1"/>
  <c r="M338" i="1"/>
  <c r="L338" i="1"/>
  <c r="K338" i="1"/>
  <c r="J338" i="1"/>
  <c r="H338" i="1"/>
  <c r="P337" i="1"/>
  <c r="N337" i="1"/>
  <c r="M337" i="1"/>
  <c r="L337" i="1"/>
  <c r="K337" i="1"/>
  <c r="J337" i="1"/>
  <c r="H337" i="1"/>
  <c r="P336" i="1"/>
  <c r="N336" i="1"/>
  <c r="M336" i="1"/>
  <c r="L336" i="1"/>
  <c r="K336" i="1"/>
  <c r="J336" i="1"/>
  <c r="H336" i="1"/>
  <c r="P335" i="1"/>
  <c r="N335" i="1"/>
  <c r="M335" i="1"/>
  <c r="L335" i="1"/>
  <c r="K335" i="1"/>
  <c r="J335" i="1"/>
  <c r="H335" i="1"/>
  <c r="P334" i="1"/>
  <c r="N334" i="1"/>
  <c r="M334" i="1"/>
  <c r="L334" i="1"/>
  <c r="K334" i="1"/>
  <c r="J334" i="1"/>
  <c r="H334" i="1"/>
  <c r="P333" i="1"/>
  <c r="N333" i="1"/>
  <c r="M333" i="1"/>
  <c r="L333" i="1"/>
  <c r="K333" i="1"/>
  <c r="J333" i="1"/>
  <c r="H333" i="1"/>
  <c r="P332" i="1"/>
  <c r="N332" i="1"/>
  <c r="M332" i="1"/>
  <c r="L332" i="1"/>
  <c r="K332" i="1"/>
  <c r="J332" i="1"/>
  <c r="H332" i="1"/>
  <c r="P331" i="1"/>
  <c r="N331" i="1"/>
  <c r="M331" i="1"/>
  <c r="L331" i="1"/>
  <c r="K331" i="1"/>
  <c r="J331" i="1"/>
  <c r="H331" i="1"/>
  <c r="P330" i="1"/>
  <c r="N330" i="1"/>
  <c r="M330" i="1"/>
  <c r="L330" i="1"/>
  <c r="K330" i="1"/>
  <c r="J330" i="1"/>
  <c r="H330" i="1"/>
  <c r="P329" i="1"/>
  <c r="N329" i="1"/>
  <c r="M329" i="1"/>
  <c r="L329" i="1"/>
  <c r="K329" i="1"/>
  <c r="J329" i="1"/>
  <c r="H329" i="1"/>
  <c r="P328" i="1"/>
  <c r="N328" i="1"/>
  <c r="M328" i="1"/>
  <c r="L328" i="1"/>
  <c r="K328" i="1"/>
  <c r="J328" i="1"/>
  <c r="H328" i="1"/>
  <c r="P327" i="1"/>
  <c r="N327" i="1"/>
  <c r="M327" i="1"/>
  <c r="L327" i="1"/>
  <c r="K327" i="1"/>
  <c r="J327" i="1"/>
  <c r="H327" i="1"/>
  <c r="P326" i="1"/>
  <c r="N326" i="1"/>
  <c r="M326" i="1"/>
  <c r="L326" i="1"/>
  <c r="K326" i="1"/>
  <c r="J326" i="1"/>
  <c r="H326" i="1"/>
  <c r="P325" i="1"/>
  <c r="N325" i="1"/>
  <c r="M325" i="1"/>
  <c r="L325" i="1"/>
  <c r="K325" i="1"/>
  <c r="J325" i="1"/>
  <c r="H325" i="1"/>
  <c r="P324" i="1"/>
  <c r="N324" i="1"/>
  <c r="M324" i="1"/>
  <c r="L324" i="1"/>
  <c r="K324" i="1"/>
  <c r="J324" i="1"/>
  <c r="H324" i="1"/>
  <c r="P323" i="1"/>
  <c r="N323" i="1"/>
  <c r="M323" i="1"/>
  <c r="L323" i="1"/>
  <c r="K323" i="1"/>
  <c r="J323" i="1"/>
  <c r="H323" i="1"/>
  <c r="P322" i="1"/>
  <c r="N322" i="1"/>
  <c r="M322" i="1"/>
  <c r="L322" i="1"/>
  <c r="K322" i="1"/>
  <c r="J322" i="1"/>
  <c r="H322" i="1"/>
  <c r="P321" i="1"/>
  <c r="N321" i="1"/>
  <c r="M321" i="1"/>
  <c r="L321" i="1"/>
  <c r="K321" i="1"/>
  <c r="J321" i="1"/>
  <c r="H321" i="1"/>
  <c r="P320" i="1"/>
  <c r="N320" i="1"/>
  <c r="M320" i="1"/>
  <c r="L320" i="1"/>
  <c r="K320" i="1"/>
  <c r="J320" i="1"/>
  <c r="H320" i="1"/>
  <c r="P319" i="1"/>
  <c r="N319" i="1"/>
  <c r="M319" i="1"/>
  <c r="L319" i="1"/>
  <c r="K319" i="1"/>
  <c r="J319" i="1"/>
  <c r="H319" i="1"/>
  <c r="P318" i="1"/>
  <c r="N318" i="1"/>
  <c r="M318" i="1"/>
  <c r="L318" i="1"/>
  <c r="K318" i="1"/>
  <c r="J318" i="1"/>
  <c r="H318" i="1"/>
  <c r="P317" i="1"/>
  <c r="N317" i="1"/>
  <c r="M317" i="1"/>
  <c r="L317" i="1"/>
  <c r="K317" i="1"/>
  <c r="J317" i="1"/>
  <c r="H317" i="1"/>
  <c r="P316" i="1"/>
  <c r="N316" i="1"/>
  <c r="M316" i="1"/>
  <c r="L316" i="1"/>
  <c r="K316" i="1"/>
  <c r="J316" i="1"/>
  <c r="H316" i="1"/>
  <c r="P315" i="1"/>
  <c r="N315" i="1"/>
  <c r="M315" i="1"/>
  <c r="L315" i="1"/>
  <c r="K315" i="1"/>
  <c r="J315" i="1"/>
  <c r="H315" i="1"/>
  <c r="P314" i="1"/>
  <c r="N314" i="1"/>
  <c r="M314" i="1"/>
  <c r="L314" i="1"/>
  <c r="K314" i="1"/>
  <c r="J314" i="1"/>
  <c r="H314" i="1"/>
  <c r="P313" i="1"/>
  <c r="N313" i="1"/>
  <c r="M313" i="1"/>
  <c r="L313" i="1"/>
  <c r="K313" i="1"/>
  <c r="J313" i="1"/>
  <c r="H313" i="1"/>
  <c r="P312" i="1"/>
  <c r="N312" i="1"/>
  <c r="M312" i="1"/>
  <c r="L312" i="1"/>
  <c r="K312" i="1"/>
  <c r="J312" i="1"/>
  <c r="H312" i="1"/>
  <c r="P311" i="1"/>
  <c r="N311" i="1"/>
  <c r="M311" i="1"/>
  <c r="L311" i="1"/>
  <c r="K311" i="1"/>
  <c r="J311" i="1"/>
  <c r="H311" i="1"/>
  <c r="P310" i="1"/>
  <c r="N310" i="1"/>
  <c r="M310" i="1"/>
  <c r="L310" i="1"/>
  <c r="K310" i="1"/>
  <c r="J310" i="1"/>
  <c r="H310" i="1"/>
  <c r="P774" i="1"/>
  <c r="N774" i="1"/>
  <c r="M774" i="1"/>
  <c r="L774" i="1"/>
  <c r="K774" i="1"/>
  <c r="J774" i="1"/>
  <c r="P773" i="1"/>
  <c r="N773" i="1"/>
  <c r="M773" i="1"/>
  <c r="L773" i="1"/>
  <c r="K773" i="1"/>
  <c r="J773" i="1"/>
  <c r="H773" i="1"/>
  <c r="P772" i="1"/>
  <c r="N772" i="1"/>
  <c r="M772" i="1"/>
  <c r="L772" i="1"/>
  <c r="K772" i="1"/>
  <c r="J772" i="1"/>
  <c r="H772" i="1"/>
  <c r="P771" i="1"/>
  <c r="N771" i="1"/>
  <c r="M771" i="1"/>
  <c r="L771" i="1"/>
  <c r="K771" i="1"/>
  <c r="J771" i="1"/>
  <c r="H771" i="1"/>
  <c r="P770" i="1"/>
  <c r="N770" i="1"/>
  <c r="M770" i="1"/>
  <c r="L770" i="1"/>
  <c r="K770" i="1"/>
  <c r="J770" i="1"/>
  <c r="H770" i="1"/>
  <c r="P769" i="1"/>
  <c r="N769" i="1"/>
  <c r="M769" i="1"/>
  <c r="L769" i="1"/>
  <c r="K769" i="1"/>
  <c r="J769" i="1"/>
  <c r="H769" i="1"/>
  <c r="P768" i="1"/>
  <c r="N768" i="1"/>
  <c r="M768" i="1"/>
  <c r="L768" i="1"/>
  <c r="K768" i="1"/>
  <c r="J768" i="1"/>
  <c r="H768" i="1"/>
  <c r="P767" i="1"/>
  <c r="N767" i="1"/>
  <c r="M767" i="1"/>
  <c r="L767" i="1"/>
  <c r="K767" i="1"/>
  <c r="J767" i="1"/>
  <c r="H767" i="1"/>
  <c r="P766" i="1"/>
  <c r="N766" i="1"/>
  <c r="M766" i="1"/>
  <c r="L766" i="1"/>
  <c r="K766" i="1"/>
  <c r="J766" i="1"/>
  <c r="H766" i="1"/>
  <c r="P765" i="1"/>
  <c r="N765" i="1"/>
  <c r="M765" i="1"/>
  <c r="L765" i="1"/>
  <c r="K765" i="1"/>
  <c r="J765" i="1"/>
  <c r="H765" i="1"/>
  <c r="P764" i="1"/>
  <c r="N764" i="1"/>
  <c r="M764" i="1"/>
  <c r="L764" i="1"/>
  <c r="K764" i="1"/>
  <c r="J764" i="1"/>
  <c r="H764" i="1"/>
  <c r="P763" i="1"/>
  <c r="N763" i="1"/>
  <c r="M763" i="1"/>
  <c r="L763" i="1"/>
  <c r="K763" i="1"/>
  <c r="J763" i="1"/>
  <c r="H763" i="1"/>
  <c r="P762" i="1"/>
  <c r="N762" i="1"/>
  <c r="M762" i="1"/>
  <c r="L762" i="1"/>
  <c r="K762" i="1"/>
  <c r="J762" i="1"/>
  <c r="H762" i="1"/>
  <c r="P761" i="1"/>
  <c r="N761" i="1"/>
  <c r="M761" i="1"/>
  <c r="L761" i="1"/>
  <c r="K761" i="1"/>
  <c r="J761" i="1"/>
  <c r="H761" i="1"/>
  <c r="P760" i="1"/>
  <c r="N760" i="1"/>
  <c r="M760" i="1"/>
  <c r="L760" i="1"/>
  <c r="K760" i="1"/>
  <c r="J760" i="1"/>
  <c r="H760" i="1"/>
  <c r="P759" i="1"/>
  <c r="N759" i="1"/>
  <c r="M759" i="1"/>
  <c r="L759" i="1"/>
  <c r="K759" i="1"/>
  <c r="J759" i="1"/>
  <c r="H759" i="1"/>
  <c r="P758" i="1"/>
  <c r="N758" i="1"/>
  <c r="M758" i="1"/>
  <c r="L758" i="1"/>
  <c r="K758" i="1"/>
  <c r="J758" i="1"/>
  <c r="H758" i="1"/>
  <c r="P757" i="1"/>
  <c r="N757" i="1"/>
  <c r="M757" i="1"/>
  <c r="L757" i="1"/>
  <c r="K757" i="1"/>
  <c r="J757" i="1"/>
  <c r="H757" i="1"/>
  <c r="P756" i="1"/>
  <c r="N756" i="1"/>
  <c r="M756" i="1"/>
  <c r="L756" i="1"/>
  <c r="K756" i="1"/>
  <c r="J756" i="1"/>
  <c r="H756" i="1"/>
  <c r="P755" i="1"/>
  <c r="N755" i="1"/>
  <c r="M755" i="1"/>
  <c r="L755" i="1"/>
  <c r="K755" i="1"/>
  <c r="J755" i="1"/>
  <c r="H755" i="1"/>
  <c r="P754" i="1"/>
  <c r="N754" i="1"/>
  <c r="M754" i="1"/>
  <c r="L754" i="1"/>
  <c r="K754" i="1"/>
  <c r="J754" i="1"/>
  <c r="H754" i="1"/>
  <c r="P753" i="1"/>
  <c r="N753" i="1"/>
  <c r="M753" i="1"/>
  <c r="L753" i="1"/>
  <c r="K753" i="1"/>
  <c r="J753" i="1"/>
  <c r="H753" i="1"/>
  <c r="P752" i="1"/>
  <c r="N752" i="1"/>
  <c r="M752" i="1"/>
  <c r="L752" i="1"/>
  <c r="K752" i="1"/>
  <c r="J752" i="1"/>
  <c r="H752" i="1"/>
  <c r="P751" i="1"/>
  <c r="N751" i="1"/>
  <c r="M751" i="1"/>
  <c r="L751" i="1"/>
  <c r="K751" i="1"/>
  <c r="J751" i="1"/>
  <c r="H751" i="1"/>
  <c r="P750" i="1"/>
  <c r="N750" i="1"/>
  <c r="M750" i="1"/>
  <c r="L750" i="1"/>
  <c r="K750" i="1"/>
  <c r="J750" i="1"/>
  <c r="H750" i="1"/>
  <c r="P749" i="1"/>
  <c r="N749" i="1"/>
  <c r="M749" i="1"/>
  <c r="L749" i="1"/>
  <c r="K749" i="1"/>
  <c r="J749" i="1"/>
  <c r="H749" i="1"/>
  <c r="P748" i="1"/>
  <c r="N748" i="1"/>
  <c r="M748" i="1"/>
  <c r="L748" i="1"/>
  <c r="K748" i="1"/>
  <c r="J748" i="1"/>
  <c r="H748" i="1"/>
  <c r="P747" i="1"/>
  <c r="N747" i="1"/>
  <c r="M747" i="1"/>
  <c r="L747" i="1"/>
  <c r="K747" i="1"/>
  <c r="J747" i="1"/>
  <c r="H747" i="1"/>
  <c r="P746" i="1"/>
  <c r="N746" i="1"/>
  <c r="M746" i="1"/>
  <c r="L746" i="1"/>
  <c r="K746" i="1"/>
  <c r="J746" i="1"/>
  <c r="H746" i="1"/>
  <c r="P745" i="1"/>
  <c r="N745" i="1"/>
  <c r="M745" i="1"/>
  <c r="L745" i="1"/>
  <c r="K745" i="1"/>
  <c r="J745" i="1"/>
  <c r="H745" i="1"/>
  <c r="P744" i="1"/>
  <c r="N744" i="1"/>
  <c r="M744" i="1"/>
  <c r="L744" i="1"/>
  <c r="K744" i="1"/>
  <c r="J744" i="1"/>
  <c r="H744" i="1"/>
  <c r="P743" i="1"/>
  <c r="N743" i="1"/>
  <c r="M743" i="1"/>
  <c r="L743" i="1"/>
  <c r="K743" i="1"/>
  <c r="J743" i="1"/>
  <c r="H743" i="1"/>
  <c r="P742" i="1"/>
  <c r="N742" i="1"/>
  <c r="M742" i="1"/>
  <c r="L742" i="1"/>
  <c r="K742" i="1"/>
  <c r="J742" i="1"/>
  <c r="H742" i="1"/>
  <c r="P741" i="1"/>
  <c r="N741" i="1"/>
  <c r="M741" i="1"/>
  <c r="L741" i="1"/>
  <c r="K741" i="1"/>
  <c r="J741" i="1"/>
  <c r="H741" i="1"/>
  <c r="P100" i="1"/>
  <c r="N100" i="1"/>
  <c r="M100" i="1"/>
  <c r="L100" i="1"/>
  <c r="K100" i="1"/>
  <c r="J100" i="1"/>
  <c r="H100" i="1"/>
  <c r="P99" i="1"/>
  <c r="N99" i="1"/>
  <c r="M99" i="1"/>
  <c r="L99" i="1"/>
  <c r="K99" i="1"/>
  <c r="J99" i="1"/>
  <c r="H99" i="1"/>
  <c r="P98" i="1"/>
  <c r="N98" i="1"/>
  <c r="M98" i="1"/>
  <c r="L98" i="1"/>
  <c r="K98" i="1"/>
  <c r="J98" i="1"/>
  <c r="H98" i="1"/>
  <c r="P97" i="1"/>
  <c r="N97" i="1"/>
  <c r="M97" i="1"/>
  <c r="L97" i="1"/>
  <c r="K97" i="1"/>
  <c r="J97" i="1"/>
  <c r="H97" i="1"/>
  <c r="P247" i="1"/>
  <c r="P246" i="1"/>
  <c r="P244" i="1"/>
  <c r="P243" i="1"/>
  <c r="P239" i="1"/>
  <c r="P225" i="1"/>
  <c r="P224" i="1"/>
  <c r="P220" i="1"/>
  <c r="P219" i="1"/>
  <c r="P217" i="1"/>
  <c r="P216" i="1"/>
  <c r="P212" i="1"/>
  <c r="P211" i="1"/>
  <c r="P209" i="1"/>
  <c r="P208" i="1"/>
  <c r="P204" i="1"/>
  <c r="P201" i="1"/>
  <c r="P200" i="1"/>
  <c r="P196" i="1"/>
  <c r="P195" i="1"/>
  <c r="P192" i="1"/>
  <c r="P188" i="1"/>
  <c r="P185" i="1"/>
  <c r="P184" i="1"/>
  <c r="P180" i="1"/>
  <c r="P179" i="1"/>
  <c r="P177" i="1"/>
  <c r="M176" i="1"/>
  <c r="P172" i="1"/>
  <c r="P169" i="1"/>
  <c r="P168" i="1"/>
  <c r="P164" i="1"/>
  <c r="P161" i="1"/>
  <c r="P160" i="1"/>
  <c r="P156" i="1"/>
  <c r="P153" i="1"/>
  <c r="P152" i="1"/>
  <c r="P148" i="1"/>
  <c r="P145" i="1"/>
  <c r="P144" i="1"/>
  <c r="P140" i="1"/>
  <c r="P137" i="1"/>
  <c r="P136" i="1"/>
  <c r="P132" i="1"/>
  <c r="P1153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5" i="1"/>
  <c r="P242" i="1"/>
  <c r="P241" i="1"/>
  <c r="P240" i="1"/>
  <c r="P238" i="1"/>
  <c r="P226" i="1"/>
  <c r="P223" i="1"/>
  <c r="P222" i="1"/>
  <c r="P221" i="1"/>
  <c r="P218" i="1"/>
  <c r="P215" i="1"/>
  <c r="P214" i="1"/>
  <c r="P213" i="1"/>
  <c r="P210" i="1"/>
  <c r="P207" i="1"/>
  <c r="P206" i="1"/>
  <c r="P205" i="1"/>
  <c r="P203" i="1"/>
  <c r="P202" i="1"/>
  <c r="P199" i="1"/>
  <c r="P198" i="1"/>
  <c r="P197" i="1"/>
  <c r="P194" i="1"/>
  <c r="P193" i="1"/>
  <c r="P191" i="1"/>
  <c r="P190" i="1"/>
  <c r="P189" i="1"/>
  <c r="P187" i="1"/>
  <c r="P186" i="1"/>
  <c r="P183" i="1"/>
  <c r="P182" i="1"/>
  <c r="P181" i="1"/>
  <c r="P178" i="1"/>
  <c r="P175" i="1"/>
  <c r="P174" i="1"/>
  <c r="P173" i="1"/>
  <c r="P171" i="1"/>
  <c r="P170" i="1"/>
  <c r="P167" i="1"/>
  <c r="P166" i="1"/>
  <c r="P165" i="1"/>
  <c r="P163" i="1"/>
  <c r="P162" i="1"/>
  <c r="P159" i="1"/>
  <c r="P158" i="1"/>
  <c r="P157" i="1"/>
  <c r="P155" i="1"/>
  <c r="P154" i="1"/>
  <c r="P151" i="1"/>
  <c r="P150" i="1"/>
  <c r="P149" i="1"/>
  <c r="P147" i="1"/>
  <c r="P146" i="1"/>
  <c r="P143" i="1"/>
  <c r="P142" i="1"/>
  <c r="P141" i="1"/>
  <c r="P139" i="1"/>
  <c r="P138" i="1"/>
  <c r="P135" i="1"/>
  <c r="P134" i="1"/>
  <c r="P133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N608" i="1"/>
  <c r="M608" i="1"/>
  <c r="L608" i="1"/>
  <c r="K608" i="1"/>
  <c r="J608" i="1"/>
  <c r="H608" i="1"/>
  <c r="N607" i="1"/>
  <c r="M607" i="1"/>
  <c r="L607" i="1"/>
  <c r="K607" i="1"/>
  <c r="J607" i="1"/>
  <c r="H607" i="1"/>
  <c r="N606" i="1"/>
  <c r="M606" i="1"/>
  <c r="L606" i="1"/>
  <c r="K606" i="1"/>
  <c r="J606" i="1"/>
  <c r="H606" i="1"/>
  <c r="N605" i="1"/>
  <c r="M605" i="1"/>
  <c r="L605" i="1"/>
  <c r="K605" i="1"/>
  <c r="J605" i="1"/>
  <c r="H605" i="1"/>
  <c r="N177" i="1"/>
  <c r="L177" i="1"/>
  <c r="K177" i="1"/>
  <c r="J177" i="1"/>
  <c r="H177" i="1"/>
  <c r="N176" i="1"/>
  <c r="L176" i="1"/>
  <c r="K176" i="1"/>
  <c r="J176" i="1"/>
  <c r="H176" i="1"/>
  <c r="N175" i="1"/>
  <c r="M175" i="1"/>
  <c r="L175" i="1"/>
  <c r="K175" i="1"/>
  <c r="J175" i="1"/>
  <c r="H175" i="1"/>
  <c r="N174" i="1"/>
  <c r="M174" i="1"/>
  <c r="L174" i="1"/>
  <c r="K174" i="1"/>
  <c r="J174" i="1"/>
  <c r="H174" i="1"/>
  <c r="P176" i="1" l="1"/>
  <c r="M177" i="1"/>
  <c r="N1153" i="1"/>
  <c r="M1153" i="1"/>
  <c r="L1153" i="1"/>
  <c r="K1153" i="1"/>
  <c r="J1153" i="1"/>
  <c r="N1148" i="1"/>
  <c r="M1148" i="1"/>
  <c r="L1148" i="1"/>
  <c r="K1148" i="1"/>
  <c r="N1147" i="1"/>
  <c r="M1147" i="1"/>
  <c r="L1147" i="1"/>
  <c r="K1147" i="1"/>
  <c r="N1146" i="1"/>
  <c r="M1146" i="1"/>
  <c r="L1146" i="1"/>
  <c r="K1146" i="1"/>
  <c r="N1145" i="1"/>
  <c r="M1145" i="1"/>
  <c r="L1145" i="1"/>
  <c r="K1145" i="1"/>
  <c r="N1144" i="1"/>
  <c r="M1144" i="1"/>
  <c r="L1144" i="1"/>
  <c r="K1144" i="1"/>
  <c r="N1143" i="1"/>
  <c r="M1143" i="1"/>
  <c r="L1143" i="1"/>
  <c r="K1143" i="1"/>
  <c r="N1142" i="1"/>
  <c r="M1142" i="1"/>
  <c r="L1142" i="1"/>
  <c r="K1142" i="1"/>
  <c r="N1141" i="1"/>
  <c r="M1141" i="1"/>
  <c r="L1141" i="1"/>
  <c r="K1141" i="1"/>
  <c r="N1140" i="1"/>
  <c r="M1140" i="1"/>
  <c r="L1140" i="1"/>
  <c r="K1140" i="1"/>
  <c r="N1139" i="1"/>
  <c r="M1139" i="1"/>
  <c r="L1139" i="1"/>
  <c r="K1139" i="1"/>
  <c r="N1138" i="1"/>
  <c r="M1138" i="1"/>
  <c r="L1138" i="1"/>
  <c r="K1138" i="1"/>
  <c r="N1137" i="1"/>
  <c r="M1137" i="1"/>
  <c r="L1137" i="1"/>
  <c r="K1137" i="1"/>
  <c r="N1136" i="1"/>
  <c r="M1136" i="1"/>
  <c r="L1136" i="1"/>
  <c r="K1136" i="1"/>
  <c r="J1136" i="1"/>
  <c r="N1135" i="1"/>
  <c r="M1135" i="1"/>
  <c r="L1135" i="1"/>
  <c r="K1135" i="1"/>
  <c r="N1134" i="1"/>
  <c r="M1134" i="1"/>
  <c r="L1134" i="1"/>
  <c r="K1134" i="1"/>
  <c r="N1133" i="1"/>
  <c r="M1133" i="1"/>
  <c r="L1133" i="1"/>
  <c r="K1133" i="1"/>
  <c r="N1132" i="1"/>
  <c r="M1132" i="1"/>
  <c r="L1132" i="1"/>
  <c r="K1132" i="1"/>
  <c r="N1131" i="1"/>
  <c r="M1131" i="1"/>
  <c r="L1131" i="1"/>
  <c r="K1131" i="1"/>
  <c r="N1130" i="1"/>
  <c r="M1130" i="1"/>
  <c r="L1130" i="1"/>
  <c r="K1130" i="1"/>
  <c r="N1129" i="1"/>
  <c r="M1129" i="1"/>
  <c r="L1129" i="1"/>
  <c r="K1129" i="1"/>
  <c r="N1128" i="1"/>
  <c r="M1128" i="1"/>
  <c r="L1128" i="1"/>
  <c r="K1128" i="1"/>
  <c r="N1127" i="1"/>
  <c r="M1127" i="1"/>
  <c r="L1127" i="1"/>
  <c r="K1127" i="1"/>
  <c r="N1126" i="1"/>
  <c r="M1126" i="1"/>
  <c r="L1126" i="1"/>
  <c r="K1126" i="1"/>
  <c r="N1125" i="1"/>
  <c r="M1125" i="1"/>
  <c r="L1125" i="1"/>
  <c r="K1125" i="1"/>
  <c r="N1124" i="1"/>
  <c r="M1124" i="1"/>
  <c r="L1124" i="1"/>
  <c r="K1124" i="1"/>
  <c r="N1123" i="1"/>
  <c r="M1123" i="1"/>
  <c r="L1123" i="1"/>
  <c r="K1123" i="1"/>
  <c r="J1123" i="1"/>
  <c r="N1122" i="1"/>
  <c r="M1122" i="1"/>
  <c r="L1122" i="1"/>
  <c r="K1122" i="1"/>
  <c r="N1121" i="1"/>
  <c r="M1121" i="1"/>
  <c r="L1121" i="1"/>
  <c r="K1121" i="1"/>
  <c r="N1120" i="1"/>
  <c r="M1120" i="1"/>
  <c r="L1120" i="1"/>
  <c r="K1120" i="1"/>
  <c r="N1119" i="1"/>
  <c r="M1119" i="1"/>
  <c r="L1119" i="1"/>
  <c r="K1119" i="1"/>
  <c r="N1118" i="1"/>
  <c r="M1118" i="1"/>
  <c r="L1118" i="1"/>
  <c r="K1118" i="1"/>
  <c r="N1117" i="1"/>
  <c r="M1117" i="1"/>
  <c r="L1117" i="1"/>
  <c r="K1117" i="1"/>
  <c r="N1116" i="1"/>
  <c r="M1116" i="1"/>
  <c r="L1116" i="1"/>
  <c r="K1116" i="1"/>
  <c r="N1115" i="1"/>
  <c r="M1115" i="1"/>
  <c r="L1115" i="1"/>
  <c r="K1115" i="1"/>
  <c r="N1114" i="1"/>
  <c r="M1114" i="1"/>
  <c r="L1114" i="1"/>
  <c r="K1114" i="1"/>
  <c r="N1113" i="1"/>
  <c r="M1113" i="1"/>
  <c r="L1113" i="1"/>
  <c r="K1113" i="1"/>
  <c r="N1112" i="1"/>
  <c r="M1112" i="1"/>
  <c r="L1112" i="1"/>
  <c r="K1112" i="1"/>
  <c r="N1111" i="1"/>
  <c r="M1111" i="1"/>
  <c r="L1111" i="1"/>
  <c r="K1111" i="1"/>
  <c r="N1110" i="1"/>
  <c r="M1110" i="1"/>
  <c r="L1110" i="1"/>
  <c r="K1110" i="1"/>
  <c r="N1109" i="1"/>
  <c r="M1109" i="1"/>
  <c r="L1109" i="1"/>
  <c r="K1109" i="1"/>
  <c r="N1108" i="1"/>
  <c r="M1108" i="1"/>
  <c r="L1108" i="1"/>
  <c r="K1108" i="1"/>
  <c r="N1107" i="1"/>
  <c r="M1107" i="1"/>
  <c r="L1107" i="1"/>
  <c r="K1107" i="1"/>
  <c r="N1106" i="1"/>
  <c r="M1106" i="1"/>
  <c r="L1106" i="1"/>
  <c r="K1106" i="1"/>
  <c r="N1105" i="1"/>
  <c r="M1105" i="1"/>
  <c r="L1105" i="1"/>
  <c r="K1105" i="1"/>
  <c r="N1104" i="1"/>
  <c r="M1104" i="1"/>
  <c r="L1104" i="1"/>
  <c r="K1104" i="1"/>
  <c r="N1103" i="1"/>
  <c r="M1103" i="1"/>
  <c r="L1103" i="1"/>
  <c r="K1103" i="1"/>
  <c r="N1102" i="1"/>
  <c r="M1102" i="1"/>
  <c r="L1102" i="1"/>
  <c r="K1102" i="1"/>
  <c r="N1101" i="1"/>
  <c r="M1101" i="1"/>
  <c r="L1101" i="1"/>
  <c r="K1101" i="1"/>
  <c r="N1100" i="1"/>
  <c r="M1100" i="1"/>
  <c r="L1100" i="1"/>
  <c r="K1100" i="1"/>
  <c r="N1099" i="1"/>
  <c r="M1099" i="1"/>
  <c r="L1099" i="1"/>
  <c r="K1099" i="1"/>
  <c r="N1098" i="1"/>
  <c r="M1098" i="1"/>
  <c r="L1098" i="1"/>
  <c r="K1098" i="1"/>
  <c r="N1097" i="1"/>
  <c r="M1097" i="1"/>
  <c r="L1097" i="1"/>
  <c r="K1097" i="1"/>
  <c r="N1096" i="1"/>
  <c r="M1096" i="1"/>
  <c r="L1096" i="1"/>
  <c r="K1096" i="1"/>
  <c r="N1095" i="1"/>
  <c r="M1095" i="1"/>
  <c r="L1095" i="1"/>
  <c r="K1095" i="1"/>
  <c r="N1094" i="1"/>
  <c r="M1094" i="1"/>
  <c r="L1094" i="1"/>
  <c r="K1094" i="1"/>
  <c r="N1093" i="1"/>
  <c r="M1093" i="1"/>
  <c r="L1093" i="1"/>
  <c r="K1093" i="1"/>
  <c r="N1092" i="1"/>
  <c r="M1092" i="1"/>
  <c r="L1092" i="1"/>
  <c r="K1092" i="1"/>
  <c r="N1091" i="1"/>
  <c r="M1091" i="1"/>
  <c r="L1091" i="1"/>
  <c r="K1091" i="1"/>
  <c r="N1090" i="1"/>
  <c r="M1090" i="1"/>
  <c r="L1090" i="1"/>
  <c r="K1090" i="1"/>
  <c r="N1089" i="1"/>
  <c r="M1089" i="1"/>
  <c r="L1089" i="1"/>
  <c r="K1089" i="1"/>
  <c r="N1088" i="1"/>
  <c r="M1088" i="1"/>
  <c r="L1088" i="1"/>
  <c r="K1088" i="1"/>
  <c r="N1087" i="1"/>
  <c r="M1087" i="1"/>
  <c r="L1087" i="1"/>
  <c r="K1087" i="1"/>
  <c r="J1087" i="1"/>
  <c r="N1086" i="1"/>
  <c r="M1086" i="1"/>
  <c r="L1086" i="1"/>
  <c r="K1086" i="1"/>
  <c r="N1085" i="1"/>
  <c r="M1085" i="1"/>
  <c r="L1085" i="1"/>
  <c r="K1085" i="1"/>
  <c r="N1084" i="1"/>
  <c r="M1084" i="1"/>
  <c r="L1084" i="1"/>
  <c r="K1084" i="1"/>
  <c r="N1083" i="1"/>
  <c r="M1083" i="1"/>
  <c r="L1083" i="1"/>
  <c r="K1083" i="1"/>
  <c r="N1082" i="1"/>
  <c r="M1082" i="1"/>
  <c r="L1082" i="1"/>
  <c r="K1082" i="1"/>
  <c r="N1081" i="1"/>
  <c r="M1081" i="1"/>
  <c r="L1081" i="1"/>
  <c r="K1081" i="1"/>
  <c r="N1080" i="1"/>
  <c r="M1080" i="1"/>
  <c r="L1080" i="1"/>
  <c r="K1080" i="1"/>
  <c r="N1079" i="1"/>
  <c r="M1079" i="1"/>
  <c r="L1079" i="1"/>
  <c r="K1079" i="1"/>
  <c r="N1078" i="1"/>
  <c r="M1078" i="1"/>
  <c r="L1078" i="1"/>
  <c r="K1078" i="1"/>
  <c r="N1077" i="1"/>
  <c r="M1077" i="1"/>
  <c r="L1077" i="1"/>
  <c r="K1077" i="1"/>
  <c r="N1076" i="1"/>
  <c r="M1076" i="1"/>
  <c r="L1076" i="1"/>
  <c r="K1076" i="1"/>
  <c r="N1075" i="1"/>
  <c r="M1075" i="1"/>
  <c r="L1075" i="1"/>
  <c r="K1075" i="1"/>
  <c r="N1074" i="1"/>
  <c r="M1074" i="1"/>
  <c r="L1074" i="1"/>
  <c r="K1074" i="1"/>
  <c r="J1074" i="1"/>
  <c r="N1073" i="1"/>
  <c r="M1073" i="1"/>
  <c r="L1073" i="1"/>
  <c r="K1073" i="1"/>
  <c r="N1072" i="1"/>
  <c r="M1072" i="1"/>
  <c r="L1072" i="1"/>
  <c r="K1072" i="1"/>
  <c r="N1071" i="1"/>
  <c r="M1071" i="1"/>
  <c r="L1071" i="1"/>
  <c r="K1071" i="1"/>
  <c r="N1070" i="1"/>
  <c r="M1070" i="1"/>
  <c r="L1070" i="1"/>
  <c r="K1070" i="1"/>
  <c r="N1069" i="1"/>
  <c r="M1069" i="1"/>
  <c r="L1069" i="1"/>
  <c r="K1069" i="1"/>
  <c r="N1068" i="1"/>
  <c r="M1068" i="1"/>
  <c r="L1068" i="1"/>
  <c r="K1068" i="1"/>
  <c r="N1067" i="1"/>
  <c r="M1067" i="1"/>
  <c r="L1067" i="1"/>
  <c r="K1067" i="1"/>
  <c r="N1066" i="1"/>
  <c r="M1066" i="1"/>
  <c r="L1066" i="1"/>
  <c r="K1066" i="1"/>
  <c r="N1065" i="1"/>
  <c r="M1065" i="1"/>
  <c r="L1065" i="1"/>
  <c r="K1065" i="1"/>
  <c r="N1064" i="1"/>
  <c r="M1064" i="1"/>
  <c r="L1064" i="1"/>
  <c r="K1064" i="1"/>
  <c r="N1063" i="1"/>
  <c r="M1063" i="1"/>
  <c r="L1063" i="1"/>
  <c r="K1063" i="1"/>
  <c r="N1062" i="1"/>
  <c r="M1062" i="1"/>
  <c r="L1062" i="1"/>
  <c r="K1062" i="1"/>
  <c r="N1061" i="1"/>
  <c r="M1061" i="1"/>
  <c r="L1061" i="1"/>
  <c r="K1061" i="1"/>
  <c r="J1061" i="1"/>
  <c r="N1060" i="1"/>
  <c r="M1060" i="1"/>
  <c r="L1060" i="1"/>
  <c r="K1060" i="1"/>
  <c r="J1060" i="1"/>
  <c r="N1059" i="1"/>
  <c r="M1059" i="1"/>
  <c r="L1059" i="1"/>
  <c r="K1059" i="1"/>
  <c r="J1059" i="1"/>
  <c r="N1058" i="1"/>
  <c r="M1058" i="1"/>
  <c r="L1058" i="1"/>
  <c r="K1058" i="1"/>
  <c r="J1058" i="1"/>
  <c r="N1057" i="1"/>
  <c r="M1057" i="1"/>
  <c r="L1057" i="1"/>
  <c r="K1057" i="1"/>
  <c r="J1057" i="1"/>
  <c r="N1056" i="1"/>
  <c r="M1056" i="1"/>
  <c r="L1056" i="1"/>
  <c r="K1056" i="1"/>
  <c r="J1056" i="1"/>
  <c r="N1055" i="1"/>
  <c r="M1055" i="1"/>
  <c r="L1055" i="1"/>
  <c r="K1055" i="1"/>
  <c r="J1055" i="1"/>
  <c r="N1054" i="1"/>
  <c r="M1054" i="1"/>
  <c r="L1054" i="1"/>
  <c r="K1054" i="1"/>
  <c r="J1054" i="1"/>
  <c r="N1053" i="1"/>
  <c r="M1053" i="1"/>
  <c r="L1053" i="1"/>
  <c r="K1053" i="1"/>
  <c r="J1053" i="1"/>
  <c r="N1052" i="1"/>
  <c r="M1052" i="1"/>
  <c r="L1052" i="1"/>
  <c r="K1052" i="1"/>
  <c r="J1052" i="1"/>
  <c r="N1051" i="1"/>
  <c r="M1051" i="1"/>
  <c r="L1051" i="1"/>
  <c r="K1051" i="1"/>
  <c r="J1051" i="1"/>
  <c r="N1050" i="1"/>
  <c r="M1050" i="1"/>
  <c r="L1050" i="1"/>
  <c r="K1050" i="1"/>
  <c r="J1050" i="1"/>
  <c r="N1049" i="1"/>
  <c r="M1049" i="1"/>
  <c r="L1049" i="1"/>
  <c r="K1049" i="1"/>
  <c r="J1049" i="1"/>
  <c r="N1048" i="1"/>
  <c r="M1048" i="1"/>
  <c r="L1048" i="1"/>
  <c r="K1048" i="1"/>
  <c r="J1048" i="1"/>
  <c r="N1047" i="1"/>
  <c r="M1047" i="1"/>
  <c r="L1047" i="1"/>
  <c r="K1047" i="1"/>
  <c r="J1047" i="1"/>
  <c r="N1046" i="1"/>
  <c r="M1046" i="1"/>
  <c r="L1046" i="1"/>
  <c r="K1046" i="1"/>
  <c r="J1046" i="1"/>
  <c r="N1045" i="1"/>
  <c r="M1045" i="1"/>
  <c r="L1045" i="1"/>
  <c r="K1045" i="1"/>
  <c r="J1045" i="1"/>
  <c r="N1044" i="1"/>
  <c r="M1044" i="1"/>
  <c r="L1044" i="1"/>
  <c r="K1044" i="1"/>
  <c r="J1044" i="1"/>
  <c r="N1043" i="1"/>
  <c r="M1043" i="1"/>
  <c r="L1043" i="1"/>
  <c r="K1043" i="1"/>
  <c r="J1043" i="1"/>
  <c r="N1042" i="1"/>
  <c r="M1042" i="1"/>
  <c r="L1042" i="1"/>
  <c r="K1042" i="1"/>
  <c r="J1042" i="1"/>
  <c r="N1041" i="1"/>
  <c r="M1041" i="1"/>
  <c r="L1041" i="1"/>
  <c r="K1041" i="1"/>
  <c r="J1041" i="1"/>
  <c r="N1040" i="1"/>
  <c r="M1040" i="1"/>
  <c r="L1040" i="1"/>
  <c r="K1040" i="1"/>
  <c r="J1040" i="1"/>
  <c r="N1039" i="1"/>
  <c r="M1039" i="1"/>
  <c r="L1039" i="1"/>
  <c r="K1039" i="1"/>
  <c r="J1039" i="1"/>
  <c r="N1038" i="1"/>
  <c r="M1038" i="1"/>
  <c r="L1038" i="1"/>
  <c r="K1038" i="1"/>
  <c r="J1038" i="1"/>
  <c r="N1037" i="1"/>
  <c r="M1037" i="1"/>
  <c r="L1037" i="1"/>
  <c r="K1037" i="1"/>
  <c r="J1037" i="1"/>
  <c r="N1036" i="1"/>
  <c r="M1036" i="1"/>
  <c r="L1036" i="1"/>
  <c r="K1036" i="1"/>
  <c r="J1036" i="1"/>
  <c r="N1035" i="1"/>
  <c r="M1035" i="1"/>
  <c r="L1035" i="1"/>
  <c r="K1035" i="1"/>
  <c r="J1035" i="1"/>
  <c r="N1034" i="1"/>
  <c r="M1034" i="1"/>
  <c r="L1034" i="1"/>
  <c r="K1034" i="1"/>
  <c r="J1034" i="1"/>
  <c r="N1033" i="1"/>
  <c r="M1033" i="1"/>
  <c r="L1033" i="1"/>
  <c r="K1033" i="1"/>
  <c r="J1033" i="1"/>
  <c r="N1032" i="1"/>
  <c r="M1032" i="1"/>
  <c r="L1032" i="1"/>
  <c r="K1032" i="1"/>
  <c r="J1032" i="1"/>
  <c r="N1031" i="1"/>
  <c r="M1031" i="1"/>
  <c r="L1031" i="1"/>
  <c r="K1031" i="1"/>
  <c r="J1031" i="1"/>
  <c r="N1030" i="1"/>
  <c r="M1030" i="1"/>
  <c r="L1030" i="1"/>
  <c r="K1030" i="1"/>
  <c r="J1030" i="1"/>
  <c r="N1029" i="1"/>
  <c r="M1029" i="1"/>
  <c r="L1029" i="1"/>
  <c r="K1029" i="1"/>
  <c r="J1029" i="1"/>
  <c r="N1028" i="1"/>
  <c r="M1028" i="1"/>
  <c r="L1028" i="1"/>
  <c r="K1028" i="1"/>
  <c r="J1028" i="1"/>
  <c r="N1027" i="1"/>
  <c r="M1027" i="1"/>
  <c r="L1027" i="1"/>
  <c r="K1027" i="1"/>
  <c r="J1027" i="1"/>
  <c r="N1026" i="1"/>
  <c r="M1026" i="1"/>
  <c r="L1026" i="1"/>
  <c r="K1026" i="1"/>
  <c r="J1026" i="1"/>
  <c r="N1025" i="1"/>
  <c r="M1025" i="1"/>
  <c r="L1025" i="1"/>
  <c r="K1025" i="1"/>
  <c r="J1025" i="1"/>
  <c r="N1024" i="1"/>
  <c r="M1024" i="1"/>
  <c r="L1024" i="1"/>
  <c r="K1024" i="1"/>
  <c r="J1024" i="1"/>
  <c r="N1023" i="1"/>
  <c r="M1023" i="1"/>
  <c r="L1023" i="1"/>
  <c r="K1023" i="1"/>
  <c r="J1023" i="1"/>
  <c r="N1022" i="1"/>
  <c r="M1022" i="1"/>
  <c r="L1022" i="1"/>
  <c r="K1022" i="1"/>
  <c r="J1022" i="1"/>
  <c r="N1021" i="1"/>
  <c r="M1021" i="1"/>
  <c r="L1021" i="1"/>
  <c r="K1021" i="1"/>
  <c r="J1021" i="1"/>
  <c r="N1020" i="1"/>
  <c r="M1020" i="1"/>
  <c r="L1020" i="1"/>
  <c r="K1020" i="1"/>
  <c r="J1020" i="1"/>
  <c r="N1019" i="1"/>
  <c r="M1019" i="1"/>
  <c r="L1019" i="1"/>
  <c r="K1019" i="1"/>
  <c r="J1019" i="1"/>
  <c r="N1018" i="1"/>
  <c r="M1018" i="1"/>
  <c r="L1018" i="1"/>
  <c r="K1018" i="1"/>
  <c r="J1018" i="1"/>
  <c r="N1017" i="1"/>
  <c r="M1017" i="1"/>
  <c r="L1017" i="1"/>
  <c r="K1017" i="1"/>
  <c r="J1017" i="1"/>
  <c r="N1016" i="1"/>
  <c r="M1016" i="1"/>
  <c r="L1016" i="1"/>
  <c r="K1016" i="1"/>
  <c r="J1016" i="1"/>
  <c r="N1015" i="1"/>
  <c r="M1015" i="1"/>
  <c r="L1015" i="1"/>
  <c r="K1015" i="1"/>
  <c r="J1015" i="1"/>
  <c r="N1014" i="1"/>
  <c r="M1014" i="1"/>
  <c r="L1014" i="1"/>
  <c r="K1014" i="1"/>
  <c r="J1014" i="1"/>
  <c r="N1013" i="1"/>
  <c r="M1013" i="1"/>
  <c r="L1013" i="1"/>
  <c r="K1013" i="1"/>
  <c r="J1013" i="1"/>
  <c r="N1012" i="1"/>
  <c r="M1012" i="1"/>
  <c r="L1012" i="1"/>
  <c r="K1012" i="1"/>
  <c r="J1012" i="1"/>
  <c r="N1011" i="1"/>
  <c r="M1011" i="1"/>
  <c r="L1011" i="1"/>
  <c r="K1011" i="1"/>
  <c r="J1011" i="1"/>
  <c r="N1010" i="1"/>
  <c r="M1010" i="1"/>
  <c r="L1010" i="1"/>
  <c r="K1010" i="1"/>
  <c r="J1010" i="1"/>
  <c r="N1009" i="1"/>
  <c r="M1009" i="1"/>
  <c r="L1009" i="1"/>
  <c r="K1009" i="1"/>
  <c r="J1009" i="1"/>
  <c r="N1008" i="1"/>
  <c r="M1008" i="1"/>
  <c r="L1008" i="1"/>
  <c r="K1008" i="1"/>
  <c r="J1008" i="1"/>
  <c r="N1007" i="1"/>
  <c r="M1007" i="1"/>
  <c r="L1007" i="1"/>
  <c r="K1007" i="1"/>
  <c r="J1007" i="1"/>
  <c r="N1006" i="1"/>
  <c r="M1006" i="1"/>
  <c r="L1006" i="1"/>
  <c r="K1006" i="1"/>
  <c r="J1006" i="1"/>
  <c r="N1005" i="1"/>
  <c r="M1005" i="1"/>
  <c r="L1005" i="1"/>
  <c r="K1005" i="1"/>
  <c r="J1005" i="1"/>
  <c r="N1004" i="1"/>
  <c r="M1004" i="1"/>
  <c r="L1004" i="1"/>
  <c r="K1004" i="1"/>
  <c r="J1004" i="1"/>
  <c r="N1003" i="1"/>
  <c r="M1003" i="1"/>
  <c r="L1003" i="1"/>
  <c r="K1003" i="1"/>
  <c r="J1003" i="1"/>
  <c r="N1002" i="1"/>
  <c r="M1002" i="1"/>
  <c r="L1002" i="1"/>
  <c r="K1002" i="1"/>
  <c r="J1002" i="1"/>
  <c r="N1001" i="1"/>
  <c r="M1001" i="1"/>
  <c r="L1001" i="1"/>
  <c r="K1001" i="1"/>
  <c r="J1001" i="1"/>
  <c r="N1000" i="1"/>
  <c r="M1000" i="1"/>
  <c r="L1000" i="1"/>
  <c r="K1000" i="1"/>
  <c r="J1000" i="1"/>
  <c r="N999" i="1"/>
  <c r="M999" i="1"/>
  <c r="L999" i="1"/>
  <c r="K999" i="1"/>
  <c r="J999" i="1"/>
  <c r="N998" i="1"/>
  <c r="M998" i="1"/>
  <c r="L998" i="1"/>
  <c r="K998" i="1"/>
  <c r="J998" i="1"/>
  <c r="N997" i="1"/>
  <c r="M997" i="1"/>
  <c r="L997" i="1"/>
  <c r="K997" i="1"/>
  <c r="J997" i="1"/>
  <c r="N996" i="1"/>
  <c r="M996" i="1"/>
  <c r="L996" i="1"/>
  <c r="K996" i="1"/>
  <c r="J996" i="1"/>
  <c r="N995" i="1"/>
  <c r="M995" i="1"/>
  <c r="L995" i="1"/>
  <c r="K995" i="1"/>
  <c r="J995" i="1"/>
  <c r="N994" i="1"/>
  <c r="M994" i="1"/>
  <c r="L994" i="1"/>
  <c r="K994" i="1"/>
  <c r="J994" i="1"/>
  <c r="N993" i="1"/>
  <c r="M993" i="1"/>
  <c r="L993" i="1"/>
  <c r="K993" i="1"/>
  <c r="J993" i="1"/>
  <c r="N992" i="1"/>
  <c r="M992" i="1"/>
  <c r="L992" i="1"/>
  <c r="K992" i="1"/>
  <c r="J992" i="1"/>
  <c r="N991" i="1"/>
  <c r="M991" i="1"/>
  <c r="L991" i="1"/>
  <c r="K991" i="1"/>
  <c r="J991" i="1"/>
  <c r="N990" i="1"/>
  <c r="M990" i="1"/>
  <c r="L990" i="1"/>
  <c r="K990" i="1"/>
  <c r="J990" i="1"/>
  <c r="N989" i="1"/>
  <c r="M989" i="1"/>
  <c r="L989" i="1"/>
  <c r="K989" i="1"/>
  <c r="J989" i="1"/>
  <c r="N988" i="1"/>
  <c r="M988" i="1"/>
  <c r="L988" i="1"/>
  <c r="K988" i="1"/>
  <c r="J988" i="1"/>
  <c r="N987" i="1"/>
  <c r="M987" i="1"/>
  <c r="L987" i="1"/>
  <c r="K987" i="1"/>
  <c r="J987" i="1"/>
  <c r="N986" i="1"/>
  <c r="M986" i="1"/>
  <c r="L986" i="1"/>
  <c r="K986" i="1"/>
  <c r="J986" i="1"/>
  <c r="N985" i="1"/>
  <c r="M985" i="1"/>
  <c r="L985" i="1"/>
  <c r="K985" i="1"/>
  <c r="J985" i="1"/>
  <c r="N984" i="1"/>
  <c r="M984" i="1"/>
  <c r="L984" i="1"/>
  <c r="K984" i="1"/>
  <c r="J984" i="1"/>
  <c r="N983" i="1"/>
  <c r="M983" i="1"/>
  <c r="L983" i="1"/>
  <c r="K983" i="1"/>
  <c r="J983" i="1"/>
  <c r="N982" i="1"/>
  <c r="M982" i="1"/>
  <c r="L982" i="1"/>
  <c r="K982" i="1"/>
  <c r="J982" i="1"/>
  <c r="N981" i="1"/>
  <c r="M981" i="1"/>
  <c r="L981" i="1"/>
  <c r="K981" i="1"/>
  <c r="J981" i="1"/>
  <c r="N980" i="1"/>
  <c r="M980" i="1"/>
  <c r="L980" i="1"/>
  <c r="K980" i="1"/>
  <c r="J980" i="1"/>
  <c r="N979" i="1"/>
  <c r="M979" i="1"/>
  <c r="L979" i="1"/>
  <c r="K979" i="1"/>
  <c r="J979" i="1"/>
  <c r="N978" i="1"/>
  <c r="M978" i="1"/>
  <c r="L978" i="1"/>
  <c r="K978" i="1"/>
  <c r="J978" i="1"/>
  <c r="N977" i="1"/>
  <c r="M977" i="1"/>
  <c r="L977" i="1"/>
  <c r="K977" i="1"/>
  <c r="J977" i="1"/>
  <c r="N976" i="1"/>
  <c r="M976" i="1"/>
  <c r="L976" i="1"/>
  <c r="K976" i="1"/>
  <c r="J976" i="1"/>
  <c r="N975" i="1"/>
  <c r="M975" i="1"/>
  <c r="L975" i="1"/>
  <c r="K975" i="1"/>
  <c r="J975" i="1"/>
  <c r="N974" i="1"/>
  <c r="M974" i="1"/>
  <c r="L974" i="1"/>
  <c r="K974" i="1"/>
  <c r="J974" i="1"/>
  <c r="N973" i="1"/>
  <c r="M973" i="1"/>
  <c r="L973" i="1"/>
  <c r="K973" i="1"/>
  <c r="J973" i="1"/>
  <c r="N972" i="1"/>
  <c r="M972" i="1"/>
  <c r="L972" i="1"/>
  <c r="K972" i="1"/>
  <c r="J972" i="1"/>
  <c r="N971" i="1"/>
  <c r="M971" i="1"/>
  <c r="L971" i="1"/>
  <c r="K971" i="1"/>
  <c r="J971" i="1"/>
  <c r="N970" i="1"/>
  <c r="M970" i="1"/>
  <c r="L970" i="1"/>
  <c r="K970" i="1"/>
  <c r="J970" i="1"/>
  <c r="N969" i="1"/>
  <c r="M969" i="1"/>
  <c r="L969" i="1"/>
  <c r="K969" i="1"/>
  <c r="J969" i="1"/>
  <c r="N968" i="1"/>
  <c r="M968" i="1"/>
  <c r="L968" i="1"/>
  <c r="K968" i="1"/>
  <c r="J968" i="1"/>
  <c r="N967" i="1"/>
  <c r="M967" i="1"/>
  <c r="L967" i="1"/>
  <c r="K967" i="1"/>
  <c r="J967" i="1"/>
  <c r="N966" i="1"/>
  <c r="M966" i="1"/>
  <c r="L966" i="1"/>
  <c r="K966" i="1"/>
  <c r="J966" i="1"/>
  <c r="N965" i="1"/>
  <c r="M965" i="1"/>
  <c r="L965" i="1"/>
  <c r="K965" i="1"/>
  <c r="J965" i="1"/>
  <c r="N964" i="1"/>
  <c r="M964" i="1"/>
  <c r="L964" i="1"/>
  <c r="K964" i="1"/>
  <c r="J964" i="1"/>
  <c r="N963" i="1"/>
  <c r="M963" i="1"/>
  <c r="L963" i="1"/>
  <c r="K963" i="1"/>
  <c r="J963" i="1"/>
  <c r="N962" i="1"/>
  <c r="M962" i="1"/>
  <c r="L962" i="1"/>
  <c r="K962" i="1"/>
  <c r="J962" i="1"/>
  <c r="N961" i="1"/>
  <c r="M961" i="1"/>
  <c r="L961" i="1"/>
  <c r="K961" i="1"/>
  <c r="J961" i="1"/>
  <c r="N960" i="1"/>
  <c r="M960" i="1"/>
  <c r="L960" i="1"/>
  <c r="K960" i="1"/>
  <c r="J960" i="1"/>
  <c r="N959" i="1"/>
  <c r="M959" i="1"/>
  <c r="L959" i="1"/>
  <c r="K959" i="1"/>
  <c r="J959" i="1"/>
  <c r="N958" i="1"/>
  <c r="M958" i="1"/>
  <c r="L958" i="1"/>
  <c r="K958" i="1"/>
  <c r="J958" i="1"/>
  <c r="N957" i="1"/>
  <c r="M957" i="1"/>
  <c r="L957" i="1"/>
  <c r="K957" i="1"/>
  <c r="J957" i="1"/>
  <c r="N956" i="1"/>
  <c r="M956" i="1"/>
  <c r="L956" i="1"/>
  <c r="K956" i="1"/>
  <c r="J956" i="1"/>
  <c r="N955" i="1"/>
  <c r="M955" i="1"/>
  <c r="L955" i="1"/>
  <c r="K955" i="1"/>
  <c r="J955" i="1"/>
  <c r="N954" i="1"/>
  <c r="M954" i="1"/>
  <c r="L954" i="1"/>
  <c r="K954" i="1"/>
  <c r="J954" i="1"/>
  <c r="N953" i="1"/>
  <c r="M953" i="1"/>
  <c r="L953" i="1"/>
  <c r="K953" i="1"/>
  <c r="J953" i="1"/>
  <c r="N952" i="1"/>
  <c r="M952" i="1"/>
  <c r="L952" i="1"/>
  <c r="K952" i="1"/>
  <c r="J952" i="1"/>
  <c r="N951" i="1"/>
  <c r="M951" i="1"/>
  <c r="L951" i="1"/>
  <c r="K951" i="1"/>
  <c r="J951" i="1"/>
  <c r="N950" i="1"/>
  <c r="M950" i="1"/>
  <c r="L950" i="1"/>
  <c r="K950" i="1"/>
  <c r="J950" i="1"/>
  <c r="N949" i="1"/>
  <c r="M949" i="1"/>
  <c r="L949" i="1"/>
  <c r="K949" i="1"/>
  <c r="J949" i="1"/>
  <c r="N948" i="1"/>
  <c r="M948" i="1"/>
  <c r="L948" i="1"/>
  <c r="K948" i="1"/>
  <c r="J948" i="1"/>
  <c r="N947" i="1"/>
  <c r="M947" i="1"/>
  <c r="L947" i="1"/>
  <c r="K947" i="1"/>
  <c r="J947" i="1"/>
  <c r="N946" i="1"/>
  <c r="M946" i="1"/>
  <c r="L946" i="1"/>
  <c r="K946" i="1"/>
  <c r="J946" i="1"/>
  <c r="N945" i="1"/>
  <c r="M945" i="1"/>
  <c r="L945" i="1"/>
  <c r="K945" i="1"/>
  <c r="J945" i="1"/>
  <c r="N944" i="1"/>
  <c r="M944" i="1"/>
  <c r="L944" i="1"/>
  <c r="K944" i="1"/>
  <c r="J944" i="1"/>
  <c r="N943" i="1"/>
  <c r="M943" i="1"/>
  <c r="L943" i="1"/>
  <c r="K943" i="1"/>
  <c r="J943" i="1"/>
  <c r="N942" i="1"/>
  <c r="M942" i="1"/>
  <c r="L942" i="1"/>
  <c r="K942" i="1"/>
  <c r="J942" i="1"/>
  <c r="N941" i="1"/>
  <c r="M941" i="1"/>
  <c r="L941" i="1"/>
  <c r="K941" i="1"/>
  <c r="J941" i="1"/>
  <c r="N940" i="1"/>
  <c r="M940" i="1"/>
  <c r="L940" i="1"/>
  <c r="K940" i="1"/>
  <c r="J940" i="1"/>
  <c r="N939" i="1"/>
  <c r="M939" i="1"/>
  <c r="L939" i="1"/>
  <c r="K939" i="1"/>
  <c r="J939" i="1"/>
  <c r="N938" i="1"/>
  <c r="M938" i="1"/>
  <c r="L938" i="1"/>
  <c r="K938" i="1"/>
  <c r="J938" i="1"/>
  <c r="N937" i="1"/>
  <c r="M937" i="1"/>
  <c r="L937" i="1"/>
  <c r="K937" i="1"/>
  <c r="J937" i="1"/>
  <c r="N936" i="1"/>
  <c r="M936" i="1"/>
  <c r="L936" i="1"/>
  <c r="K936" i="1"/>
  <c r="J936" i="1"/>
  <c r="N935" i="1"/>
  <c r="M935" i="1"/>
  <c r="L935" i="1"/>
  <c r="K935" i="1"/>
  <c r="J935" i="1"/>
  <c r="N934" i="1"/>
  <c r="M934" i="1"/>
  <c r="L934" i="1"/>
  <c r="K934" i="1"/>
  <c r="J934" i="1"/>
  <c r="N933" i="1"/>
  <c r="M933" i="1"/>
  <c r="L933" i="1"/>
  <c r="K933" i="1"/>
  <c r="J933" i="1"/>
  <c r="N932" i="1"/>
  <c r="M932" i="1"/>
  <c r="L932" i="1"/>
  <c r="K932" i="1"/>
  <c r="J932" i="1"/>
  <c r="N931" i="1"/>
  <c r="M931" i="1"/>
  <c r="L931" i="1"/>
  <c r="K931" i="1"/>
  <c r="J931" i="1"/>
  <c r="N930" i="1"/>
  <c r="M930" i="1"/>
  <c r="L930" i="1"/>
  <c r="K930" i="1"/>
  <c r="J930" i="1"/>
  <c r="N929" i="1"/>
  <c r="M929" i="1"/>
  <c r="L929" i="1"/>
  <c r="K929" i="1"/>
  <c r="J929" i="1"/>
  <c r="N928" i="1"/>
  <c r="M928" i="1"/>
  <c r="L928" i="1"/>
  <c r="K928" i="1"/>
  <c r="J928" i="1"/>
  <c r="N927" i="1"/>
  <c r="M927" i="1"/>
  <c r="L927" i="1"/>
  <c r="K927" i="1"/>
  <c r="J927" i="1"/>
  <c r="N926" i="1"/>
  <c r="M926" i="1"/>
  <c r="L926" i="1"/>
  <c r="K926" i="1"/>
  <c r="J926" i="1"/>
  <c r="N925" i="1"/>
  <c r="M925" i="1"/>
  <c r="L925" i="1"/>
  <c r="K925" i="1"/>
  <c r="J925" i="1"/>
  <c r="N924" i="1"/>
  <c r="M924" i="1"/>
  <c r="L924" i="1"/>
  <c r="K924" i="1"/>
  <c r="J924" i="1"/>
  <c r="N923" i="1"/>
  <c r="M923" i="1"/>
  <c r="L923" i="1"/>
  <c r="K923" i="1"/>
  <c r="J923" i="1"/>
  <c r="N922" i="1"/>
  <c r="M922" i="1"/>
  <c r="L922" i="1"/>
  <c r="K922" i="1"/>
  <c r="J922" i="1"/>
  <c r="N921" i="1"/>
  <c r="M921" i="1"/>
  <c r="L921" i="1"/>
  <c r="K921" i="1"/>
  <c r="J921" i="1"/>
  <c r="N920" i="1"/>
  <c r="M920" i="1"/>
  <c r="L920" i="1"/>
  <c r="K920" i="1"/>
  <c r="J920" i="1"/>
  <c r="N919" i="1"/>
  <c r="M919" i="1"/>
  <c r="L919" i="1"/>
  <c r="K919" i="1"/>
  <c r="J919" i="1"/>
  <c r="N918" i="1"/>
  <c r="M918" i="1"/>
  <c r="L918" i="1"/>
  <c r="K918" i="1"/>
  <c r="J918" i="1"/>
  <c r="N917" i="1"/>
  <c r="M917" i="1"/>
  <c r="L917" i="1"/>
  <c r="K917" i="1"/>
  <c r="J917" i="1"/>
  <c r="N916" i="1"/>
  <c r="M916" i="1"/>
  <c r="L916" i="1"/>
  <c r="K916" i="1"/>
  <c r="J916" i="1"/>
  <c r="N915" i="1"/>
  <c r="M915" i="1"/>
  <c r="L915" i="1"/>
  <c r="K915" i="1"/>
  <c r="J915" i="1"/>
  <c r="N914" i="1"/>
  <c r="M914" i="1"/>
  <c r="L914" i="1"/>
  <c r="K914" i="1"/>
  <c r="J914" i="1"/>
  <c r="N913" i="1"/>
  <c r="M913" i="1"/>
  <c r="L913" i="1"/>
  <c r="K913" i="1"/>
  <c r="J913" i="1"/>
  <c r="N912" i="1"/>
  <c r="M912" i="1"/>
  <c r="L912" i="1"/>
  <c r="K912" i="1"/>
  <c r="J912" i="1"/>
  <c r="N911" i="1"/>
  <c r="M911" i="1"/>
  <c r="L911" i="1"/>
  <c r="K911" i="1"/>
  <c r="J911" i="1"/>
  <c r="N910" i="1"/>
  <c r="M910" i="1"/>
  <c r="L910" i="1"/>
  <c r="K910" i="1"/>
  <c r="J910" i="1"/>
  <c r="N909" i="1"/>
  <c r="M909" i="1"/>
  <c r="L909" i="1"/>
  <c r="K909" i="1"/>
  <c r="J909" i="1"/>
  <c r="N908" i="1"/>
  <c r="M908" i="1"/>
  <c r="L908" i="1"/>
  <c r="K908" i="1"/>
  <c r="J908" i="1"/>
  <c r="N907" i="1"/>
  <c r="M907" i="1"/>
  <c r="L907" i="1"/>
  <c r="K907" i="1"/>
  <c r="J907" i="1"/>
  <c r="N906" i="1"/>
  <c r="M906" i="1"/>
  <c r="L906" i="1"/>
  <c r="K906" i="1"/>
  <c r="J906" i="1"/>
  <c r="N905" i="1"/>
  <c r="M905" i="1"/>
  <c r="L905" i="1"/>
  <c r="K905" i="1"/>
  <c r="J905" i="1"/>
  <c r="N904" i="1"/>
  <c r="M904" i="1"/>
  <c r="L904" i="1"/>
  <c r="K904" i="1"/>
  <c r="J904" i="1"/>
  <c r="N903" i="1"/>
  <c r="M903" i="1"/>
  <c r="L903" i="1"/>
  <c r="K903" i="1"/>
  <c r="J903" i="1"/>
  <c r="N902" i="1"/>
  <c r="M902" i="1"/>
  <c r="L902" i="1"/>
  <c r="K902" i="1"/>
  <c r="J902" i="1"/>
  <c r="N901" i="1"/>
  <c r="M901" i="1"/>
  <c r="L901" i="1"/>
  <c r="K901" i="1"/>
  <c r="J901" i="1"/>
  <c r="N900" i="1"/>
  <c r="M900" i="1"/>
  <c r="L900" i="1"/>
  <c r="K900" i="1"/>
  <c r="J900" i="1"/>
  <c r="N899" i="1"/>
  <c r="M899" i="1"/>
  <c r="L899" i="1"/>
  <c r="K899" i="1"/>
  <c r="J899" i="1"/>
  <c r="N898" i="1"/>
  <c r="M898" i="1"/>
  <c r="L898" i="1"/>
  <c r="K898" i="1"/>
  <c r="J898" i="1"/>
  <c r="N897" i="1"/>
  <c r="M897" i="1"/>
  <c r="L897" i="1"/>
  <c r="K897" i="1"/>
  <c r="J897" i="1"/>
  <c r="N896" i="1"/>
  <c r="M896" i="1"/>
  <c r="L896" i="1"/>
  <c r="K896" i="1"/>
  <c r="J896" i="1"/>
  <c r="N895" i="1"/>
  <c r="M895" i="1"/>
  <c r="L895" i="1"/>
  <c r="K895" i="1"/>
  <c r="J895" i="1"/>
  <c r="N894" i="1"/>
  <c r="M894" i="1"/>
  <c r="L894" i="1"/>
  <c r="K894" i="1"/>
  <c r="J894" i="1"/>
  <c r="N893" i="1"/>
  <c r="M893" i="1"/>
  <c r="L893" i="1"/>
  <c r="K893" i="1"/>
  <c r="J893" i="1"/>
  <c r="N892" i="1"/>
  <c r="M892" i="1"/>
  <c r="L892" i="1"/>
  <c r="K892" i="1"/>
  <c r="J892" i="1"/>
  <c r="N891" i="1"/>
  <c r="M891" i="1"/>
  <c r="L891" i="1"/>
  <c r="K891" i="1"/>
  <c r="J891" i="1"/>
  <c r="N890" i="1"/>
  <c r="M890" i="1"/>
  <c r="L890" i="1"/>
  <c r="K890" i="1"/>
  <c r="J890" i="1"/>
  <c r="N889" i="1"/>
  <c r="M889" i="1"/>
  <c r="L889" i="1"/>
  <c r="K889" i="1"/>
  <c r="J889" i="1"/>
  <c r="N888" i="1"/>
  <c r="M888" i="1"/>
  <c r="L888" i="1"/>
  <c r="K888" i="1"/>
  <c r="J888" i="1"/>
  <c r="N887" i="1"/>
  <c r="M887" i="1"/>
  <c r="L887" i="1"/>
  <c r="K887" i="1"/>
  <c r="J887" i="1"/>
  <c r="N886" i="1"/>
  <c r="M886" i="1"/>
  <c r="L886" i="1"/>
  <c r="K886" i="1"/>
  <c r="J886" i="1"/>
  <c r="N885" i="1"/>
  <c r="M885" i="1"/>
  <c r="L885" i="1"/>
  <c r="K885" i="1"/>
  <c r="J885" i="1"/>
  <c r="N884" i="1"/>
  <c r="M884" i="1"/>
  <c r="L884" i="1"/>
  <c r="K884" i="1"/>
  <c r="J884" i="1"/>
  <c r="N883" i="1"/>
  <c r="M883" i="1"/>
  <c r="L883" i="1"/>
  <c r="K883" i="1"/>
  <c r="J883" i="1"/>
  <c r="N882" i="1"/>
  <c r="M882" i="1"/>
  <c r="L882" i="1"/>
  <c r="K882" i="1"/>
  <c r="J882" i="1"/>
  <c r="N881" i="1"/>
  <c r="M881" i="1"/>
  <c r="L881" i="1"/>
  <c r="K881" i="1"/>
  <c r="J881" i="1"/>
  <c r="N880" i="1"/>
  <c r="M880" i="1"/>
  <c r="L880" i="1"/>
  <c r="K880" i="1"/>
  <c r="J880" i="1"/>
  <c r="N879" i="1"/>
  <c r="M879" i="1"/>
  <c r="L879" i="1"/>
  <c r="K879" i="1"/>
  <c r="J879" i="1"/>
  <c r="N878" i="1"/>
  <c r="M878" i="1"/>
  <c r="L878" i="1"/>
  <c r="K878" i="1"/>
  <c r="J878" i="1"/>
  <c r="N877" i="1"/>
  <c r="M877" i="1"/>
  <c r="L877" i="1"/>
  <c r="K877" i="1"/>
  <c r="J877" i="1"/>
  <c r="N876" i="1"/>
  <c r="M876" i="1"/>
  <c r="L876" i="1"/>
  <c r="K876" i="1"/>
  <c r="J876" i="1"/>
  <c r="N875" i="1"/>
  <c r="M875" i="1"/>
  <c r="L875" i="1"/>
  <c r="K875" i="1"/>
  <c r="J875" i="1"/>
  <c r="N874" i="1"/>
  <c r="M874" i="1"/>
  <c r="L874" i="1"/>
  <c r="K874" i="1"/>
  <c r="J874" i="1"/>
  <c r="N873" i="1"/>
  <c r="M873" i="1"/>
  <c r="L873" i="1"/>
  <c r="K873" i="1"/>
  <c r="J873" i="1"/>
  <c r="N872" i="1"/>
  <c r="M872" i="1"/>
  <c r="L872" i="1"/>
  <c r="K872" i="1"/>
  <c r="J872" i="1"/>
  <c r="N871" i="1"/>
  <c r="M871" i="1"/>
  <c r="L871" i="1"/>
  <c r="K871" i="1"/>
  <c r="J871" i="1"/>
  <c r="N870" i="1"/>
  <c r="M870" i="1"/>
  <c r="L870" i="1"/>
  <c r="K870" i="1"/>
  <c r="J870" i="1"/>
  <c r="N869" i="1"/>
  <c r="M869" i="1"/>
  <c r="L869" i="1"/>
  <c r="K869" i="1"/>
  <c r="J869" i="1"/>
  <c r="N868" i="1"/>
  <c r="M868" i="1"/>
  <c r="L868" i="1"/>
  <c r="K868" i="1"/>
  <c r="J868" i="1"/>
  <c r="N867" i="1"/>
  <c r="M867" i="1"/>
  <c r="L867" i="1"/>
  <c r="K867" i="1"/>
  <c r="J867" i="1"/>
  <c r="N866" i="1"/>
  <c r="M866" i="1"/>
  <c r="L866" i="1"/>
  <c r="K866" i="1"/>
  <c r="J866" i="1"/>
  <c r="N865" i="1"/>
  <c r="M865" i="1"/>
  <c r="L865" i="1"/>
  <c r="K865" i="1"/>
  <c r="J865" i="1"/>
  <c r="N864" i="1"/>
  <c r="M864" i="1"/>
  <c r="L864" i="1"/>
  <c r="K864" i="1"/>
  <c r="J864" i="1"/>
  <c r="N863" i="1"/>
  <c r="M863" i="1"/>
  <c r="L863" i="1"/>
  <c r="K863" i="1"/>
  <c r="J863" i="1"/>
  <c r="N862" i="1"/>
  <c r="M862" i="1"/>
  <c r="L862" i="1"/>
  <c r="K862" i="1"/>
  <c r="J862" i="1"/>
  <c r="N861" i="1"/>
  <c r="M861" i="1"/>
  <c r="L861" i="1"/>
  <c r="K861" i="1"/>
  <c r="J861" i="1"/>
  <c r="N860" i="1"/>
  <c r="M860" i="1"/>
  <c r="L860" i="1"/>
  <c r="K860" i="1"/>
  <c r="J860" i="1"/>
  <c r="N859" i="1"/>
  <c r="M859" i="1"/>
  <c r="L859" i="1"/>
  <c r="K859" i="1"/>
  <c r="J859" i="1"/>
  <c r="N858" i="1"/>
  <c r="M858" i="1"/>
  <c r="L858" i="1"/>
  <c r="K858" i="1"/>
  <c r="J858" i="1"/>
  <c r="N857" i="1"/>
  <c r="M857" i="1"/>
  <c r="L857" i="1"/>
  <c r="K857" i="1"/>
  <c r="J857" i="1"/>
  <c r="N856" i="1"/>
  <c r="M856" i="1"/>
  <c r="L856" i="1"/>
  <c r="K856" i="1"/>
  <c r="J856" i="1"/>
  <c r="N855" i="1"/>
  <c r="M855" i="1"/>
  <c r="L855" i="1"/>
  <c r="K855" i="1"/>
  <c r="J855" i="1"/>
  <c r="N854" i="1"/>
  <c r="M854" i="1"/>
  <c r="L854" i="1"/>
  <c r="K854" i="1"/>
  <c r="J854" i="1"/>
  <c r="N853" i="1"/>
  <c r="M853" i="1"/>
  <c r="L853" i="1"/>
  <c r="K853" i="1"/>
  <c r="J853" i="1"/>
  <c r="N852" i="1"/>
  <c r="M852" i="1"/>
  <c r="L852" i="1"/>
  <c r="K852" i="1"/>
  <c r="J852" i="1"/>
  <c r="N851" i="1"/>
  <c r="M851" i="1"/>
  <c r="L851" i="1"/>
  <c r="K851" i="1"/>
  <c r="J851" i="1"/>
  <c r="N850" i="1"/>
  <c r="M850" i="1"/>
  <c r="L850" i="1"/>
  <c r="K850" i="1"/>
  <c r="J850" i="1"/>
  <c r="N849" i="1"/>
  <c r="M849" i="1"/>
  <c r="L849" i="1"/>
  <c r="K849" i="1"/>
  <c r="J849" i="1"/>
  <c r="N848" i="1"/>
  <c r="M848" i="1"/>
  <c r="L848" i="1"/>
  <c r="K848" i="1"/>
  <c r="J848" i="1"/>
  <c r="N847" i="1"/>
  <c r="M847" i="1"/>
  <c r="L847" i="1"/>
  <c r="K847" i="1"/>
  <c r="J847" i="1"/>
  <c r="N846" i="1"/>
  <c r="M846" i="1"/>
  <c r="L846" i="1"/>
  <c r="K846" i="1"/>
  <c r="J846" i="1"/>
  <c r="N845" i="1"/>
  <c r="M845" i="1"/>
  <c r="L845" i="1"/>
  <c r="K845" i="1"/>
  <c r="J845" i="1"/>
  <c r="N844" i="1"/>
  <c r="M844" i="1"/>
  <c r="L844" i="1"/>
  <c r="K844" i="1"/>
  <c r="J844" i="1"/>
  <c r="N843" i="1"/>
  <c r="M843" i="1"/>
  <c r="L843" i="1"/>
  <c r="K843" i="1"/>
  <c r="J843" i="1"/>
  <c r="N842" i="1"/>
  <c r="M842" i="1"/>
  <c r="L842" i="1"/>
  <c r="K842" i="1"/>
  <c r="J842" i="1"/>
  <c r="N841" i="1"/>
  <c r="M841" i="1"/>
  <c r="L841" i="1"/>
  <c r="K841" i="1"/>
  <c r="J841" i="1"/>
  <c r="N840" i="1"/>
  <c r="M840" i="1"/>
  <c r="L840" i="1"/>
  <c r="K840" i="1"/>
  <c r="J840" i="1"/>
  <c r="N839" i="1"/>
  <c r="M839" i="1"/>
  <c r="L839" i="1"/>
  <c r="K839" i="1"/>
  <c r="J839" i="1"/>
  <c r="N838" i="1"/>
  <c r="M838" i="1"/>
  <c r="L838" i="1"/>
  <c r="K838" i="1"/>
  <c r="J838" i="1"/>
  <c r="N837" i="1"/>
  <c r="M837" i="1"/>
  <c r="L837" i="1"/>
  <c r="K837" i="1"/>
  <c r="J837" i="1"/>
  <c r="N836" i="1"/>
  <c r="M836" i="1"/>
  <c r="L836" i="1"/>
  <c r="K836" i="1"/>
  <c r="J836" i="1"/>
  <c r="N835" i="1"/>
  <c r="M835" i="1"/>
  <c r="L835" i="1"/>
  <c r="K835" i="1"/>
  <c r="J835" i="1"/>
  <c r="N834" i="1"/>
  <c r="M834" i="1"/>
  <c r="L834" i="1"/>
  <c r="K834" i="1"/>
  <c r="J834" i="1"/>
  <c r="N833" i="1"/>
  <c r="M833" i="1"/>
  <c r="L833" i="1"/>
  <c r="K833" i="1"/>
  <c r="J833" i="1"/>
  <c r="N832" i="1"/>
  <c r="M832" i="1"/>
  <c r="L832" i="1"/>
  <c r="K832" i="1"/>
  <c r="J832" i="1"/>
  <c r="N831" i="1"/>
  <c r="M831" i="1"/>
  <c r="L831" i="1"/>
  <c r="K831" i="1"/>
  <c r="J831" i="1"/>
  <c r="N830" i="1"/>
  <c r="M830" i="1"/>
  <c r="L830" i="1"/>
  <c r="K830" i="1"/>
  <c r="J830" i="1"/>
  <c r="N829" i="1"/>
  <c r="M829" i="1"/>
  <c r="L829" i="1"/>
  <c r="K829" i="1"/>
  <c r="J829" i="1"/>
  <c r="N828" i="1"/>
  <c r="M828" i="1"/>
  <c r="L828" i="1"/>
  <c r="K828" i="1"/>
  <c r="J828" i="1"/>
  <c r="N827" i="1"/>
  <c r="M827" i="1"/>
  <c r="L827" i="1"/>
  <c r="K827" i="1"/>
  <c r="J827" i="1"/>
  <c r="N826" i="1"/>
  <c r="M826" i="1"/>
  <c r="L826" i="1"/>
  <c r="K826" i="1"/>
  <c r="J826" i="1"/>
  <c r="N825" i="1"/>
  <c r="M825" i="1"/>
  <c r="L825" i="1"/>
  <c r="K825" i="1"/>
  <c r="J825" i="1"/>
  <c r="N824" i="1"/>
  <c r="M824" i="1"/>
  <c r="L824" i="1"/>
  <c r="K824" i="1"/>
  <c r="J824" i="1"/>
  <c r="N823" i="1"/>
  <c r="M823" i="1"/>
  <c r="L823" i="1"/>
  <c r="K823" i="1"/>
  <c r="J823" i="1"/>
  <c r="N822" i="1"/>
  <c r="M822" i="1"/>
  <c r="L822" i="1"/>
  <c r="K822" i="1"/>
  <c r="J822" i="1"/>
  <c r="N821" i="1"/>
  <c r="M821" i="1"/>
  <c r="L821" i="1"/>
  <c r="K821" i="1"/>
  <c r="J821" i="1"/>
  <c r="N820" i="1"/>
  <c r="M820" i="1"/>
  <c r="L820" i="1"/>
  <c r="K820" i="1"/>
  <c r="J820" i="1"/>
  <c r="N819" i="1"/>
  <c r="M819" i="1"/>
  <c r="L819" i="1"/>
  <c r="K819" i="1"/>
  <c r="J819" i="1"/>
  <c r="N818" i="1"/>
  <c r="M818" i="1"/>
  <c r="L818" i="1"/>
  <c r="K818" i="1"/>
  <c r="J818" i="1"/>
  <c r="N817" i="1"/>
  <c r="M817" i="1"/>
  <c r="L817" i="1"/>
  <c r="K817" i="1"/>
  <c r="J817" i="1"/>
  <c r="N816" i="1"/>
  <c r="M816" i="1"/>
  <c r="L816" i="1"/>
  <c r="K816" i="1"/>
  <c r="J816" i="1"/>
  <c r="N815" i="1"/>
  <c r="M815" i="1"/>
  <c r="L815" i="1"/>
  <c r="K815" i="1"/>
  <c r="J815" i="1"/>
  <c r="N814" i="1"/>
  <c r="M814" i="1"/>
  <c r="L814" i="1"/>
  <c r="K814" i="1"/>
  <c r="J814" i="1"/>
  <c r="N813" i="1"/>
  <c r="M813" i="1"/>
  <c r="L813" i="1"/>
  <c r="K813" i="1"/>
  <c r="J813" i="1"/>
  <c r="N812" i="1"/>
  <c r="M812" i="1"/>
  <c r="L812" i="1"/>
  <c r="K812" i="1"/>
  <c r="J812" i="1"/>
  <c r="N811" i="1"/>
  <c r="M811" i="1"/>
  <c r="L811" i="1"/>
  <c r="K811" i="1"/>
  <c r="J811" i="1"/>
  <c r="N810" i="1"/>
  <c r="M810" i="1"/>
  <c r="L810" i="1"/>
  <c r="K810" i="1"/>
  <c r="J810" i="1"/>
  <c r="N809" i="1"/>
  <c r="M809" i="1"/>
  <c r="L809" i="1"/>
  <c r="K809" i="1"/>
  <c r="J809" i="1"/>
  <c r="N808" i="1"/>
  <c r="M808" i="1"/>
  <c r="L808" i="1"/>
  <c r="K808" i="1"/>
  <c r="J808" i="1"/>
  <c r="N807" i="1"/>
  <c r="M807" i="1"/>
  <c r="L807" i="1"/>
  <c r="K807" i="1"/>
  <c r="J807" i="1"/>
  <c r="N806" i="1"/>
  <c r="M806" i="1"/>
  <c r="L806" i="1"/>
  <c r="K806" i="1"/>
  <c r="J806" i="1"/>
  <c r="N805" i="1"/>
  <c r="M805" i="1"/>
  <c r="L805" i="1"/>
  <c r="K805" i="1"/>
  <c r="J805" i="1"/>
  <c r="N804" i="1"/>
  <c r="M804" i="1"/>
  <c r="L804" i="1"/>
  <c r="K804" i="1"/>
  <c r="J804" i="1"/>
  <c r="N803" i="1"/>
  <c r="M803" i="1"/>
  <c r="L803" i="1"/>
  <c r="K803" i="1"/>
  <c r="J803" i="1"/>
  <c r="N802" i="1"/>
  <c r="M802" i="1"/>
  <c r="L802" i="1"/>
  <c r="K802" i="1"/>
  <c r="J802" i="1"/>
  <c r="N801" i="1"/>
  <c r="M801" i="1"/>
  <c r="L801" i="1"/>
  <c r="K801" i="1"/>
  <c r="J801" i="1"/>
  <c r="N800" i="1"/>
  <c r="M800" i="1"/>
  <c r="L800" i="1"/>
  <c r="K800" i="1"/>
  <c r="J800" i="1"/>
  <c r="N799" i="1"/>
  <c r="M799" i="1"/>
  <c r="L799" i="1"/>
  <c r="K799" i="1"/>
  <c r="J799" i="1"/>
  <c r="N798" i="1"/>
  <c r="M798" i="1"/>
  <c r="L798" i="1"/>
  <c r="K798" i="1"/>
  <c r="J798" i="1"/>
  <c r="N797" i="1"/>
  <c r="M797" i="1"/>
  <c r="L797" i="1"/>
  <c r="K797" i="1"/>
  <c r="J797" i="1"/>
  <c r="N796" i="1"/>
  <c r="M796" i="1"/>
  <c r="L796" i="1"/>
  <c r="K796" i="1"/>
  <c r="J796" i="1"/>
  <c r="N795" i="1"/>
  <c r="M795" i="1"/>
  <c r="L795" i="1"/>
  <c r="K795" i="1"/>
  <c r="J795" i="1"/>
  <c r="N794" i="1"/>
  <c r="M794" i="1"/>
  <c r="L794" i="1"/>
  <c r="K794" i="1"/>
  <c r="J794" i="1"/>
  <c r="N793" i="1"/>
  <c r="M793" i="1"/>
  <c r="L793" i="1"/>
  <c r="K793" i="1"/>
  <c r="J793" i="1"/>
  <c r="N792" i="1"/>
  <c r="M792" i="1"/>
  <c r="L792" i="1"/>
  <c r="K792" i="1"/>
  <c r="J792" i="1"/>
  <c r="N791" i="1"/>
  <c r="M791" i="1"/>
  <c r="L791" i="1"/>
  <c r="K791" i="1"/>
  <c r="J791" i="1"/>
  <c r="N790" i="1"/>
  <c r="M790" i="1"/>
  <c r="L790" i="1"/>
  <c r="K790" i="1"/>
  <c r="J790" i="1"/>
  <c r="N789" i="1"/>
  <c r="M789" i="1"/>
  <c r="L789" i="1"/>
  <c r="K789" i="1"/>
  <c r="J789" i="1"/>
  <c r="N788" i="1"/>
  <c r="M788" i="1"/>
  <c r="L788" i="1"/>
  <c r="K788" i="1"/>
  <c r="J788" i="1"/>
  <c r="N787" i="1"/>
  <c r="M787" i="1"/>
  <c r="L787" i="1"/>
  <c r="K787" i="1"/>
  <c r="J787" i="1"/>
  <c r="N786" i="1"/>
  <c r="M786" i="1"/>
  <c r="L786" i="1"/>
  <c r="K786" i="1"/>
  <c r="J786" i="1"/>
  <c r="N785" i="1"/>
  <c r="M785" i="1"/>
  <c r="L785" i="1"/>
  <c r="K785" i="1"/>
  <c r="J785" i="1"/>
  <c r="N784" i="1"/>
  <c r="M784" i="1"/>
  <c r="L784" i="1"/>
  <c r="K784" i="1"/>
  <c r="J784" i="1"/>
  <c r="N783" i="1"/>
  <c r="M783" i="1"/>
  <c r="L783" i="1"/>
  <c r="K783" i="1"/>
  <c r="J783" i="1"/>
  <c r="N782" i="1"/>
  <c r="M782" i="1"/>
  <c r="L782" i="1"/>
  <c r="K782" i="1"/>
  <c r="J782" i="1"/>
  <c r="N781" i="1"/>
  <c r="M781" i="1"/>
  <c r="L781" i="1"/>
  <c r="K781" i="1"/>
  <c r="J781" i="1"/>
  <c r="N780" i="1"/>
  <c r="M780" i="1"/>
  <c r="L780" i="1"/>
  <c r="K780" i="1"/>
  <c r="J780" i="1"/>
  <c r="N779" i="1"/>
  <c r="M779" i="1"/>
  <c r="L779" i="1"/>
  <c r="K779" i="1"/>
  <c r="J779" i="1"/>
  <c r="N778" i="1"/>
  <c r="M778" i="1"/>
  <c r="L778" i="1"/>
  <c r="K778" i="1"/>
  <c r="J778" i="1"/>
  <c r="N777" i="1"/>
  <c r="M777" i="1"/>
  <c r="L777" i="1"/>
  <c r="K777" i="1"/>
  <c r="J777" i="1"/>
  <c r="N776" i="1"/>
  <c r="M776" i="1"/>
  <c r="L776" i="1"/>
  <c r="K776" i="1"/>
  <c r="J776" i="1"/>
  <c r="N775" i="1"/>
  <c r="M775" i="1"/>
  <c r="L775" i="1"/>
  <c r="K775" i="1"/>
  <c r="J775" i="1"/>
  <c r="N740" i="1"/>
  <c r="M740" i="1"/>
  <c r="L740" i="1"/>
  <c r="K740" i="1"/>
  <c r="J740" i="1"/>
  <c r="N739" i="1"/>
  <c r="M739" i="1"/>
  <c r="L739" i="1"/>
  <c r="K739" i="1"/>
  <c r="J739" i="1"/>
  <c r="N738" i="1"/>
  <c r="M738" i="1"/>
  <c r="L738" i="1"/>
  <c r="K738" i="1"/>
  <c r="J738" i="1"/>
  <c r="N737" i="1"/>
  <c r="M737" i="1"/>
  <c r="L737" i="1"/>
  <c r="K737" i="1"/>
  <c r="J737" i="1"/>
  <c r="N736" i="1"/>
  <c r="M736" i="1"/>
  <c r="L736" i="1"/>
  <c r="K736" i="1"/>
  <c r="J736" i="1"/>
  <c r="N735" i="1"/>
  <c r="M735" i="1"/>
  <c r="L735" i="1"/>
  <c r="K735" i="1"/>
  <c r="J735" i="1"/>
  <c r="N734" i="1"/>
  <c r="M734" i="1"/>
  <c r="L734" i="1"/>
  <c r="K734" i="1"/>
  <c r="J734" i="1"/>
  <c r="N733" i="1"/>
  <c r="M733" i="1"/>
  <c r="L733" i="1"/>
  <c r="K733" i="1"/>
  <c r="J733" i="1"/>
  <c r="N732" i="1"/>
  <c r="M732" i="1"/>
  <c r="L732" i="1"/>
  <c r="K732" i="1"/>
  <c r="J732" i="1"/>
  <c r="N731" i="1"/>
  <c r="M731" i="1"/>
  <c r="L731" i="1"/>
  <c r="K731" i="1"/>
  <c r="J731" i="1"/>
  <c r="N730" i="1"/>
  <c r="M730" i="1"/>
  <c r="L730" i="1"/>
  <c r="K730" i="1"/>
  <c r="J730" i="1"/>
  <c r="N729" i="1"/>
  <c r="M729" i="1"/>
  <c r="L729" i="1"/>
  <c r="K729" i="1"/>
  <c r="J729" i="1"/>
  <c r="N728" i="1"/>
  <c r="M728" i="1"/>
  <c r="L728" i="1"/>
  <c r="K728" i="1"/>
  <c r="J728" i="1"/>
  <c r="N727" i="1"/>
  <c r="M727" i="1"/>
  <c r="L727" i="1"/>
  <c r="K727" i="1"/>
  <c r="J727" i="1"/>
  <c r="N726" i="1"/>
  <c r="M726" i="1"/>
  <c r="L726" i="1"/>
  <c r="K726" i="1"/>
  <c r="J726" i="1"/>
  <c r="N725" i="1"/>
  <c r="M725" i="1"/>
  <c r="L725" i="1"/>
  <c r="K725" i="1"/>
  <c r="J725" i="1"/>
  <c r="N724" i="1"/>
  <c r="M724" i="1"/>
  <c r="L724" i="1"/>
  <c r="K724" i="1"/>
  <c r="J724" i="1"/>
  <c r="N723" i="1"/>
  <c r="M723" i="1"/>
  <c r="L723" i="1"/>
  <c r="K723" i="1"/>
  <c r="J723" i="1"/>
  <c r="N722" i="1"/>
  <c r="M722" i="1"/>
  <c r="L722" i="1"/>
  <c r="K722" i="1"/>
  <c r="J722" i="1"/>
  <c r="N721" i="1"/>
  <c r="M721" i="1"/>
  <c r="L721" i="1"/>
  <c r="K721" i="1"/>
  <c r="J721" i="1"/>
  <c r="N720" i="1"/>
  <c r="M720" i="1"/>
  <c r="L720" i="1"/>
  <c r="K720" i="1"/>
  <c r="J720" i="1"/>
  <c r="N719" i="1"/>
  <c r="M719" i="1"/>
  <c r="L719" i="1"/>
  <c r="K719" i="1"/>
  <c r="J719" i="1"/>
  <c r="N718" i="1"/>
  <c r="M718" i="1"/>
  <c r="L718" i="1"/>
  <c r="K718" i="1"/>
  <c r="J718" i="1"/>
  <c r="N717" i="1"/>
  <c r="M717" i="1"/>
  <c r="L717" i="1"/>
  <c r="K717" i="1"/>
  <c r="J717" i="1"/>
  <c r="N716" i="1"/>
  <c r="M716" i="1"/>
  <c r="L716" i="1"/>
  <c r="K716" i="1"/>
  <c r="J716" i="1"/>
  <c r="N715" i="1"/>
  <c r="M715" i="1"/>
  <c r="L715" i="1"/>
  <c r="K715" i="1"/>
  <c r="J715" i="1"/>
  <c r="N714" i="1"/>
  <c r="M714" i="1"/>
  <c r="L714" i="1"/>
  <c r="K714" i="1"/>
  <c r="J714" i="1"/>
  <c r="N713" i="1"/>
  <c r="M713" i="1"/>
  <c r="L713" i="1"/>
  <c r="K713" i="1"/>
  <c r="J713" i="1"/>
  <c r="N712" i="1"/>
  <c r="M712" i="1"/>
  <c r="L712" i="1"/>
  <c r="K712" i="1"/>
  <c r="J712" i="1"/>
  <c r="N711" i="1"/>
  <c r="M711" i="1"/>
  <c r="L711" i="1"/>
  <c r="K711" i="1"/>
  <c r="J711" i="1"/>
  <c r="N710" i="1"/>
  <c r="M710" i="1"/>
  <c r="L710" i="1"/>
  <c r="K710" i="1"/>
  <c r="J710" i="1"/>
  <c r="N709" i="1"/>
  <c r="M709" i="1"/>
  <c r="L709" i="1"/>
  <c r="K709" i="1"/>
  <c r="J709" i="1"/>
  <c r="N708" i="1"/>
  <c r="M708" i="1"/>
  <c r="L708" i="1"/>
  <c r="K708" i="1"/>
  <c r="J708" i="1"/>
  <c r="N707" i="1"/>
  <c r="M707" i="1"/>
  <c r="L707" i="1"/>
  <c r="K707" i="1"/>
  <c r="J707" i="1"/>
  <c r="N706" i="1"/>
  <c r="M706" i="1"/>
  <c r="L706" i="1"/>
  <c r="K706" i="1"/>
  <c r="J706" i="1"/>
  <c r="N705" i="1"/>
  <c r="M705" i="1"/>
  <c r="L705" i="1"/>
  <c r="K705" i="1"/>
  <c r="J705" i="1"/>
  <c r="N704" i="1"/>
  <c r="M704" i="1"/>
  <c r="L704" i="1"/>
  <c r="K704" i="1"/>
  <c r="J704" i="1"/>
  <c r="N703" i="1"/>
  <c r="M703" i="1"/>
  <c r="L703" i="1"/>
  <c r="K703" i="1"/>
  <c r="J703" i="1"/>
  <c r="N702" i="1"/>
  <c r="M702" i="1"/>
  <c r="L702" i="1"/>
  <c r="K702" i="1"/>
  <c r="J702" i="1"/>
  <c r="N701" i="1"/>
  <c r="M701" i="1"/>
  <c r="L701" i="1"/>
  <c r="K701" i="1"/>
  <c r="J701" i="1"/>
  <c r="N700" i="1"/>
  <c r="M700" i="1"/>
  <c r="L700" i="1"/>
  <c r="K700" i="1"/>
  <c r="J700" i="1"/>
  <c r="N699" i="1"/>
  <c r="M699" i="1"/>
  <c r="L699" i="1"/>
  <c r="K699" i="1"/>
  <c r="J699" i="1"/>
  <c r="N698" i="1"/>
  <c r="M698" i="1"/>
  <c r="L698" i="1"/>
  <c r="K698" i="1"/>
  <c r="J698" i="1"/>
  <c r="N697" i="1"/>
  <c r="M697" i="1"/>
  <c r="L697" i="1"/>
  <c r="K697" i="1"/>
  <c r="J697" i="1"/>
  <c r="N696" i="1"/>
  <c r="M696" i="1"/>
  <c r="L696" i="1"/>
  <c r="K696" i="1"/>
  <c r="J696" i="1"/>
  <c r="N695" i="1"/>
  <c r="M695" i="1"/>
  <c r="L695" i="1"/>
  <c r="K695" i="1"/>
  <c r="J695" i="1"/>
  <c r="N694" i="1"/>
  <c r="M694" i="1"/>
  <c r="L694" i="1"/>
  <c r="K694" i="1"/>
  <c r="J694" i="1"/>
  <c r="N693" i="1"/>
  <c r="M693" i="1"/>
  <c r="L693" i="1"/>
  <c r="K693" i="1"/>
  <c r="J693" i="1"/>
  <c r="N692" i="1"/>
  <c r="M692" i="1"/>
  <c r="L692" i="1"/>
  <c r="K692" i="1"/>
  <c r="J692" i="1"/>
  <c r="N691" i="1"/>
  <c r="M691" i="1"/>
  <c r="L691" i="1"/>
  <c r="K691" i="1"/>
  <c r="J691" i="1"/>
  <c r="N690" i="1"/>
  <c r="M690" i="1"/>
  <c r="L690" i="1"/>
  <c r="K690" i="1"/>
  <c r="J690" i="1"/>
  <c r="N689" i="1"/>
  <c r="M689" i="1"/>
  <c r="L689" i="1"/>
  <c r="K689" i="1"/>
  <c r="J689" i="1"/>
  <c r="N688" i="1"/>
  <c r="M688" i="1"/>
  <c r="L688" i="1"/>
  <c r="K688" i="1"/>
  <c r="J688" i="1"/>
  <c r="N687" i="1"/>
  <c r="M687" i="1"/>
  <c r="L687" i="1"/>
  <c r="K687" i="1"/>
  <c r="J687" i="1"/>
  <c r="N686" i="1"/>
  <c r="M686" i="1"/>
  <c r="L686" i="1"/>
  <c r="K686" i="1"/>
  <c r="J686" i="1"/>
  <c r="N685" i="1"/>
  <c r="M685" i="1"/>
  <c r="L685" i="1"/>
  <c r="K685" i="1"/>
  <c r="J685" i="1"/>
  <c r="N684" i="1"/>
  <c r="M684" i="1"/>
  <c r="L684" i="1"/>
  <c r="K684" i="1"/>
  <c r="J684" i="1"/>
  <c r="N683" i="1"/>
  <c r="M683" i="1"/>
  <c r="L683" i="1"/>
  <c r="K683" i="1"/>
  <c r="J683" i="1"/>
  <c r="N682" i="1"/>
  <c r="M682" i="1"/>
  <c r="L682" i="1"/>
  <c r="K682" i="1"/>
  <c r="J682" i="1"/>
  <c r="N681" i="1"/>
  <c r="M681" i="1"/>
  <c r="L681" i="1"/>
  <c r="K681" i="1"/>
  <c r="J681" i="1"/>
  <c r="N680" i="1"/>
  <c r="M680" i="1"/>
  <c r="L680" i="1"/>
  <c r="K680" i="1"/>
  <c r="J680" i="1"/>
  <c r="N679" i="1"/>
  <c r="M679" i="1"/>
  <c r="L679" i="1"/>
  <c r="K679" i="1"/>
  <c r="J679" i="1"/>
  <c r="N678" i="1"/>
  <c r="M678" i="1"/>
  <c r="L678" i="1"/>
  <c r="K678" i="1"/>
  <c r="J678" i="1"/>
  <c r="N677" i="1"/>
  <c r="M677" i="1"/>
  <c r="L677" i="1"/>
  <c r="K677" i="1"/>
  <c r="J677" i="1"/>
  <c r="N676" i="1"/>
  <c r="M676" i="1"/>
  <c r="L676" i="1"/>
  <c r="K676" i="1"/>
  <c r="J676" i="1"/>
  <c r="N675" i="1"/>
  <c r="M675" i="1"/>
  <c r="L675" i="1"/>
  <c r="K675" i="1"/>
  <c r="J675" i="1"/>
  <c r="N674" i="1"/>
  <c r="M674" i="1"/>
  <c r="L674" i="1"/>
  <c r="K674" i="1"/>
  <c r="J674" i="1"/>
  <c r="N673" i="1"/>
  <c r="M673" i="1"/>
  <c r="L673" i="1"/>
  <c r="K673" i="1"/>
  <c r="J673" i="1"/>
  <c r="N672" i="1"/>
  <c r="M672" i="1"/>
  <c r="L672" i="1"/>
  <c r="K672" i="1"/>
  <c r="J672" i="1"/>
  <c r="N671" i="1"/>
  <c r="M671" i="1"/>
  <c r="L671" i="1"/>
  <c r="K671" i="1"/>
  <c r="J671" i="1"/>
  <c r="N670" i="1"/>
  <c r="M670" i="1"/>
  <c r="L670" i="1"/>
  <c r="K670" i="1"/>
  <c r="J670" i="1"/>
  <c r="N669" i="1"/>
  <c r="M669" i="1"/>
  <c r="L669" i="1"/>
  <c r="K669" i="1"/>
  <c r="J669" i="1"/>
  <c r="N657" i="1"/>
  <c r="M657" i="1"/>
  <c r="L657" i="1"/>
  <c r="K657" i="1"/>
  <c r="J657" i="1"/>
  <c r="N656" i="1"/>
  <c r="M656" i="1"/>
  <c r="L656" i="1"/>
  <c r="K656" i="1"/>
  <c r="J656" i="1"/>
  <c r="N655" i="1"/>
  <c r="M655" i="1"/>
  <c r="L655" i="1"/>
  <c r="K655" i="1"/>
  <c r="J655" i="1"/>
  <c r="N654" i="1"/>
  <c r="M654" i="1"/>
  <c r="L654" i="1"/>
  <c r="K654" i="1"/>
  <c r="J654" i="1"/>
  <c r="N653" i="1"/>
  <c r="M653" i="1"/>
  <c r="L653" i="1"/>
  <c r="K653" i="1"/>
  <c r="J653" i="1"/>
  <c r="N652" i="1"/>
  <c r="M652" i="1"/>
  <c r="L652" i="1"/>
  <c r="K652" i="1"/>
  <c r="J652" i="1"/>
  <c r="N651" i="1"/>
  <c r="M651" i="1"/>
  <c r="L651" i="1"/>
  <c r="K651" i="1"/>
  <c r="J651" i="1"/>
  <c r="N650" i="1"/>
  <c r="M650" i="1"/>
  <c r="L650" i="1"/>
  <c r="K650" i="1"/>
  <c r="J650" i="1"/>
  <c r="N649" i="1"/>
  <c r="M649" i="1"/>
  <c r="L649" i="1"/>
  <c r="K649" i="1"/>
  <c r="J649" i="1"/>
  <c r="N648" i="1"/>
  <c r="M648" i="1"/>
  <c r="L648" i="1"/>
  <c r="K648" i="1"/>
  <c r="J648" i="1"/>
  <c r="N647" i="1"/>
  <c r="M647" i="1"/>
  <c r="L647" i="1"/>
  <c r="K647" i="1"/>
  <c r="J647" i="1"/>
  <c r="N646" i="1"/>
  <c r="M646" i="1"/>
  <c r="L646" i="1"/>
  <c r="K646" i="1"/>
  <c r="J646" i="1"/>
  <c r="N645" i="1"/>
  <c r="M645" i="1"/>
  <c r="L645" i="1"/>
  <c r="K645" i="1"/>
  <c r="J645" i="1"/>
  <c r="N644" i="1"/>
  <c r="M644" i="1"/>
  <c r="L644" i="1"/>
  <c r="K644" i="1"/>
  <c r="J644" i="1"/>
  <c r="N643" i="1"/>
  <c r="M643" i="1"/>
  <c r="L643" i="1"/>
  <c r="K643" i="1"/>
  <c r="J643" i="1"/>
  <c r="N642" i="1"/>
  <c r="M642" i="1"/>
  <c r="L642" i="1"/>
  <c r="K642" i="1"/>
  <c r="J642" i="1"/>
  <c r="N641" i="1"/>
  <c r="M641" i="1"/>
  <c r="L641" i="1"/>
  <c r="K641" i="1"/>
  <c r="J641" i="1"/>
  <c r="N640" i="1"/>
  <c r="M640" i="1"/>
  <c r="L640" i="1"/>
  <c r="K640" i="1"/>
  <c r="J640" i="1"/>
  <c r="N639" i="1"/>
  <c r="M639" i="1"/>
  <c r="L639" i="1"/>
  <c r="K639" i="1"/>
  <c r="J639" i="1"/>
  <c r="N638" i="1"/>
  <c r="M638" i="1"/>
  <c r="L638" i="1"/>
  <c r="K638" i="1"/>
  <c r="J638" i="1"/>
  <c r="N637" i="1"/>
  <c r="M637" i="1"/>
  <c r="L637" i="1"/>
  <c r="K637" i="1"/>
  <c r="J637" i="1"/>
  <c r="N636" i="1"/>
  <c r="M636" i="1"/>
  <c r="L636" i="1"/>
  <c r="K636" i="1"/>
  <c r="J636" i="1"/>
  <c r="N635" i="1"/>
  <c r="M635" i="1"/>
  <c r="L635" i="1"/>
  <c r="K635" i="1"/>
  <c r="J635" i="1"/>
  <c r="N634" i="1"/>
  <c r="M634" i="1"/>
  <c r="L634" i="1"/>
  <c r="K634" i="1"/>
  <c r="J634" i="1"/>
  <c r="N633" i="1"/>
  <c r="M633" i="1"/>
  <c r="L633" i="1"/>
  <c r="K633" i="1"/>
  <c r="J633" i="1"/>
  <c r="N632" i="1"/>
  <c r="M632" i="1"/>
  <c r="L632" i="1"/>
  <c r="K632" i="1"/>
  <c r="J632" i="1"/>
  <c r="N631" i="1"/>
  <c r="M631" i="1"/>
  <c r="L631" i="1"/>
  <c r="K631" i="1"/>
  <c r="J631" i="1"/>
  <c r="N630" i="1"/>
  <c r="M630" i="1"/>
  <c r="L630" i="1"/>
  <c r="K630" i="1"/>
  <c r="J630" i="1"/>
  <c r="N629" i="1"/>
  <c r="M629" i="1"/>
  <c r="L629" i="1"/>
  <c r="K629" i="1"/>
  <c r="J629" i="1"/>
  <c r="N628" i="1"/>
  <c r="M628" i="1"/>
  <c r="L628" i="1"/>
  <c r="K628" i="1"/>
  <c r="J628" i="1"/>
  <c r="N627" i="1"/>
  <c r="M627" i="1"/>
  <c r="L627" i="1"/>
  <c r="K627" i="1"/>
  <c r="J627" i="1"/>
  <c r="N626" i="1"/>
  <c r="M626" i="1"/>
  <c r="L626" i="1"/>
  <c r="K626" i="1"/>
  <c r="J626" i="1"/>
  <c r="N625" i="1"/>
  <c r="M625" i="1"/>
  <c r="L625" i="1"/>
  <c r="K625" i="1"/>
  <c r="J625" i="1"/>
  <c r="N624" i="1"/>
  <c r="M624" i="1"/>
  <c r="L624" i="1"/>
  <c r="K624" i="1"/>
  <c r="J624" i="1"/>
  <c r="N623" i="1"/>
  <c r="M623" i="1"/>
  <c r="L623" i="1"/>
  <c r="K623" i="1"/>
  <c r="J623" i="1"/>
  <c r="N622" i="1"/>
  <c r="M622" i="1"/>
  <c r="L622" i="1"/>
  <c r="K622" i="1"/>
  <c r="J622" i="1"/>
  <c r="N621" i="1"/>
  <c r="M621" i="1"/>
  <c r="L621" i="1"/>
  <c r="K621" i="1"/>
  <c r="J621" i="1"/>
  <c r="N620" i="1"/>
  <c r="M620" i="1"/>
  <c r="L620" i="1"/>
  <c r="K620" i="1"/>
  <c r="J620" i="1"/>
  <c r="N619" i="1"/>
  <c r="M619" i="1"/>
  <c r="L619" i="1"/>
  <c r="K619" i="1"/>
  <c r="J619" i="1"/>
  <c r="N618" i="1"/>
  <c r="M618" i="1"/>
  <c r="L618" i="1"/>
  <c r="K618" i="1"/>
  <c r="J618" i="1"/>
  <c r="N617" i="1"/>
  <c r="M617" i="1"/>
  <c r="L617" i="1"/>
  <c r="K617" i="1"/>
  <c r="J617" i="1"/>
  <c r="N616" i="1"/>
  <c r="M616" i="1"/>
  <c r="L616" i="1"/>
  <c r="K616" i="1"/>
  <c r="J616" i="1"/>
  <c r="N615" i="1"/>
  <c r="M615" i="1"/>
  <c r="L615" i="1"/>
  <c r="K615" i="1"/>
  <c r="J615" i="1"/>
  <c r="N614" i="1"/>
  <c r="M614" i="1"/>
  <c r="L614" i="1"/>
  <c r="K614" i="1"/>
  <c r="J614" i="1"/>
  <c r="N613" i="1"/>
  <c r="M613" i="1"/>
  <c r="L613" i="1"/>
  <c r="K613" i="1"/>
  <c r="J613" i="1"/>
  <c r="N612" i="1"/>
  <c r="M612" i="1"/>
  <c r="L612" i="1"/>
  <c r="K612" i="1"/>
  <c r="J612" i="1"/>
  <c r="N611" i="1"/>
  <c r="M611" i="1"/>
  <c r="L611" i="1"/>
  <c r="K611" i="1"/>
  <c r="J611" i="1"/>
  <c r="N610" i="1"/>
  <c r="M610" i="1"/>
  <c r="L610" i="1"/>
  <c r="K610" i="1"/>
  <c r="J610" i="1"/>
  <c r="N609" i="1"/>
  <c r="M609" i="1"/>
  <c r="L609" i="1"/>
  <c r="K609" i="1"/>
  <c r="J609" i="1"/>
  <c r="N604" i="1"/>
  <c r="M604" i="1"/>
  <c r="L604" i="1"/>
  <c r="K604" i="1"/>
  <c r="J604" i="1"/>
  <c r="N603" i="1"/>
  <c r="M603" i="1"/>
  <c r="L603" i="1"/>
  <c r="K603" i="1"/>
  <c r="J603" i="1"/>
  <c r="N602" i="1"/>
  <c r="M602" i="1"/>
  <c r="L602" i="1"/>
  <c r="K602" i="1"/>
  <c r="J602" i="1"/>
  <c r="N601" i="1"/>
  <c r="M601" i="1"/>
  <c r="L601" i="1"/>
  <c r="K601" i="1"/>
  <c r="J601" i="1"/>
  <c r="N600" i="1"/>
  <c r="M600" i="1"/>
  <c r="L600" i="1"/>
  <c r="K600" i="1"/>
  <c r="J600" i="1"/>
  <c r="N599" i="1"/>
  <c r="M599" i="1"/>
  <c r="L599" i="1"/>
  <c r="K599" i="1"/>
  <c r="J599" i="1"/>
  <c r="N598" i="1"/>
  <c r="M598" i="1"/>
  <c r="L598" i="1"/>
  <c r="K598" i="1"/>
  <c r="J598" i="1"/>
  <c r="N597" i="1"/>
  <c r="M597" i="1"/>
  <c r="L597" i="1"/>
  <c r="K597" i="1"/>
  <c r="J597" i="1"/>
  <c r="N596" i="1"/>
  <c r="M596" i="1"/>
  <c r="L596" i="1"/>
  <c r="K596" i="1"/>
  <c r="J596" i="1"/>
  <c r="N595" i="1"/>
  <c r="M595" i="1"/>
  <c r="L595" i="1"/>
  <c r="K595" i="1"/>
  <c r="J595" i="1"/>
  <c r="N594" i="1"/>
  <c r="M594" i="1"/>
  <c r="L594" i="1"/>
  <c r="K594" i="1"/>
  <c r="J594" i="1"/>
  <c r="N593" i="1"/>
  <c r="M593" i="1"/>
  <c r="L593" i="1"/>
  <c r="K593" i="1"/>
  <c r="J593" i="1"/>
  <c r="N592" i="1"/>
  <c r="M592" i="1"/>
  <c r="L592" i="1"/>
  <c r="K592" i="1"/>
  <c r="J592" i="1"/>
  <c r="N591" i="1"/>
  <c r="M591" i="1"/>
  <c r="L591" i="1"/>
  <c r="K591" i="1"/>
  <c r="J591" i="1"/>
  <c r="N590" i="1"/>
  <c r="M590" i="1"/>
  <c r="L590" i="1"/>
  <c r="K590" i="1"/>
  <c r="J590" i="1"/>
  <c r="N589" i="1"/>
  <c r="M589" i="1"/>
  <c r="L589" i="1"/>
  <c r="K589" i="1"/>
  <c r="J589" i="1"/>
  <c r="N588" i="1"/>
  <c r="M588" i="1"/>
  <c r="L588" i="1"/>
  <c r="K588" i="1"/>
  <c r="J588" i="1"/>
  <c r="N587" i="1"/>
  <c r="M587" i="1"/>
  <c r="L587" i="1"/>
  <c r="K587" i="1"/>
  <c r="J587" i="1"/>
  <c r="N586" i="1"/>
  <c r="M586" i="1"/>
  <c r="L586" i="1"/>
  <c r="K586" i="1"/>
  <c r="J586" i="1"/>
  <c r="N585" i="1"/>
  <c r="M585" i="1"/>
  <c r="L585" i="1"/>
  <c r="K585" i="1"/>
  <c r="J585" i="1"/>
  <c r="N584" i="1"/>
  <c r="M584" i="1"/>
  <c r="L584" i="1"/>
  <c r="K584" i="1"/>
  <c r="J584" i="1"/>
  <c r="N583" i="1"/>
  <c r="M583" i="1"/>
  <c r="L583" i="1"/>
  <c r="K583" i="1"/>
  <c r="J583" i="1"/>
  <c r="N582" i="1"/>
  <c r="M582" i="1"/>
  <c r="L582" i="1"/>
  <c r="K582" i="1"/>
  <c r="J582" i="1"/>
  <c r="N581" i="1"/>
  <c r="M581" i="1"/>
  <c r="L581" i="1"/>
  <c r="K581" i="1"/>
  <c r="J581" i="1"/>
  <c r="N580" i="1"/>
  <c r="M580" i="1"/>
  <c r="L580" i="1"/>
  <c r="K580" i="1"/>
  <c r="J580" i="1"/>
  <c r="N579" i="1"/>
  <c r="M579" i="1"/>
  <c r="L579" i="1"/>
  <c r="K579" i="1"/>
  <c r="J579" i="1"/>
  <c r="N578" i="1"/>
  <c r="M578" i="1"/>
  <c r="L578" i="1"/>
  <c r="K578" i="1"/>
  <c r="J578" i="1"/>
  <c r="N577" i="1"/>
  <c r="M577" i="1"/>
  <c r="L577" i="1"/>
  <c r="K577" i="1"/>
  <c r="J577" i="1"/>
  <c r="N576" i="1"/>
  <c r="M576" i="1"/>
  <c r="L576" i="1"/>
  <c r="K576" i="1"/>
  <c r="J576" i="1"/>
  <c r="N575" i="1"/>
  <c r="M575" i="1"/>
  <c r="L575" i="1"/>
  <c r="K575" i="1"/>
  <c r="J575" i="1"/>
  <c r="N574" i="1"/>
  <c r="M574" i="1"/>
  <c r="L574" i="1"/>
  <c r="K574" i="1"/>
  <c r="J574" i="1"/>
  <c r="N573" i="1"/>
  <c r="M573" i="1"/>
  <c r="L573" i="1"/>
  <c r="K573" i="1"/>
  <c r="J573" i="1"/>
  <c r="N572" i="1"/>
  <c r="M572" i="1"/>
  <c r="L572" i="1"/>
  <c r="K572" i="1"/>
  <c r="J572" i="1"/>
  <c r="N571" i="1"/>
  <c r="M571" i="1"/>
  <c r="L571" i="1"/>
  <c r="K571" i="1"/>
  <c r="J571" i="1"/>
  <c r="N570" i="1"/>
  <c r="M570" i="1"/>
  <c r="L570" i="1"/>
  <c r="K570" i="1"/>
  <c r="J570" i="1"/>
  <c r="N569" i="1"/>
  <c r="M569" i="1"/>
  <c r="L569" i="1"/>
  <c r="K569" i="1"/>
  <c r="J569" i="1"/>
  <c r="N568" i="1"/>
  <c r="M568" i="1"/>
  <c r="L568" i="1"/>
  <c r="K568" i="1"/>
  <c r="J568" i="1"/>
  <c r="N567" i="1"/>
  <c r="M567" i="1"/>
  <c r="L567" i="1"/>
  <c r="K567" i="1"/>
  <c r="J567" i="1"/>
  <c r="N566" i="1"/>
  <c r="M566" i="1"/>
  <c r="L566" i="1"/>
  <c r="K566" i="1"/>
  <c r="J566" i="1"/>
  <c r="N565" i="1"/>
  <c r="M565" i="1"/>
  <c r="L565" i="1"/>
  <c r="K565" i="1"/>
  <c r="J565" i="1"/>
  <c r="N564" i="1"/>
  <c r="M564" i="1"/>
  <c r="L564" i="1"/>
  <c r="K564" i="1"/>
  <c r="J564" i="1"/>
  <c r="N563" i="1"/>
  <c r="M563" i="1"/>
  <c r="L563" i="1"/>
  <c r="K563" i="1"/>
  <c r="J563" i="1"/>
  <c r="N562" i="1"/>
  <c r="M562" i="1"/>
  <c r="L562" i="1"/>
  <c r="K562" i="1"/>
  <c r="J562" i="1"/>
  <c r="N561" i="1"/>
  <c r="M561" i="1"/>
  <c r="L561" i="1"/>
  <c r="K561" i="1"/>
  <c r="J561" i="1"/>
  <c r="N560" i="1"/>
  <c r="M560" i="1"/>
  <c r="L560" i="1"/>
  <c r="K560" i="1"/>
  <c r="J560" i="1"/>
  <c r="N559" i="1"/>
  <c r="M559" i="1"/>
  <c r="L559" i="1"/>
  <c r="K559" i="1"/>
  <c r="J559" i="1"/>
  <c r="N558" i="1"/>
  <c r="M558" i="1"/>
  <c r="L558" i="1"/>
  <c r="K558" i="1"/>
  <c r="J558" i="1"/>
  <c r="N557" i="1"/>
  <c r="M557" i="1"/>
  <c r="L557" i="1"/>
  <c r="K557" i="1"/>
  <c r="J557" i="1"/>
  <c r="N556" i="1"/>
  <c r="M556" i="1"/>
  <c r="L556" i="1"/>
  <c r="K556" i="1"/>
  <c r="J556" i="1"/>
  <c r="N555" i="1"/>
  <c r="M555" i="1"/>
  <c r="L555" i="1"/>
  <c r="K555" i="1"/>
  <c r="J555" i="1"/>
  <c r="N554" i="1"/>
  <c r="M554" i="1"/>
  <c r="L554" i="1"/>
  <c r="K554" i="1"/>
  <c r="J554" i="1"/>
  <c r="N553" i="1"/>
  <c r="M553" i="1"/>
  <c r="L553" i="1"/>
  <c r="K553" i="1"/>
  <c r="J553" i="1"/>
  <c r="N552" i="1"/>
  <c r="M552" i="1"/>
  <c r="L552" i="1"/>
  <c r="K552" i="1"/>
  <c r="J552" i="1"/>
  <c r="N551" i="1"/>
  <c r="M551" i="1"/>
  <c r="L551" i="1"/>
  <c r="K551" i="1"/>
  <c r="J551" i="1"/>
  <c r="N550" i="1"/>
  <c r="M550" i="1"/>
  <c r="L550" i="1"/>
  <c r="K550" i="1"/>
  <c r="J550" i="1"/>
  <c r="N549" i="1"/>
  <c r="M549" i="1"/>
  <c r="L549" i="1"/>
  <c r="K549" i="1"/>
  <c r="J549" i="1"/>
  <c r="N548" i="1"/>
  <c r="M548" i="1"/>
  <c r="L548" i="1"/>
  <c r="K548" i="1"/>
  <c r="J548" i="1"/>
  <c r="N547" i="1"/>
  <c r="M547" i="1"/>
  <c r="L547" i="1"/>
  <c r="K547" i="1"/>
  <c r="J547" i="1"/>
  <c r="N546" i="1"/>
  <c r="M546" i="1"/>
  <c r="L546" i="1"/>
  <c r="K546" i="1"/>
  <c r="J546" i="1"/>
  <c r="N545" i="1"/>
  <c r="M545" i="1"/>
  <c r="L545" i="1"/>
  <c r="K545" i="1"/>
  <c r="J545" i="1"/>
  <c r="N544" i="1"/>
  <c r="M544" i="1"/>
  <c r="L544" i="1"/>
  <c r="K544" i="1"/>
  <c r="J544" i="1"/>
  <c r="N543" i="1"/>
  <c r="M543" i="1"/>
  <c r="L543" i="1"/>
  <c r="K543" i="1"/>
  <c r="J543" i="1"/>
  <c r="N542" i="1"/>
  <c r="M542" i="1"/>
  <c r="L542" i="1"/>
  <c r="K542" i="1"/>
  <c r="J542" i="1"/>
  <c r="N541" i="1"/>
  <c r="M541" i="1"/>
  <c r="L541" i="1"/>
  <c r="K541" i="1"/>
  <c r="J541" i="1"/>
  <c r="N540" i="1"/>
  <c r="M540" i="1"/>
  <c r="L540" i="1"/>
  <c r="K540" i="1"/>
  <c r="J540" i="1"/>
  <c r="N539" i="1"/>
  <c r="M539" i="1"/>
  <c r="L539" i="1"/>
  <c r="K539" i="1"/>
  <c r="J539" i="1"/>
  <c r="N538" i="1"/>
  <c r="M538" i="1"/>
  <c r="L538" i="1"/>
  <c r="K538" i="1"/>
  <c r="J538" i="1"/>
  <c r="N537" i="1"/>
  <c r="M537" i="1"/>
  <c r="L537" i="1"/>
  <c r="K537" i="1"/>
  <c r="J537" i="1"/>
  <c r="N536" i="1"/>
  <c r="M536" i="1"/>
  <c r="L536" i="1"/>
  <c r="K536" i="1"/>
  <c r="J536" i="1"/>
  <c r="N535" i="1"/>
  <c r="M535" i="1"/>
  <c r="L535" i="1"/>
  <c r="K535" i="1"/>
  <c r="J535" i="1"/>
  <c r="N534" i="1"/>
  <c r="M534" i="1"/>
  <c r="L534" i="1"/>
  <c r="K534" i="1"/>
  <c r="J534" i="1"/>
  <c r="N533" i="1"/>
  <c r="M533" i="1"/>
  <c r="L533" i="1"/>
  <c r="K533" i="1"/>
  <c r="J533" i="1"/>
  <c r="N532" i="1"/>
  <c r="M532" i="1"/>
  <c r="L532" i="1"/>
  <c r="K532" i="1"/>
  <c r="J532" i="1"/>
  <c r="N531" i="1"/>
  <c r="M531" i="1"/>
  <c r="L531" i="1"/>
  <c r="K531" i="1"/>
  <c r="J531" i="1"/>
  <c r="N530" i="1"/>
  <c r="M530" i="1"/>
  <c r="L530" i="1"/>
  <c r="K530" i="1"/>
  <c r="J530" i="1"/>
  <c r="N529" i="1"/>
  <c r="M529" i="1"/>
  <c r="L529" i="1"/>
  <c r="K529" i="1"/>
  <c r="J529" i="1"/>
  <c r="N528" i="1"/>
  <c r="M528" i="1"/>
  <c r="L528" i="1"/>
  <c r="K528" i="1"/>
  <c r="J528" i="1"/>
  <c r="N527" i="1"/>
  <c r="M527" i="1"/>
  <c r="L527" i="1"/>
  <c r="K527" i="1"/>
  <c r="J527" i="1"/>
  <c r="N526" i="1"/>
  <c r="M526" i="1"/>
  <c r="L526" i="1"/>
  <c r="K526" i="1"/>
  <c r="J526" i="1"/>
  <c r="N525" i="1"/>
  <c r="M525" i="1"/>
  <c r="L525" i="1"/>
  <c r="K525" i="1"/>
  <c r="J525" i="1"/>
  <c r="N524" i="1"/>
  <c r="M524" i="1"/>
  <c r="L524" i="1"/>
  <c r="K524" i="1"/>
  <c r="J524" i="1"/>
  <c r="N523" i="1"/>
  <c r="M523" i="1"/>
  <c r="L523" i="1"/>
  <c r="K523" i="1"/>
  <c r="J523" i="1"/>
  <c r="N522" i="1"/>
  <c r="M522" i="1"/>
  <c r="L522" i="1"/>
  <c r="K522" i="1"/>
  <c r="J522" i="1"/>
  <c r="N521" i="1"/>
  <c r="M521" i="1"/>
  <c r="L521" i="1"/>
  <c r="K521" i="1"/>
  <c r="J521" i="1"/>
  <c r="N520" i="1"/>
  <c r="M520" i="1"/>
  <c r="L520" i="1"/>
  <c r="K520" i="1"/>
  <c r="J520" i="1"/>
  <c r="N519" i="1"/>
  <c r="M519" i="1"/>
  <c r="L519" i="1"/>
  <c r="K519" i="1"/>
  <c r="J519" i="1"/>
  <c r="N518" i="1"/>
  <c r="M518" i="1"/>
  <c r="L518" i="1"/>
  <c r="K518" i="1"/>
  <c r="J518" i="1"/>
  <c r="N517" i="1"/>
  <c r="M517" i="1"/>
  <c r="L517" i="1"/>
  <c r="K517" i="1"/>
  <c r="J517" i="1"/>
  <c r="N516" i="1"/>
  <c r="M516" i="1"/>
  <c r="L516" i="1"/>
  <c r="K516" i="1"/>
  <c r="J516" i="1"/>
  <c r="N515" i="1"/>
  <c r="M515" i="1"/>
  <c r="L515" i="1"/>
  <c r="K515" i="1"/>
  <c r="J515" i="1"/>
  <c r="N514" i="1"/>
  <c r="M514" i="1"/>
  <c r="L514" i="1"/>
  <c r="K514" i="1"/>
  <c r="J514" i="1"/>
  <c r="N513" i="1"/>
  <c r="M513" i="1"/>
  <c r="L513" i="1"/>
  <c r="K513" i="1"/>
  <c r="J513" i="1"/>
  <c r="N512" i="1"/>
  <c r="M512" i="1"/>
  <c r="L512" i="1"/>
  <c r="K512" i="1"/>
  <c r="J512" i="1"/>
  <c r="N511" i="1"/>
  <c r="M511" i="1"/>
  <c r="L511" i="1"/>
  <c r="K511" i="1"/>
  <c r="J511" i="1"/>
  <c r="N510" i="1"/>
  <c r="M510" i="1"/>
  <c r="L510" i="1"/>
  <c r="K510" i="1"/>
  <c r="J510" i="1"/>
  <c r="N509" i="1"/>
  <c r="M509" i="1"/>
  <c r="L509" i="1"/>
  <c r="K509" i="1"/>
  <c r="J509" i="1"/>
  <c r="N508" i="1"/>
  <c r="M508" i="1"/>
  <c r="L508" i="1"/>
  <c r="K508" i="1"/>
  <c r="J508" i="1"/>
  <c r="N507" i="1"/>
  <c r="M507" i="1"/>
  <c r="L507" i="1"/>
  <c r="K507" i="1"/>
  <c r="J507" i="1"/>
  <c r="N506" i="1"/>
  <c r="M506" i="1"/>
  <c r="L506" i="1"/>
  <c r="K506" i="1"/>
  <c r="J506" i="1"/>
  <c r="N505" i="1"/>
  <c r="M505" i="1"/>
  <c r="L505" i="1"/>
  <c r="K505" i="1"/>
  <c r="J505" i="1"/>
  <c r="N504" i="1"/>
  <c r="M504" i="1"/>
  <c r="L504" i="1"/>
  <c r="K504" i="1"/>
  <c r="J504" i="1"/>
  <c r="N503" i="1"/>
  <c r="M503" i="1"/>
  <c r="L503" i="1"/>
  <c r="K503" i="1"/>
  <c r="J503" i="1"/>
  <c r="N502" i="1"/>
  <c r="M502" i="1"/>
  <c r="L502" i="1"/>
  <c r="K502" i="1"/>
  <c r="J502" i="1"/>
  <c r="N501" i="1"/>
  <c r="M501" i="1"/>
  <c r="L501" i="1"/>
  <c r="K501" i="1"/>
  <c r="J501" i="1"/>
  <c r="N500" i="1"/>
  <c r="M500" i="1"/>
  <c r="L500" i="1"/>
  <c r="K500" i="1"/>
  <c r="J500" i="1"/>
  <c r="N499" i="1"/>
  <c r="M499" i="1"/>
  <c r="L499" i="1"/>
  <c r="K499" i="1"/>
  <c r="J499" i="1"/>
  <c r="N498" i="1"/>
  <c r="M498" i="1"/>
  <c r="L498" i="1"/>
  <c r="K498" i="1"/>
  <c r="J498" i="1"/>
  <c r="N497" i="1"/>
  <c r="M497" i="1"/>
  <c r="L497" i="1"/>
  <c r="K497" i="1"/>
  <c r="J497" i="1"/>
  <c r="N496" i="1"/>
  <c r="M496" i="1"/>
  <c r="L496" i="1"/>
  <c r="K496" i="1"/>
  <c r="J496" i="1"/>
  <c r="N495" i="1"/>
  <c r="M495" i="1"/>
  <c r="L495" i="1"/>
  <c r="K495" i="1"/>
  <c r="J495" i="1"/>
  <c r="N494" i="1"/>
  <c r="M494" i="1"/>
  <c r="L494" i="1"/>
  <c r="K494" i="1"/>
  <c r="J494" i="1"/>
  <c r="N493" i="1"/>
  <c r="M493" i="1"/>
  <c r="L493" i="1"/>
  <c r="K493" i="1"/>
  <c r="J493" i="1"/>
  <c r="N492" i="1"/>
  <c r="M492" i="1"/>
  <c r="L492" i="1"/>
  <c r="K492" i="1"/>
  <c r="J492" i="1"/>
  <c r="N491" i="1"/>
  <c r="M491" i="1"/>
  <c r="L491" i="1"/>
  <c r="K491" i="1"/>
  <c r="J491" i="1"/>
  <c r="N490" i="1"/>
  <c r="M490" i="1"/>
  <c r="L490" i="1"/>
  <c r="K490" i="1"/>
  <c r="J490" i="1"/>
  <c r="N489" i="1"/>
  <c r="M489" i="1"/>
  <c r="L489" i="1"/>
  <c r="K489" i="1"/>
  <c r="J489" i="1"/>
  <c r="N488" i="1"/>
  <c r="M488" i="1"/>
  <c r="L488" i="1"/>
  <c r="K488" i="1"/>
  <c r="J488" i="1"/>
  <c r="N487" i="1"/>
  <c r="M487" i="1"/>
  <c r="L487" i="1"/>
  <c r="K487" i="1"/>
  <c r="J487" i="1"/>
  <c r="N486" i="1"/>
  <c r="M486" i="1"/>
  <c r="L486" i="1"/>
  <c r="K486" i="1"/>
  <c r="J486" i="1"/>
  <c r="N485" i="1"/>
  <c r="M485" i="1"/>
  <c r="L485" i="1"/>
  <c r="K485" i="1"/>
  <c r="J485" i="1"/>
  <c r="N484" i="1"/>
  <c r="M484" i="1"/>
  <c r="L484" i="1"/>
  <c r="K484" i="1"/>
  <c r="J484" i="1"/>
  <c r="N483" i="1"/>
  <c r="M483" i="1"/>
  <c r="L483" i="1"/>
  <c r="K483" i="1"/>
  <c r="J483" i="1"/>
  <c r="N482" i="1"/>
  <c r="M482" i="1"/>
  <c r="L482" i="1"/>
  <c r="K482" i="1"/>
  <c r="J482" i="1"/>
  <c r="N481" i="1"/>
  <c r="M481" i="1"/>
  <c r="L481" i="1"/>
  <c r="K481" i="1"/>
  <c r="J481" i="1"/>
  <c r="N480" i="1"/>
  <c r="M480" i="1"/>
  <c r="L480" i="1"/>
  <c r="K480" i="1"/>
  <c r="J480" i="1"/>
  <c r="N479" i="1"/>
  <c r="M479" i="1"/>
  <c r="L479" i="1"/>
  <c r="K479" i="1"/>
  <c r="J479" i="1"/>
  <c r="N478" i="1"/>
  <c r="M478" i="1"/>
  <c r="L478" i="1"/>
  <c r="K478" i="1"/>
  <c r="J478" i="1"/>
  <c r="N477" i="1"/>
  <c r="M477" i="1"/>
  <c r="L477" i="1"/>
  <c r="K477" i="1"/>
  <c r="J477" i="1"/>
  <c r="N476" i="1"/>
  <c r="M476" i="1"/>
  <c r="L476" i="1"/>
  <c r="K476" i="1"/>
  <c r="J476" i="1"/>
  <c r="N475" i="1"/>
  <c r="M475" i="1"/>
  <c r="L475" i="1"/>
  <c r="K475" i="1"/>
  <c r="J475" i="1"/>
  <c r="N474" i="1"/>
  <c r="M474" i="1"/>
  <c r="L474" i="1"/>
  <c r="K474" i="1"/>
  <c r="J474" i="1"/>
  <c r="N473" i="1"/>
  <c r="M473" i="1"/>
  <c r="L473" i="1"/>
  <c r="K473" i="1"/>
  <c r="J473" i="1"/>
  <c r="N472" i="1"/>
  <c r="M472" i="1"/>
  <c r="L472" i="1"/>
  <c r="K472" i="1"/>
  <c r="J472" i="1"/>
  <c r="N471" i="1"/>
  <c r="M471" i="1"/>
  <c r="L471" i="1"/>
  <c r="K471" i="1"/>
  <c r="J471" i="1"/>
  <c r="N470" i="1"/>
  <c r="M470" i="1"/>
  <c r="L470" i="1"/>
  <c r="K470" i="1"/>
  <c r="J470" i="1"/>
  <c r="N469" i="1"/>
  <c r="M469" i="1"/>
  <c r="L469" i="1"/>
  <c r="K469" i="1"/>
  <c r="J469" i="1"/>
  <c r="N468" i="1"/>
  <c r="M468" i="1"/>
  <c r="L468" i="1"/>
  <c r="K468" i="1"/>
  <c r="J468" i="1"/>
  <c r="N467" i="1"/>
  <c r="M467" i="1"/>
  <c r="L467" i="1"/>
  <c r="K467" i="1"/>
  <c r="J467" i="1"/>
  <c r="N466" i="1"/>
  <c r="M466" i="1"/>
  <c r="L466" i="1"/>
  <c r="K466" i="1"/>
  <c r="J466" i="1"/>
  <c r="N465" i="1"/>
  <c r="M465" i="1"/>
  <c r="L465" i="1"/>
  <c r="K465" i="1"/>
  <c r="J465" i="1"/>
  <c r="N464" i="1"/>
  <c r="M464" i="1"/>
  <c r="L464" i="1"/>
  <c r="K464" i="1"/>
  <c r="J464" i="1"/>
  <c r="N463" i="1"/>
  <c r="M463" i="1"/>
  <c r="L463" i="1"/>
  <c r="K463" i="1"/>
  <c r="J463" i="1"/>
  <c r="N462" i="1"/>
  <c r="M462" i="1"/>
  <c r="L462" i="1"/>
  <c r="K462" i="1"/>
  <c r="J462" i="1"/>
  <c r="N461" i="1"/>
  <c r="M461" i="1"/>
  <c r="L461" i="1"/>
  <c r="K461" i="1"/>
  <c r="J461" i="1"/>
  <c r="N460" i="1"/>
  <c r="M460" i="1"/>
  <c r="L460" i="1"/>
  <c r="K460" i="1"/>
  <c r="J460" i="1"/>
  <c r="N459" i="1"/>
  <c r="M459" i="1"/>
  <c r="L459" i="1"/>
  <c r="K459" i="1"/>
  <c r="J459" i="1"/>
  <c r="N458" i="1"/>
  <c r="M458" i="1"/>
  <c r="L458" i="1"/>
  <c r="K458" i="1"/>
  <c r="J458" i="1"/>
  <c r="N457" i="1"/>
  <c r="M457" i="1"/>
  <c r="L457" i="1"/>
  <c r="K457" i="1"/>
  <c r="J457" i="1"/>
  <c r="N456" i="1"/>
  <c r="M456" i="1"/>
  <c r="L456" i="1"/>
  <c r="K456" i="1"/>
  <c r="J456" i="1"/>
  <c r="N455" i="1"/>
  <c r="M455" i="1"/>
  <c r="L455" i="1"/>
  <c r="K455" i="1"/>
  <c r="J455" i="1"/>
  <c r="N454" i="1"/>
  <c r="M454" i="1"/>
  <c r="L454" i="1"/>
  <c r="K454" i="1"/>
  <c r="J454" i="1"/>
  <c r="N453" i="1"/>
  <c r="M453" i="1"/>
  <c r="L453" i="1"/>
  <c r="K453" i="1"/>
  <c r="J453" i="1"/>
  <c r="N452" i="1"/>
  <c r="M452" i="1"/>
  <c r="L452" i="1"/>
  <c r="K452" i="1"/>
  <c r="J452" i="1"/>
  <c r="N451" i="1"/>
  <c r="M451" i="1"/>
  <c r="L451" i="1"/>
  <c r="K451" i="1"/>
  <c r="J451" i="1"/>
  <c r="N450" i="1"/>
  <c r="M450" i="1"/>
  <c r="L450" i="1"/>
  <c r="K450" i="1"/>
  <c r="J450" i="1"/>
  <c r="N449" i="1"/>
  <c r="M449" i="1"/>
  <c r="L449" i="1"/>
  <c r="K449" i="1"/>
  <c r="J449" i="1"/>
  <c r="N448" i="1"/>
  <c r="M448" i="1"/>
  <c r="L448" i="1"/>
  <c r="K448" i="1"/>
  <c r="J448" i="1"/>
  <c r="N447" i="1"/>
  <c r="M447" i="1"/>
  <c r="L447" i="1"/>
  <c r="K447" i="1"/>
  <c r="J447" i="1"/>
  <c r="N446" i="1"/>
  <c r="M446" i="1"/>
  <c r="L446" i="1"/>
  <c r="K446" i="1"/>
  <c r="J446" i="1"/>
  <c r="N445" i="1"/>
  <c r="M445" i="1"/>
  <c r="L445" i="1"/>
  <c r="K445" i="1"/>
  <c r="J445" i="1"/>
  <c r="N444" i="1"/>
  <c r="M444" i="1"/>
  <c r="L444" i="1"/>
  <c r="K444" i="1"/>
  <c r="J444" i="1"/>
  <c r="N443" i="1"/>
  <c r="M443" i="1"/>
  <c r="L443" i="1"/>
  <c r="K443" i="1"/>
  <c r="J443" i="1"/>
  <c r="N442" i="1"/>
  <c r="M442" i="1"/>
  <c r="L442" i="1"/>
  <c r="K442" i="1"/>
  <c r="J442" i="1"/>
  <c r="N441" i="1"/>
  <c r="M441" i="1"/>
  <c r="L441" i="1"/>
  <c r="K441" i="1"/>
  <c r="J441" i="1"/>
  <c r="N440" i="1"/>
  <c r="M440" i="1"/>
  <c r="L440" i="1"/>
  <c r="K440" i="1"/>
  <c r="J440" i="1"/>
  <c r="N439" i="1"/>
  <c r="M439" i="1"/>
  <c r="L439" i="1"/>
  <c r="K439" i="1"/>
  <c r="J439" i="1"/>
  <c r="N438" i="1"/>
  <c r="M438" i="1"/>
  <c r="L438" i="1"/>
  <c r="K438" i="1"/>
  <c r="J438" i="1"/>
  <c r="N437" i="1"/>
  <c r="M437" i="1"/>
  <c r="L437" i="1"/>
  <c r="K437" i="1"/>
  <c r="J437" i="1"/>
  <c r="N436" i="1"/>
  <c r="M436" i="1"/>
  <c r="L436" i="1"/>
  <c r="K436" i="1"/>
  <c r="J436" i="1"/>
  <c r="N435" i="1"/>
  <c r="M435" i="1"/>
  <c r="L435" i="1"/>
  <c r="K435" i="1"/>
  <c r="J435" i="1"/>
  <c r="N434" i="1"/>
  <c r="M434" i="1"/>
  <c r="L434" i="1"/>
  <c r="K434" i="1"/>
  <c r="J434" i="1"/>
  <c r="N433" i="1"/>
  <c r="M433" i="1"/>
  <c r="L433" i="1"/>
  <c r="K433" i="1"/>
  <c r="J433" i="1"/>
  <c r="N432" i="1"/>
  <c r="M432" i="1"/>
  <c r="L432" i="1"/>
  <c r="K432" i="1"/>
  <c r="J432" i="1"/>
  <c r="N431" i="1"/>
  <c r="M431" i="1"/>
  <c r="L431" i="1"/>
  <c r="K431" i="1"/>
  <c r="J431" i="1"/>
  <c r="N430" i="1"/>
  <c r="M430" i="1"/>
  <c r="L430" i="1"/>
  <c r="K430" i="1"/>
  <c r="J430" i="1"/>
  <c r="N429" i="1"/>
  <c r="M429" i="1"/>
  <c r="L429" i="1"/>
  <c r="K429" i="1"/>
  <c r="J429" i="1"/>
  <c r="N428" i="1"/>
  <c r="M428" i="1"/>
  <c r="L428" i="1"/>
  <c r="K428" i="1"/>
  <c r="J428" i="1"/>
  <c r="N427" i="1"/>
  <c r="M427" i="1"/>
  <c r="L427" i="1"/>
  <c r="K427" i="1"/>
  <c r="J427" i="1"/>
  <c r="N426" i="1"/>
  <c r="M426" i="1"/>
  <c r="L426" i="1"/>
  <c r="K426" i="1"/>
  <c r="J426" i="1"/>
  <c r="N425" i="1"/>
  <c r="M425" i="1"/>
  <c r="L425" i="1"/>
  <c r="K425" i="1"/>
  <c r="J425" i="1"/>
  <c r="N424" i="1"/>
  <c r="M424" i="1"/>
  <c r="L424" i="1"/>
  <c r="K424" i="1"/>
  <c r="J424" i="1"/>
  <c r="N423" i="1"/>
  <c r="M423" i="1"/>
  <c r="L423" i="1"/>
  <c r="K423" i="1"/>
  <c r="J423" i="1"/>
  <c r="N422" i="1"/>
  <c r="M422" i="1"/>
  <c r="L422" i="1"/>
  <c r="K422" i="1"/>
  <c r="J422" i="1"/>
  <c r="N421" i="1"/>
  <c r="M421" i="1"/>
  <c r="L421" i="1"/>
  <c r="K421" i="1"/>
  <c r="J421" i="1"/>
  <c r="N420" i="1"/>
  <c r="M420" i="1"/>
  <c r="L420" i="1"/>
  <c r="K420" i="1"/>
  <c r="J420" i="1"/>
  <c r="N419" i="1"/>
  <c r="M419" i="1"/>
  <c r="L419" i="1"/>
  <c r="K419" i="1"/>
  <c r="J419" i="1"/>
  <c r="N418" i="1"/>
  <c r="M418" i="1"/>
  <c r="L418" i="1"/>
  <c r="K418" i="1"/>
  <c r="J418" i="1"/>
  <c r="N417" i="1"/>
  <c r="M417" i="1"/>
  <c r="L417" i="1"/>
  <c r="K417" i="1"/>
  <c r="J417" i="1"/>
  <c r="N416" i="1"/>
  <c r="M416" i="1"/>
  <c r="L416" i="1"/>
  <c r="K416" i="1"/>
  <c r="J416" i="1"/>
  <c r="N415" i="1"/>
  <c r="M415" i="1"/>
  <c r="L415" i="1"/>
  <c r="K415" i="1"/>
  <c r="J415" i="1"/>
  <c r="N414" i="1"/>
  <c r="M414" i="1"/>
  <c r="L414" i="1"/>
  <c r="K414" i="1"/>
  <c r="J414" i="1"/>
  <c r="N413" i="1"/>
  <c r="M413" i="1"/>
  <c r="L413" i="1"/>
  <c r="K413" i="1"/>
  <c r="J413" i="1"/>
  <c r="N412" i="1"/>
  <c r="M412" i="1"/>
  <c r="L412" i="1"/>
  <c r="K412" i="1"/>
  <c r="J412" i="1"/>
  <c r="N411" i="1"/>
  <c r="M411" i="1"/>
  <c r="L411" i="1"/>
  <c r="K411" i="1"/>
  <c r="J411" i="1"/>
  <c r="N410" i="1"/>
  <c r="M410" i="1"/>
  <c r="L410" i="1"/>
  <c r="K410" i="1"/>
  <c r="J410" i="1"/>
  <c r="N409" i="1"/>
  <c r="M409" i="1"/>
  <c r="L409" i="1"/>
  <c r="K409" i="1"/>
  <c r="J409" i="1"/>
  <c r="N408" i="1"/>
  <c r="M408" i="1"/>
  <c r="L408" i="1"/>
  <c r="K408" i="1"/>
  <c r="J408" i="1"/>
  <c r="N407" i="1"/>
  <c r="M407" i="1"/>
  <c r="L407" i="1"/>
  <c r="K407" i="1"/>
  <c r="J407" i="1"/>
  <c r="N406" i="1"/>
  <c r="M406" i="1"/>
  <c r="L406" i="1"/>
  <c r="K406" i="1"/>
  <c r="J406" i="1"/>
  <c r="N405" i="1"/>
  <c r="M405" i="1"/>
  <c r="L405" i="1"/>
  <c r="K405" i="1"/>
  <c r="J405" i="1"/>
  <c r="N404" i="1"/>
  <c r="M404" i="1"/>
  <c r="L404" i="1"/>
  <c r="K404" i="1"/>
  <c r="J404" i="1"/>
  <c r="N403" i="1"/>
  <c r="M403" i="1"/>
  <c r="L403" i="1"/>
  <c r="K403" i="1"/>
  <c r="J403" i="1"/>
  <c r="N402" i="1"/>
  <c r="M402" i="1"/>
  <c r="L402" i="1"/>
  <c r="K402" i="1"/>
  <c r="J402" i="1"/>
  <c r="N401" i="1"/>
  <c r="M401" i="1"/>
  <c r="L401" i="1"/>
  <c r="K401" i="1"/>
  <c r="J401" i="1"/>
  <c r="N400" i="1"/>
  <c r="M400" i="1"/>
  <c r="L400" i="1"/>
  <c r="K400" i="1"/>
  <c r="J400" i="1"/>
  <c r="N399" i="1"/>
  <c r="M399" i="1"/>
  <c r="L399" i="1"/>
  <c r="K399" i="1"/>
  <c r="J399" i="1"/>
  <c r="N398" i="1"/>
  <c r="M398" i="1"/>
  <c r="L398" i="1"/>
  <c r="K398" i="1"/>
  <c r="J398" i="1"/>
  <c r="N397" i="1"/>
  <c r="M397" i="1"/>
  <c r="L397" i="1"/>
  <c r="K397" i="1"/>
  <c r="J397" i="1"/>
  <c r="N396" i="1"/>
  <c r="M396" i="1"/>
  <c r="L396" i="1"/>
  <c r="K396" i="1"/>
  <c r="J396" i="1"/>
  <c r="N395" i="1"/>
  <c r="M395" i="1"/>
  <c r="L395" i="1"/>
  <c r="K395" i="1"/>
  <c r="J395" i="1"/>
  <c r="N394" i="1"/>
  <c r="M394" i="1"/>
  <c r="L394" i="1"/>
  <c r="K394" i="1"/>
  <c r="J394" i="1"/>
  <c r="N393" i="1"/>
  <c r="M393" i="1"/>
  <c r="L393" i="1"/>
  <c r="K393" i="1"/>
  <c r="J393" i="1"/>
  <c r="N392" i="1"/>
  <c r="M392" i="1"/>
  <c r="L392" i="1"/>
  <c r="K392" i="1"/>
  <c r="J392" i="1"/>
  <c r="N391" i="1"/>
  <c r="M391" i="1"/>
  <c r="L391" i="1"/>
  <c r="K391" i="1"/>
  <c r="J391" i="1"/>
  <c r="N390" i="1"/>
  <c r="M390" i="1"/>
  <c r="L390" i="1"/>
  <c r="K390" i="1"/>
  <c r="J390" i="1"/>
  <c r="N389" i="1"/>
  <c r="M389" i="1"/>
  <c r="L389" i="1"/>
  <c r="K389" i="1"/>
  <c r="J389" i="1"/>
  <c r="N388" i="1"/>
  <c r="M388" i="1"/>
  <c r="L388" i="1"/>
  <c r="K388" i="1"/>
  <c r="J388" i="1"/>
  <c r="N387" i="1"/>
  <c r="M387" i="1"/>
  <c r="L387" i="1"/>
  <c r="K387" i="1"/>
  <c r="J387" i="1"/>
  <c r="N386" i="1"/>
  <c r="M386" i="1"/>
  <c r="L386" i="1"/>
  <c r="K386" i="1"/>
  <c r="J386" i="1"/>
  <c r="N385" i="1"/>
  <c r="M385" i="1"/>
  <c r="L385" i="1"/>
  <c r="K385" i="1"/>
  <c r="J385" i="1"/>
  <c r="N384" i="1"/>
  <c r="M384" i="1"/>
  <c r="L384" i="1"/>
  <c r="K384" i="1"/>
  <c r="J384" i="1"/>
  <c r="N383" i="1"/>
  <c r="M383" i="1"/>
  <c r="L383" i="1"/>
  <c r="K383" i="1"/>
  <c r="J383" i="1"/>
  <c r="N382" i="1"/>
  <c r="M382" i="1"/>
  <c r="L382" i="1"/>
  <c r="K382" i="1"/>
  <c r="J382" i="1"/>
  <c r="N381" i="1"/>
  <c r="M381" i="1"/>
  <c r="L381" i="1"/>
  <c r="K381" i="1"/>
  <c r="J381" i="1"/>
  <c r="N380" i="1"/>
  <c r="M380" i="1"/>
  <c r="L380" i="1"/>
  <c r="K380" i="1"/>
  <c r="J380" i="1"/>
  <c r="N379" i="1"/>
  <c r="M379" i="1"/>
  <c r="L379" i="1"/>
  <c r="K379" i="1"/>
  <c r="J379" i="1"/>
  <c r="N378" i="1"/>
  <c r="M378" i="1"/>
  <c r="L378" i="1"/>
  <c r="K378" i="1"/>
  <c r="J378" i="1"/>
  <c r="N377" i="1"/>
  <c r="M377" i="1"/>
  <c r="L377" i="1"/>
  <c r="K377" i="1"/>
  <c r="J377" i="1"/>
  <c r="N376" i="1"/>
  <c r="M376" i="1"/>
  <c r="L376" i="1"/>
  <c r="K376" i="1"/>
  <c r="J376" i="1"/>
  <c r="N375" i="1"/>
  <c r="M375" i="1"/>
  <c r="L375" i="1"/>
  <c r="K375" i="1"/>
  <c r="J375" i="1"/>
  <c r="N374" i="1"/>
  <c r="M374" i="1"/>
  <c r="L374" i="1"/>
  <c r="K374" i="1"/>
  <c r="J374" i="1"/>
  <c r="N373" i="1"/>
  <c r="M373" i="1"/>
  <c r="L373" i="1"/>
  <c r="K373" i="1"/>
  <c r="J373" i="1"/>
  <c r="N372" i="1"/>
  <c r="M372" i="1"/>
  <c r="L372" i="1"/>
  <c r="K372" i="1"/>
  <c r="J372" i="1"/>
  <c r="N371" i="1"/>
  <c r="M371" i="1"/>
  <c r="L371" i="1"/>
  <c r="K371" i="1"/>
  <c r="J371" i="1"/>
  <c r="N370" i="1"/>
  <c r="M370" i="1"/>
  <c r="L370" i="1"/>
  <c r="K370" i="1"/>
  <c r="J370" i="1"/>
  <c r="N369" i="1"/>
  <c r="M369" i="1"/>
  <c r="L369" i="1"/>
  <c r="K369" i="1"/>
  <c r="J369" i="1"/>
  <c r="N368" i="1"/>
  <c r="M368" i="1"/>
  <c r="L368" i="1"/>
  <c r="K368" i="1"/>
  <c r="J368" i="1"/>
  <c r="N367" i="1"/>
  <c r="M367" i="1"/>
  <c r="L367" i="1"/>
  <c r="K367" i="1"/>
  <c r="J367" i="1"/>
  <c r="N366" i="1"/>
  <c r="M366" i="1"/>
  <c r="L366" i="1"/>
  <c r="K366" i="1"/>
  <c r="J366" i="1"/>
  <c r="N365" i="1"/>
  <c r="M365" i="1"/>
  <c r="L365" i="1"/>
  <c r="K365" i="1"/>
  <c r="J365" i="1"/>
  <c r="N364" i="1"/>
  <c r="M364" i="1"/>
  <c r="L364" i="1"/>
  <c r="K364" i="1"/>
  <c r="J364" i="1"/>
  <c r="N363" i="1"/>
  <c r="M363" i="1"/>
  <c r="L363" i="1"/>
  <c r="K363" i="1"/>
  <c r="J363" i="1"/>
  <c r="N362" i="1"/>
  <c r="M362" i="1"/>
  <c r="L362" i="1"/>
  <c r="K362" i="1"/>
  <c r="J362" i="1"/>
  <c r="N361" i="1"/>
  <c r="M361" i="1"/>
  <c r="L361" i="1"/>
  <c r="K361" i="1"/>
  <c r="J361" i="1"/>
  <c r="N360" i="1"/>
  <c r="M360" i="1"/>
  <c r="L360" i="1"/>
  <c r="K360" i="1"/>
  <c r="J360" i="1"/>
  <c r="N359" i="1"/>
  <c r="M359" i="1"/>
  <c r="L359" i="1"/>
  <c r="K359" i="1"/>
  <c r="J359" i="1"/>
  <c r="N358" i="1"/>
  <c r="M358" i="1"/>
  <c r="L358" i="1"/>
  <c r="K358" i="1"/>
  <c r="J358" i="1"/>
  <c r="N357" i="1"/>
  <c r="M357" i="1"/>
  <c r="L357" i="1"/>
  <c r="K357" i="1"/>
  <c r="J357" i="1"/>
  <c r="N356" i="1"/>
  <c r="M356" i="1"/>
  <c r="L356" i="1"/>
  <c r="K356" i="1"/>
  <c r="J356" i="1"/>
  <c r="N355" i="1"/>
  <c r="M355" i="1"/>
  <c r="L355" i="1"/>
  <c r="K355" i="1"/>
  <c r="J355" i="1"/>
  <c r="N354" i="1"/>
  <c r="M354" i="1"/>
  <c r="L354" i="1"/>
  <c r="K354" i="1"/>
  <c r="J354" i="1"/>
  <c r="N353" i="1"/>
  <c r="M353" i="1"/>
  <c r="L353" i="1"/>
  <c r="K353" i="1"/>
  <c r="J353" i="1"/>
  <c r="N352" i="1"/>
  <c r="M352" i="1"/>
  <c r="L352" i="1"/>
  <c r="K352" i="1"/>
  <c r="J352" i="1"/>
  <c r="N351" i="1"/>
  <c r="M351" i="1"/>
  <c r="L351" i="1"/>
  <c r="K351" i="1"/>
  <c r="J351" i="1"/>
  <c r="N350" i="1"/>
  <c r="M350" i="1"/>
  <c r="L350" i="1"/>
  <c r="K350" i="1"/>
  <c r="J350" i="1"/>
  <c r="N349" i="1"/>
  <c r="M349" i="1"/>
  <c r="L349" i="1"/>
  <c r="K349" i="1"/>
  <c r="J349" i="1"/>
  <c r="N348" i="1"/>
  <c r="M348" i="1"/>
  <c r="L348" i="1"/>
  <c r="K348" i="1"/>
  <c r="J348" i="1"/>
  <c r="N347" i="1"/>
  <c r="M347" i="1"/>
  <c r="L347" i="1"/>
  <c r="K347" i="1"/>
  <c r="J347" i="1"/>
  <c r="N346" i="1"/>
  <c r="M346" i="1"/>
  <c r="L346" i="1"/>
  <c r="K346" i="1"/>
  <c r="J346" i="1"/>
  <c r="N345" i="1"/>
  <c r="M345" i="1"/>
  <c r="L345" i="1"/>
  <c r="K345" i="1"/>
  <c r="J345" i="1"/>
  <c r="N344" i="1"/>
  <c r="M344" i="1"/>
  <c r="L344" i="1"/>
  <c r="K344" i="1"/>
  <c r="J344" i="1"/>
  <c r="N309" i="1"/>
  <c r="M309" i="1"/>
  <c r="L309" i="1"/>
  <c r="K309" i="1"/>
  <c r="J309" i="1"/>
  <c r="N308" i="1"/>
  <c r="M308" i="1"/>
  <c r="L308" i="1"/>
  <c r="K308" i="1"/>
  <c r="J308" i="1"/>
  <c r="N307" i="1"/>
  <c r="M307" i="1"/>
  <c r="L307" i="1"/>
  <c r="K307" i="1"/>
  <c r="J307" i="1"/>
  <c r="N306" i="1"/>
  <c r="M306" i="1"/>
  <c r="L306" i="1"/>
  <c r="K306" i="1"/>
  <c r="J306" i="1"/>
  <c r="N305" i="1"/>
  <c r="M305" i="1"/>
  <c r="L305" i="1"/>
  <c r="K305" i="1"/>
  <c r="J305" i="1"/>
  <c r="N304" i="1"/>
  <c r="M304" i="1"/>
  <c r="L304" i="1"/>
  <c r="K304" i="1"/>
  <c r="J304" i="1"/>
  <c r="N303" i="1"/>
  <c r="M303" i="1"/>
  <c r="L303" i="1"/>
  <c r="K303" i="1"/>
  <c r="J303" i="1"/>
  <c r="N302" i="1"/>
  <c r="M302" i="1"/>
  <c r="L302" i="1"/>
  <c r="K302" i="1"/>
  <c r="J302" i="1"/>
  <c r="N301" i="1"/>
  <c r="M301" i="1"/>
  <c r="L301" i="1"/>
  <c r="K301" i="1"/>
  <c r="J301" i="1"/>
  <c r="N300" i="1"/>
  <c r="M300" i="1"/>
  <c r="L300" i="1"/>
  <c r="K300" i="1"/>
  <c r="J300" i="1"/>
  <c r="N299" i="1"/>
  <c r="M299" i="1"/>
  <c r="L299" i="1"/>
  <c r="K299" i="1"/>
  <c r="J299" i="1"/>
  <c r="N298" i="1"/>
  <c r="M298" i="1"/>
  <c r="L298" i="1"/>
  <c r="K298" i="1"/>
  <c r="J298" i="1"/>
  <c r="N297" i="1"/>
  <c r="M297" i="1"/>
  <c r="L297" i="1"/>
  <c r="K297" i="1"/>
  <c r="J297" i="1"/>
  <c r="N296" i="1"/>
  <c r="M296" i="1"/>
  <c r="L296" i="1"/>
  <c r="K296" i="1"/>
  <c r="J296" i="1"/>
  <c r="N295" i="1"/>
  <c r="M295" i="1"/>
  <c r="L295" i="1"/>
  <c r="K295" i="1"/>
  <c r="J295" i="1"/>
  <c r="N294" i="1"/>
  <c r="M294" i="1"/>
  <c r="L294" i="1"/>
  <c r="K294" i="1"/>
  <c r="J294" i="1"/>
  <c r="N293" i="1"/>
  <c r="M293" i="1"/>
  <c r="L293" i="1"/>
  <c r="K293" i="1"/>
  <c r="J293" i="1"/>
  <c r="N292" i="1"/>
  <c r="M292" i="1"/>
  <c r="L292" i="1"/>
  <c r="K292" i="1"/>
  <c r="J292" i="1"/>
  <c r="N291" i="1"/>
  <c r="M291" i="1"/>
  <c r="L291" i="1"/>
  <c r="K291" i="1"/>
  <c r="J291" i="1"/>
  <c r="N290" i="1"/>
  <c r="M290" i="1"/>
  <c r="L290" i="1"/>
  <c r="K290" i="1"/>
  <c r="J290" i="1"/>
  <c r="N289" i="1"/>
  <c r="M289" i="1"/>
  <c r="L289" i="1"/>
  <c r="K289" i="1"/>
  <c r="J289" i="1"/>
  <c r="N288" i="1"/>
  <c r="M288" i="1"/>
  <c r="L288" i="1"/>
  <c r="K288" i="1"/>
  <c r="J288" i="1"/>
  <c r="N287" i="1"/>
  <c r="M287" i="1"/>
  <c r="L287" i="1"/>
  <c r="K287" i="1"/>
  <c r="J287" i="1"/>
  <c r="N286" i="1"/>
  <c r="M286" i="1"/>
  <c r="L286" i="1"/>
  <c r="K286" i="1"/>
  <c r="J286" i="1"/>
  <c r="N285" i="1"/>
  <c r="M285" i="1"/>
  <c r="L285" i="1"/>
  <c r="K285" i="1"/>
  <c r="J285" i="1"/>
  <c r="N284" i="1"/>
  <c r="M284" i="1"/>
  <c r="L284" i="1"/>
  <c r="K284" i="1"/>
  <c r="J284" i="1"/>
  <c r="N283" i="1"/>
  <c r="M283" i="1"/>
  <c r="L283" i="1"/>
  <c r="K283" i="1"/>
  <c r="J283" i="1"/>
  <c r="N282" i="1"/>
  <c r="M282" i="1"/>
  <c r="L282" i="1"/>
  <c r="K282" i="1"/>
  <c r="J282" i="1"/>
  <c r="N281" i="1"/>
  <c r="M281" i="1"/>
  <c r="L281" i="1"/>
  <c r="K281" i="1"/>
  <c r="J281" i="1"/>
  <c r="N280" i="1"/>
  <c r="M280" i="1"/>
  <c r="L280" i="1"/>
  <c r="K280" i="1"/>
  <c r="J280" i="1"/>
  <c r="N279" i="1"/>
  <c r="M279" i="1"/>
  <c r="L279" i="1"/>
  <c r="K279" i="1"/>
  <c r="J279" i="1"/>
  <c r="N278" i="1"/>
  <c r="M278" i="1"/>
  <c r="L278" i="1"/>
  <c r="K278" i="1"/>
  <c r="J278" i="1"/>
  <c r="N277" i="1"/>
  <c r="M277" i="1"/>
  <c r="L277" i="1"/>
  <c r="K277" i="1"/>
  <c r="J277" i="1"/>
  <c r="N276" i="1"/>
  <c r="M276" i="1"/>
  <c r="L276" i="1"/>
  <c r="K276" i="1"/>
  <c r="J276" i="1"/>
  <c r="N275" i="1"/>
  <c r="M275" i="1"/>
  <c r="L275" i="1"/>
  <c r="K275" i="1"/>
  <c r="J275" i="1"/>
  <c r="N274" i="1"/>
  <c r="M274" i="1"/>
  <c r="L274" i="1"/>
  <c r="K274" i="1"/>
  <c r="J274" i="1"/>
  <c r="N273" i="1"/>
  <c r="M273" i="1"/>
  <c r="L273" i="1"/>
  <c r="K273" i="1"/>
  <c r="J273" i="1"/>
  <c r="N272" i="1"/>
  <c r="M272" i="1"/>
  <c r="L272" i="1"/>
  <c r="K272" i="1"/>
  <c r="J272" i="1"/>
  <c r="N271" i="1"/>
  <c r="M271" i="1"/>
  <c r="L271" i="1"/>
  <c r="K271" i="1"/>
  <c r="J271" i="1"/>
  <c r="N270" i="1"/>
  <c r="M270" i="1"/>
  <c r="L270" i="1"/>
  <c r="K270" i="1"/>
  <c r="J270" i="1"/>
  <c r="N269" i="1"/>
  <c r="M269" i="1"/>
  <c r="L269" i="1"/>
  <c r="K269" i="1"/>
  <c r="J269" i="1"/>
  <c r="N268" i="1"/>
  <c r="M268" i="1"/>
  <c r="L268" i="1"/>
  <c r="K268" i="1"/>
  <c r="J268" i="1"/>
  <c r="N267" i="1"/>
  <c r="M267" i="1"/>
  <c r="L267" i="1"/>
  <c r="K267" i="1"/>
  <c r="J267" i="1"/>
  <c r="N266" i="1"/>
  <c r="M266" i="1"/>
  <c r="L266" i="1"/>
  <c r="K266" i="1"/>
  <c r="J266" i="1"/>
  <c r="N265" i="1"/>
  <c r="M265" i="1"/>
  <c r="L265" i="1"/>
  <c r="K265" i="1"/>
  <c r="J265" i="1"/>
  <c r="N264" i="1"/>
  <c r="M264" i="1"/>
  <c r="L264" i="1"/>
  <c r="K264" i="1"/>
  <c r="J264" i="1"/>
  <c r="N263" i="1"/>
  <c r="M263" i="1"/>
  <c r="L263" i="1"/>
  <c r="K263" i="1"/>
  <c r="J263" i="1"/>
  <c r="N262" i="1"/>
  <c r="M262" i="1"/>
  <c r="L262" i="1"/>
  <c r="K262" i="1"/>
  <c r="J262" i="1"/>
  <c r="N261" i="1"/>
  <c r="M261" i="1"/>
  <c r="L261" i="1"/>
  <c r="K261" i="1"/>
  <c r="J261" i="1"/>
  <c r="N260" i="1"/>
  <c r="M260" i="1"/>
  <c r="L260" i="1"/>
  <c r="K260" i="1"/>
  <c r="J260" i="1"/>
  <c r="N259" i="1"/>
  <c r="M259" i="1"/>
  <c r="L259" i="1"/>
  <c r="K259" i="1"/>
  <c r="J259" i="1"/>
  <c r="N258" i="1"/>
  <c r="M258" i="1"/>
  <c r="L258" i="1"/>
  <c r="K258" i="1"/>
  <c r="J258" i="1"/>
  <c r="N257" i="1"/>
  <c r="M257" i="1"/>
  <c r="L257" i="1"/>
  <c r="K257" i="1"/>
  <c r="J257" i="1"/>
  <c r="N256" i="1"/>
  <c r="M256" i="1"/>
  <c r="L256" i="1"/>
  <c r="K256" i="1"/>
  <c r="J256" i="1"/>
  <c r="N255" i="1"/>
  <c r="M255" i="1"/>
  <c r="L255" i="1"/>
  <c r="K255" i="1"/>
  <c r="J255" i="1"/>
  <c r="N254" i="1"/>
  <c r="M254" i="1"/>
  <c r="L254" i="1"/>
  <c r="K254" i="1"/>
  <c r="J254" i="1"/>
  <c r="N253" i="1"/>
  <c r="M253" i="1"/>
  <c r="L253" i="1"/>
  <c r="K253" i="1"/>
  <c r="J253" i="1"/>
  <c r="N252" i="1"/>
  <c r="M252" i="1"/>
  <c r="L252" i="1"/>
  <c r="K252" i="1"/>
  <c r="J252" i="1"/>
  <c r="N251" i="1"/>
  <c r="M251" i="1"/>
  <c r="L251" i="1"/>
  <c r="K251" i="1"/>
  <c r="J251" i="1"/>
  <c r="N250" i="1"/>
  <c r="M250" i="1"/>
  <c r="L250" i="1"/>
  <c r="K250" i="1"/>
  <c r="J250" i="1"/>
  <c r="N249" i="1"/>
  <c r="M249" i="1"/>
  <c r="L249" i="1"/>
  <c r="K249" i="1"/>
  <c r="J249" i="1"/>
  <c r="N248" i="1"/>
  <c r="M248" i="1"/>
  <c r="L248" i="1"/>
  <c r="K248" i="1"/>
  <c r="J248" i="1"/>
  <c r="N247" i="1"/>
  <c r="M247" i="1"/>
  <c r="L247" i="1"/>
  <c r="K247" i="1"/>
  <c r="J247" i="1"/>
  <c r="N246" i="1"/>
  <c r="M246" i="1"/>
  <c r="L246" i="1"/>
  <c r="K246" i="1"/>
  <c r="J246" i="1"/>
  <c r="N245" i="1"/>
  <c r="M245" i="1"/>
  <c r="L245" i="1"/>
  <c r="K245" i="1"/>
  <c r="J245" i="1"/>
  <c r="N244" i="1"/>
  <c r="M244" i="1"/>
  <c r="L244" i="1"/>
  <c r="K244" i="1"/>
  <c r="J244" i="1"/>
  <c r="N243" i="1"/>
  <c r="M243" i="1"/>
  <c r="L243" i="1"/>
  <c r="K243" i="1"/>
  <c r="J243" i="1"/>
  <c r="N242" i="1"/>
  <c r="M242" i="1"/>
  <c r="L242" i="1"/>
  <c r="K242" i="1"/>
  <c r="J242" i="1"/>
  <c r="N241" i="1"/>
  <c r="M241" i="1"/>
  <c r="L241" i="1"/>
  <c r="K241" i="1"/>
  <c r="J241" i="1"/>
  <c r="N240" i="1"/>
  <c r="M240" i="1"/>
  <c r="L240" i="1"/>
  <c r="K240" i="1"/>
  <c r="J240" i="1"/>
  <c r="N239" i="1"/>
  <c r="M239" i="1"/>
  <c r="L239" i="1"/>
  <c r="K239" i="1"/>
  <c r="J239" i="1"/>
  <c r="N238" i="1"/>
  <c r="M238" i="1"/>
  <c r="L238" i="1"/>
  <c r="K238" i="1"/>
  <c r="J238" i="1"/>
  <c r="N226" i="1"/>
  <c r="M226" i="1"/>
  <c r="L226" i="1"/>
  <c r="K226" i="1"/>
  <c r="J226" i="1"/>
  <c r="N225" i="1"/>
  <c r="M225" i="1"/>
  <c r="L225" i="1"/>
  <c r="K225" i="1"/>
  <c r="J225" i="1"/>
  <c r="N224" i="1"/>
  <c r="M224" i="1"/>
  <c r="L224" i="1"/>
  <c r="K224" i="1"/>
  <c r="J224" i="1"/>
  <c r="N223" i="1"/>
  <c r="M223" i="1"/>
  <c r="L223" i="1"/>
  <c r="K223" i="1"/>
  <c r="J223" i="1"/>
  <c r="N222" i="1"/>
  <c r="M222" i="1"/>
  <c r="L222" i="1"/>
  <c r="K222" i="1"/>
  <c r="J222" i="1"/>
  <c r="N221" i="1"/>
  <c r="M221" i="1"/>
  <c r="L221" i="1"/>
  <c r="K221" i="1"/>
  <c r="J221" i="1"/>
  <c r="N220" i="1"/>
  <c r="M220" i="1"/>
  <c r="L220" i="1"/>
  <c r="K220" i="1"/>
  <c r="J220" i="1"/>
  <c r="N219" i="1"/>
  <c r="M219" i="1"/>
  <c r="L219" i="1"/>
  <c r="K219" i="1"/>
  <c r="J219" i="1"/>
  <c r="N218" i="1"/>
  <c r="M218" i="1"/>
  <c r="L218" i="1"/>
  <c r="K218" i="1"/>
  <c r="J218" i="1"/>
  <c r="N217" i="1"/>
  <c r="M217" i="1"/>
  <c r="L217" i="1"/>
  <c r="K217" i="1"/>
  <c r="J217" i="1"/>
  <c r="N216" i="1"/>
  <c r="M216" i="1"/>
  <c r="L216" i="1"/>
  <c r="K216" i="1"/>
  <c r="J216" i="1"/>
  <c r="N215" i="1"/>
  <c r="M215" i="1"/>
  <c r="L215" i="1"/>
  <c r="K215" i="1"/>
  <c r="J215" i="1"/>
  <c r="N214" i="1"/>
  <c r="M214" i="1"/>
  <c r="L214" i="1"/>
  <c r="K214" i="1"/>
  <c r="J214" i="1"/>
  <c r="N213" i="1"/>
  <c r="M213" i="1"/>
  <c r="L213" i="1"/>
  <c r="K213" i="1"/>
  <c r="J213" i="1"/>
  <c r="N212" i="1"/>
  <c r="M212" i="1"/>
  <c r="L212" i="1"/>
  <c r="K212" i="1"/>
  <c r="J212" i="1"/>
  <c r="N211" i="1"/>
  <c r="M211" i="1"/>
  <c r="L211" i="1"/>
  <c r="K211" i="1"/>
  <c r="J211" i="1"/>
  <c r="N210" i="1"/>
  <c r="M210" i="1"/>
  <c r="L210" i="1"/>
  <c r="K210" i="1"/>
  <c r="J210" i="1"/>
  <c r="N209" i="1"/>
  <c r="M209" i="1"/>
  <c r="L209" i="1"/>
  <c r="K209" i="1"/>
  <c r="J209" i="1"/>
  <c r="N208" i="1"/>
  <c r="M208" i="1"/>
  <c r="L208" i="1"/>
  <c r="K208" i="1"/>
  <c r="J208" i="1"/>
  <c r="N207" i="1"/>
  <c r="M207" i="1"/>
  <c r="L207" i="1"/>
  <c r="K207" i="1"/>
  <c r="J207" i="1"/>
  <c r="N206" i="1"/>
  <c r="M206" i="1"/>
  <c r="L206" i="1"/>
  <c r="K206" i="1"/>
  <c r="J206" i="1"/>
  <c r="N205" i="1"/>
  <c r="M205" i="1"/>
  <c r="L205" i="1"/>
  <c r="K205" i="1"/>
  <c r="J205" i="1"/>
  <c r="N204" i="1"/>
  <c r="M204" i="1"/>
  <c r="L204" i="1"/>
  <c r="K204" i="1"/>
  <c r="J204" i="1"/>
  <c r="N203" i="1"/>
  <c r="M203" i="1"/>
  <c r="L203" i="1"/>
  <c r="K203" i="1"/>
  <c r="J203" i="1"/>
  <c r="N202" i="1"/>
  <c r="M202" i="1"/>
  <c r="L202" i="1"/>
  <c r="K202" i="1"/>
  <c r="J202" i="1"/>
  <c r="N201" i="1"/>
  <c r="M201" i="1"/>
  <c r="L201" i="1"/>
  <c r="K201" i="1"/>
  <c r="J201" i="1"/>
  <c r="N200" i="1"/>
  <c r="M200" i="1"/>
  <c r="L200" i="1"/>
  <c r="K200" i="1"/>
  <c r="J200" i="1"/>
  <c r="N199" i="1"/>
  <c r="M199" i="1"/>
  <c r="L199" i="1"/>
  <c r="K199" i="1"/>
  <c r="J199" i="1"/>
  <c r="N198" i="1"/>
  <c r="M198" i="1"/>
  <c r="L198" i="1"/>
  <c r="K198" i="1"/>
  <c r="J198" i="1"/>
  <c r="N197" i="1"/>
  <c r="M197" i="1"/>
  <c r="L197" i="1"/>
  <c r="K197" i="1"/>
  <c r="J197" i="1"/>
  <c r="N196" i="1"/>
  <c r="M196" i="1"/>
  <c r="L196" i="1"/>
  <c r="K196" i="1"/>
  <c r="J196" i="1"/>
  <c r="N195" i="1"/>
  <c r="M195" i="1"/>
  <c r="L195" i="1"/>
  <c r="K195" i="1"/>
  <c r="J195" i="1"/>
  <c r="N194" i="1"/>
  <c r="M194" i="1"/>
  <c r="L194" i="1"/>
  <c r="K194" i="1"/>
  <c r="J194" i="1"/>
  <c r="N193" i="1"/>
  <c r="M193" i="1"/>
  <c r="L193" i="1"/>
  <c r="K193" i="1"/>
  <c r="J193" i="1"/>
  <c r="N192" i="1"/>
  <c r="M192" i="1"/>
  <c r="L192" i="1"/>
  <c r="K192" i="1"/>
  <c r="J192" i="1"/>
  <c r="N191" i="1"/>
  <c r="M191" i="1"/>
  <c r="L191" i="1"/>
  <c r="K191" i="1"/>
  <c r="J191" i="1"/>
  <c r="N190" i="1"/>
  <c r="M190" i="1"/>
  <c r="L190" i="1"/>
  <c r="K190" i="1"/>
  <c r="J190" i="1"/>
  <c r="N189" i="1"/>
  <c r="M189" i="1"/>
  <c r="L189" i="1"/>
  <c r="K189" i="1"/>
  <c r="J189" i="1"/>
  <c r="N188" i="1"/>
  <c r="M188" i="1"/>
  <c r="L188" i="1"/>
  <c r="K188" i="1"/>
  <c r="J188" i="1"/>
  <c r="N187" i="1"/>
  <c r="M187" i="1"/>
  <c r="L187" i="1"/>
  <c r="K187" i="1"/>
  <c r="J187" i="1"/>
  <c r="N186" i="1"/>
  <c r="M186" i="1"/>
  <c r="L186" i="1"/>
  <c r="K186" i="1"/>
  <c r="J186" i="1"/>
  <c r="N185" i="1"/>
  <c r="M185" i="1"/>
  <c r="L185" i="1"/>
  <c r="K185" i="1"/>
  <c r="J185" i="1"/>
  <c r="N184" i="1"/>
  <c r="M184" i="1"/>
  <c r="L184" i="1"/>
  <c r="K184" i="1"/>
  <c r="J184" i="1"/>
  <c r="N183" i="1"/>
  <c r="M183" i="1"/>
  <c r="L183" i="1"/>
  <c r="K183" i="1"/>
  <c r="J183" i="1"/>
  <c r="N182" i="1"/>
  <c r="M182" i="1"/>
  <c r="L182" i="1"/>
  <c r="K182" i="1"/>
  <c r="J182" i="1"/>
  <c r="N181" i="1"/>
  <c r="M181" i="1"/>
  <c r="L181" i="1"/>
  <c r="K181" i="1"/>
  <c r="J181" i="1"/>
  <c r="N180" i="1"/>
  <c r="M180" i="1"/>
  <c r="L180" i="1"/>
  <c r="K180" i="1"/>
  <c r="J180" i="1"/>
  <c r="N179" i="1"/>
  <c r="M179" i="1"/>
  <c r="L179" i="1"/>
  <c r="K179" i="1"/>
  <c r="J179" i="1"/>
  <c r="N178" i="1"/>
  <c r="M178" i="1"/>
  <c r="L178" i="1"/>
  <c r="K178" i="1"/>
  <c r="J178" i="1"/>
  <c r="N173" i="1"/>
  <c r="M173" i="1"/>
  <c r="L173" i="1"/>
  <c r="K173" i="1"/>
  <c r="J173" i="1"/>
  <c r="N172" i="1"/>
  <c r="M172" i="1"/>
  <c r="L172" i="1"/>
  <c r="K172" i="1"/>
  <c r="J172" i="1"/>
  <c r="N171" i="1"/>
  <c r="M171" i="1"/>
  <c r="L171" i="1"/>
  <c r="K171" i="1"/>
  <c r="J171" i="1"/>
  <c r="N170" i="1"/>
  <c r="M170" i="1"/>
  <c r="L170" i="1"/>
  <c r="K170" i="1"/>
  <c r="J170" i="1"/>
  <c r="N169" i="1"/>
  <c r="M169" i="1"/>
  <c r="L169" i="1"/>
  <c r="K169" i="1"/>
  <c r="J169" i="1"/>
  <c r="N168" i="1"/>
  <c r="M168" i="1"/>
  <c r="L168" i="1"/>
  <c r="K168" i="1"/>
  <c r="J168" i="1"/>
  <c r="N167" i="1"/>
  <c r="M167" i="1"/>
  <c r="L167" i="1"/>
  <c r="K167" i="1"/>
  <c r="J167" i="1"/>
  <c r="N166" i="1"/>
  <c r="M166" i="1"/>
  <c r="L166" i="1"/>
  <c r="K166" i="1"/>
  <c r="J166" i="1"/>
  <c r="N165" i="1"/>
  <c r="M165" i="1"/>
  <c r="L165" i="1"/>
  <c r="K165" i="1"/>
  <c r="J165" i="1"/>
  <c r="N164" i="1"/>
  <c r="M164" i="1"/>
  <c r="L164" i="1"/>
  <c r="K164" i="1"/>
  <c r="J164" i="1"/>
  <c r="N163" i="1"/>
  <c r="M163" i="1"/>
  <c r="L163" i="1"/>
  <c r="K163" i="1"/>
  <c r="J163" i="1"/>
  <c r="N162" i="1"/>
  <c r="M162" i="1"/>
  <c r="L162" i="1"/>
  <c r="K162" i="1"/>
  <c r="J162" i="1"/>
  <c r="N161" i="1"/>
  <c r="M161" i="1"/>
  <c r="L161" i="1"/>
  <c r="K161" i="1"/>
  <c r="J161" i="1"/>
  <c r="N160" i="1"/>
  <c r="M160" i="1"/>
  <c r="L160" i="1"/>
  <c r="K160" i="1"/>
  <c r="J160" i="1"/>
  <c r="N159" i="1"/>
  <c r="M159" i="1"/>
  <c r="L159" i="1"/>
  <c r="K159" i="1"/>
  <c r="J159" i="1"/>
  <c r="N158" i="1"/>
  <c r="M158" i="1"/>
  <c r="L158" i="1"/>
  <c r="K158" i="1"/>
  <c r="J158" i="1"/>
  <c r="N157" i="1"/>
  <c r="M157" i="1"/>
  <c r="L157" i="1"/>
  <c r="K157" i="1"/>
  <c r="J157" i="1"/>
  <c r="N156" i="1"/>
  <c r="M156" i="1"/>
  <c r="L156" i="1"/>
  <c r="K156" i="1"/>
  <c r="J156" i="1"/>
  <c r="N155" i="1"/>
  <c r="M155" i="1"/>
  <c r="L155" i="1"/>
  <c r="K155" i="1"/>
  <c r="J155" i="1"/>
  <c r="N154" i="1"/>
  <c r="M154" i="1"/>
  <c r="L154" i="1"/>
  <c r="K154" i="1"/>
  <c r="J154" i="1"/>
  <c r="N153" i="1"/>
  <c r="M153" i="1"/>
  <c r="L153" i="1"/>
  <c r="K153" i="1"/>
  <c r="J153" i="1"/>
  <c r="N152" i="1"/>
  <c r="M152" i="1"/>
  <c r="L152" i="1"/>
  <c r="K152" i="1"/>
  <c r="J152" i="1"/>
  <c r="N151" i="1"/>
  <c r="M151" i="1"/>
  <c r="L151" i="1"/>
  <c r="K151" i="1"/>
  <c r="J151" i="1"/>
  <c r="N150" i="1"/>
  <c r="M150" i="1"/>
  <c r="L150" i="1"/>
  <c r="K150" i="1"/>
  <c r="J150" i="1"/>
  <c r="N149" i="1"/>
  <c r="M149" i="1"/>
  <c r="L149" i="1"/>
  <c r="K149" i="1"/>
  <c r="J149" i="1"/>
  <c r="N148" i="1"/>
  <c r="M148" i="1"/>
  <c r="L148" i="1"/>
  <c r="K148" i="1"/>
  <c r="J148" i="1"/>
  <c r="N147" i="1"/>
  <c r="M147" i="1"/>
  <c r="L147" i="1"/>
  <c r="K147" i="1"/>
  <c r="J147" i="1"/>
  <c r="N146" i="1"/>
  <c r="M146" i="1"/>
  <c r="L146" i="1"/>
  <c r="K146" i="1"/>
  <c r="J146" i="1"/>
  <c r="N145" i="1"/>
  <c r="M145" i="1"/>
  <c r="L145" i="1"/>
  <c r="K145" i="1"/>
  <c r="J145" i="1"/>
  <c r="N144" i="1"/>
  <c r="M144" i="1"/>
  <c r="L144" i="1"/>
  <c r="K144" i="1"/>
  <c r="J144" i="1"/>
  <c r="N143" i="1"/>
  <c r="M143" i="1"/>
  <c r="L143" i="1"/>
  <c r="K143" i="1"/>
  <c r="J143" i="1"/>
  <c r="N142" i="1"/>
  <c r="M142" i="1"/>
  <c r="L142" i="1"/>
  <c r="K142" i="1"/>
  <c r="J142" i="1"/>
  <c r="N141" i="1"/>
  <c r="M141" i="1"/>
  <c r="L141" i="1"/>
  <c r="K141" i="1"/>
  <c r="J141" i="1"/>
  <c r="N140" i="1"/>
  <c r="M140" i="1"/>
  <c r="L140" i="1"/>
  <c r="K140" i="1"/>
  <c r="J140" i="1"/>
  <c r="N139" i="1"/>
  <c r="M139" i="1"/>
  <c r="L139" i="1"/>
  <c r="K139" i="1"/>
  <c r="J139" i="1"/>
  <c r="N138" i="1"/>
  <c r="M138" i="1"/>
  <c r="L138" i="1"/>
  <c r="K138" i="1"/>
  <c r="J138" i="1"/>
  <c r="N137" i="1"/>
  <c r="M137" i="1"/>
  <c r="L137" i="1"/>
  <c r="K137" i="1"/>
  <c r="J137" i="1"/>
  <c r="N136" i="1"/>
  <c r="M136" i="1"/>
  <c r="L136" i="1"/>
  <c r="K136" i="1"/>
  <c r="J136" i="1"/>
  <c r="N135" i="1"/>
  <c r="M135" i="1"/>
  <c r="L135" i="1"/>
  <c r="K135" i="1"/>
  <c r="J135" i="1"/>
  <c r="N134" i="1"/>
  <c r="M134" i="1"/>
  <c r="L134" i="1"/>
  <c r="K134" i="1"/>
  <c r="J134" i="1"/>
  <c r="N133" i="1"/>
  <c r="M133" i="1"/>
  <c r="L133" i="1"/>
  <c r="K133" i="1"/>
  <c r="J133" i="1"/>
  <c r="N132" i="1"/>
  <c r="M132" i="1"/>
  <c r="L132" i="1"/>
  <c r="K132" i="1"/>
  <c r="J132" i="1"/>
  <c r="N131" i="1"/>
  <c r="M131" i="1"/>
  <c r="L131" i="1"/>
  <c r="K131" i="1"/>
  <c r="J131" i="1"/>
  <c r="N130" i="1"/>
  <c r="M130" i="1"/>
  <c r="L130" i="1"/>
  <c r="K130" i="1"/>
  <c r="J130" i="1"/>
  <c r="N129" i="1"/>
  <c r="M129" i="1"/>
  <c r="L129" i="1"/>
  <c r="K129" i="1"/>
  <c r="J129" i="1"/>
  <c r="N128" i="1"/>
  <c r="M128" i="1"/>
  <c r="L128" i="1"/>
  <c r="K128" i="1"/>
  <c r="J128" i="1"/>
  <c r="N127" i="1"/>
  <c r="M127" i="1"/>
  <c r="L127" i="1"/>
  <c r="K127" i="1"/>
  <c r="J127" i="1"/>
  <c r="N126" i="1"/>
  <c r="M126" i="1"/>
  <c r="L126" i="1"/>
  <c r="K126" i="1"/>
  <c r="J126" i="1"/>
  <c r="N125" i="1"/>
  <c r="M125" i="1"/>
  <c r="L125" i="1"/>
  <c r="K125" i="1"/>
  <c r="J125" i="1"/>
  <c r="N124" i="1"/>
  <c r="M124" i="1"/>
  <c r="L124" i="1"/>
  <c r="K124" i="1"/>
  <c r="J124" i="1"/>
  <c r="N123" i="1"/>
  <c r="M123" i="1"/>
  <c r="L123" i="1"/>
  <c r="K123" i="1"/>
  <c r="J123" i="1"/>
  <c r="N122" i="1"/>
  <c r="M122" i="1"/>
  <c r="L122" i="1"/>
  <c r="K122" i="1"/>
  <c r="J122" i="1"/>
  <c r="N121" i="1"/>
  <c r="M121" i="1"/>
  <c r="L121" i="1"/>
  <c r="K121" i="1"/>
  <c r="J121" i="1"/>
  <c r="N120" i="1"/>
  <c r="M120" i="1"/>
  <c r="L120" i="1"/>
  <c r="K120" i="1"/>
  <c r="J120" i="1"/>
  <c r="N119" i="1"/>
  <c r="M119" i="1"/>
  <c r="L119" i="1"/>
  <c r="K119" i="1"/>
  <c r="J119" i="1"/>
  <c r="N118" i="1"/>
  <c r="M118" i="1"/>
  <c r="L118" i="1"/>
  <c r="K118" i="1"/>
  <c r="J118" i="1"/>
  <c r="N117" i="1"/>
  <c r="M117" i="1"/>
  <c r="L117" i="1"/>
  <c r="K117" i="1"/>
  <c r="J117" i="1"/>
  <c r="N116" i="1"/>
  <c r="M116" i="1"/>
  <c r="L116" i="1"/>
  <c r="K116" i="1"/>
  <c r="J116" i="1"/>
  <c r="N115" i="1"/>
  <c r="M115" i="1"/>
  <c r="L115" i="1"/>
  <c r="K115" i="1"/>
  <c r="J115" i="1"/>
  <c r="N114" i="1"/>
  <c r="M114" i="1"/>
  <c r="L114" i="1"/>
  <c r="K114" i="1"/>
  <c r="J114" i="1"/>
  <c r="N113" i="1"/>
  <c r="M113" i="1"/>
  <c r="L113" i="1"/>
  <c r="K113" i="1"/>
  <c r="J113" i="1"/>
  <c r="N112" i="1"/>
  <c r="M112" i="1"/>
  <c r="L112" i="1"/>
  <c r="K112" i="1"/>
  <c r="J112" i="1"/>
  <c r="N111" i="1"/>
  <c r="M111" i="1"/>
  <c r="L111" i="1"/>
  <c r="K111" i="1"/>
  <c r="J111" i="1"/>
  <c r="N110" i="1"/>
  <c r="M110" i="1"/>
  <c r="L110" i="1"/>
  <c r="K110" i="1"/>
  <c r="J110" i="1"/>
  <c r="N109" i="1"/>
  <c r="M109" i="1"/>
  <c r="L109" i="1"/>
  <c r="K109" i="1"/>
  <c r="J109" i="1"/>
  <c r="N108" i="1"/>
  <c r="M108" i="1"/>
  <c r="L108" i="1"/>
  <c r="K108" i="1"/>
  <c r="J108" i="1"/>
  <c r="N107" i="1"/>
  <c r="M107" i="1"/>
  <c r="L107" i="1"/>
  <c r="K107" i="1"/>
  <c r="J107" i="1"/>
  <c r="N106" i="1"/>
  <c r="M106" i="1"/>
  <c r="L106" i="1"/>
  <c r="K106" i="1"/>
  <c r="J106" i="1"/>
  <c r="N105" i="1"/>
  <c r="M105" i="1"/>
  <c r="L105" i="1"/>
  <c r="K105" i="1"/>
  <c r="J105" i="1"/>
  <c r="N104" i="1"/>
  <c r="M104" i="1"/>
  <c r="L104" i="1"/>
  <c r="K104" i="1"/>
  <c r="J104" i="1"/>
  <c r="N103" i="1"/>
  <c r="M103" i="1"/>
  <c r="L103" i="1"/>
  <c r="K103" i="1"/>
  <c r="J103" i="1"/>
  <c r="N102" i="1"/>
  <c r="M102" i="1"/>
  <c r="L102" i="1"/>
  <c r="K102" i="1"/>
  <c r="J102" i="1"/>
  <c r="N101" i="1"/>
  <c r="M101" i="1"/>
  <c r="L101" i="1"/>
  <c r="K101" i="1"/>
  <c r="J101" i="1"/>
  <c r="N96" i="1"/>
  <c r="M96" i="1"/>
  <c r="L96" i="1"/>
  <c r="K96" i="1"/>
  <c r="J96" i="1"/>
  <c r="N95" i="1"/>
  <c r="M95" i="1"/>
  <c r="L95" i="1"/>
  <c r="K95" i="1"/>
  <c r="J95" i="1"/>
  <c r="N94" i="1"/>
  <c r="M94" i="1"/>
  <c r="L94" i="1"/>
  <c r="K94" i="1"/>
  <c r="J94" i="1"/>
  <c r="N93" i="1"/>
  <c r="M93" i="1"/>
  <c r="L93" i="1"/>
  <c r="K93" i="1"/>
  <c r="J93" i="1"/>
  <c r="N92" i="1"/>
  <c r="M92" i="1"/>
  <c r="L92" i="1"/>
  <c r="K92" i="1"/>
  <c r="J92" i="1"/>
  <c r="N91" i="1"/>
  <c r="M91" i="1"/>
  <c r="L91" i="1"/>
  <c r="K91" i="1"/>
  <c r="J91" i="1"/>
  <c r="N90" i="1"/>
  <c r="M90" i="1"/>
  <c r="L90" i="1"/>
  <c r="K90" i="1"/>
  <c r="J90" i="1"/>
  <c r="N89" i="1"/>
  <c r="M89" i="1"/>
  <c r="L89" i="1"/>
  <c r="K89" i="1"/>
  <c r="J89" i="1"/>
  <c r="N88" i="1"/>
  <c r="M88" i="1"/>
  <c r="L88" i="1"/>
  <c r="K88" i="1"/>
  <c r="J88" i="1"/>
  <c r="N87" i="1"/>
  <c r="M87" i="1"/>
  <c r="L87" i="1"/>
  <c r="K87" i="1"/>
  <c r="J87" i="1"/>
  <c r="N86" i="1"/>
  <c r="M86" i="1"/>
  <c r="L86" i="1"/>
  <c r="K86" i="1"/>
  <c r="J86" i="1"/>
  <c r="N85" i="1"/>
  <c r="M85" i="1"/>
  <c r="L85" i="1"/>
  <c r="K85" i="1"/>
  <c r="J85" i="1"/>
  <c r="N84" i="1"/>
  <c r="M84" i="1"/>
  <c r="L84" i="1"/>
  <c r="K84" i="1"/>
  <c r="J84" i="1"/>
  <c r="N83" i="1"/>
  <c r="M83" i="1"/>
  <c r="L83" i="1"/>
  <c r="K83" i="1"/>
  <c r="J83" i="1"/>
  <c r="N82" i="1"/>
  <c r="M82" i="1"/>
  <c r="L82" i="1"/>
  <c r="K82" i="1"/>
  <c r="J82" i="1"/>
  <c r="N81" i="1"/>
  <c r="M81" i="1"/>
  <c r="L81" i="1"/>
  <c r="K81" i="1"/>
  <c r="J81" i="1"/>
  <c r="N80" i="1"/>
  <c r="M80" i="1"/>
  <c r="L80" i="1"/>
  <c r="K80" i="1"/>
  <c r="J80" i="1"/>
  <c r="N79" i="1"/>
  <c r="M79" i="1"/>
  <c r="L79" i="1"/>
  <c r="K79" i="1"/>
  <c r="J79" i="1"/>
  <c r="N78" i="1"/>
  <c r="M78" i="1"/>
  <c r="L78" i="1"/>
  <c r="K78" i="1"/>
  <c r="J78" i="1"/>
  <c r="N77" i="1"/>
  <c r="M77" i="1"/>
  <c r="L77" i="1"/>
  <c r="K77" i="1"/>
  <c r="J77" i="1"/>
  <c r="N76" i="1"/>
  <c r="M76" i="1"/>
  <c r="L76" i="1"/>
  <c r="K76" i="1"/>
  <c r="J76" i="1"/>
  <c r="N75" i="1"/>
  <c r="M75" i="1"/>
  <c r="L75" i="1"/>
  <c r="K75" i="1"/>
  <c r="J75" i="1"/>
  <c r="N74" i="1"/>
  <c r="M74" i="1"/>
  <c r="L74" i="1"/>
  <c r="K74" i="1"/>
  <c r="J74" i="1"/>
  <c r="N73" i="1"/>
  <c r="M73" i="1"/>
  <c r="L73" i="1"/>
  <c r="K73" i="1"/>
  <c r="J73" i="1"/>
  <c r="N72" i="1"/>
  <c r="M72" i="1"/>
  <c r="L72" i="1"/>
  <c r="K72" i="1"/>
  <c r="J72" i="1"/>
  <c r="N71" i="1"/>
  <c r="M71" i="1"/>
  <c r="L71" i="1"/>
  <c r="K71" i="1"/>
  <c r="J71" i="1"/>
  <c r="N70" i="1"/>
  <c r="L70" i="1"/>
  <c r="K70" i="1"/>
  <c r="J70" i="1"/>
  <c r="N69" i="1"/>
  <c r="M69" i="1"/>
  <c r="L69" i="1"/>
  <c r="K69" i="1"/>
  <c r="J69" i="1"/>
  <c r="N68" i="1"/>
  <c r="M68" i="1"/>
  <c r="L68" i="1"/>
  <c r="K68" i="1"/>
  <c r="J68" i="1"/>
  <c r="N67" i="1"/>
  <c r="M67" i="1"/>
  <c r="L67" i="1"/>
  <c r="K67" i="1"/>
  <c r="J67" i="1"/>
  <c r="N66" i="1"/>
  <c r="M66" i="1"/>
  <c r="L66" i="1"/>
  <c r="K66" i="1"/>
  <c r="J66" i="1"/>
  <c r="N65" i="1"/>
  <c r="M65" i="1"/>
  <c r="L65" i="1"/>
  <c r="K65" i="1"/>
  <c r="J65" i="1"/>
  <c r="N64" i="1"/>
  <c r="M64" i="1"/>
  <c r="L64" i="1"/>
  <c r="K64" i="1"/>
  <c r="J64" i="1"/>
  <c r="N63" i="1"/>
  <c r="M63" i="1"/>
  <c r="L63" i="1"/>
  <c r="K63" i="1"/>
  <c r="J63" i="1"/>
  <c r="N62" i="1"/>
  <c r="M62" i="1"/>
  <c r="L62" i="1"/>
  <c r="K62" i="1"/>
  <c r="J62" i="1"/>
  <c r="N61" i="1"/>
  <c r="M61" i="1"/>
  <c r="L61" i="1"/>
  <c r="K61" i="1"/>
  <c r="J61" i="1"/>
  <c r="N60" i="1"/>
  <c r="M60" i="1"/>
  <c r="L60" i="1"/>
  <c r="K60" i="1"/>
  <c r="J60" i="1"/>
  <c r="N59" i="1"/>
  <c r="M59" i="1"/>
  <c r="L59" i="1"/>
  <c r="K59" i="1"/>
  <c r="J59" i="1"/>
  <c r="N58" i="1"/>
  <c r="M58" i="1"/>
  <c r="L58" i="1"/>
  <c r="K58" i="1"/>
  <c r="J58" i="1"/>
  <c r="N57" i="1"/>
  <c r="M57" i="1"/>
  <c r="L57" i="1"/>
  <c r="K57" i="1"/>
  <c r="J57" i="1"/>
  <c r="N56" i="1"/>
  <c r="M56" i="1"/>
  <c r="L56" i="1"/>
  <c r="K56" i="1"/>
  <c r="J56" i="1"/>
  <c r="N55" i="1"/>
  <c r="M55" i="1"/>
  <c r="L55" i="1"/>
  <c r="K55" i="1"/>
  <c r="J55" i="1"/>
  <c r="N54" i="1"/>
  <c r="M54" i="1"/>
  <c r="L54" i="1"/>
  <c r="K54" i="1"/>
  <c r="J54" i="1"/>
  <c r="N53" i="1"/>
  <c r="M53" i="1"/>
  <c r="L53" i="1"/>
  <c r="K53" i="1"/>
  <c r="J53" i="1"/>
  <c r="N52" i="1"/>
  <c r="M52" i="1"/>
  <c r="L52" i="1"/>
  <c r="K52" i="1"/>
  <c r="J52" i="1"/>
  <c r="N51" i="1"/>
  <c r="M51" i="1"/>
  <c r="L51" i="1"/>
  <c r="K51" i="1"/>
  <c r="J51" i="1"/>
  <c r="N50" i="1"/>
  <c r="M50" i="1"/>
  <c r="L50" i="1"/>
  <c r="K50" i="1"/>
  <c r="J50" i="1"/>
  <c r="N49" i="1"/>
  <c r="M49" i="1"/>
  <c r="L49" i="1"/>
  <c r="K49" i="1"/>
  <c r="J49" i="1"/>
  <c r="N48" i="1"/>
  <c r="M48" i="1"/>
  <c r="L48" i="1"/>
  <c r="K48" i="1"/>
  <c r="J48" i="1"/>
  <c r="N47" i="1"/>
  <c r="M47" i="1"/>
  <c r="L47" i="1"/>
  <c r="K47" i="1"/>
  <c r="J47" i="1"/>
  <c r="N46" i="1"/>
  <c r="M46" i="1"/>
  <c r="L46" i="1"/>
  <c r="K46" i="1"/>
  <c r="J46" i="1"/>
  <c r="N45" i="1"/>
  <c r="M45" i="1"/>
  <c r="L45" i="1"/>
  <c r="K45" i="1"/>
  <c r="J45" i="1"/>
  <c r="N44" i="1"/>
  <c r="L44" i="1"/>
  <c r="K44" i="1"/>
  <c r="J44" i="1"/>
  <c r="N43" i="1"/>
  <c r="M43" i="1"/>
  <c r="L43" i="1"/>
  <c r="K43" i="1"/>
  <c r="J43" i="1"/>
  <c r="N42" i="1"/>
  <c r="M42" i="1"/>
  <c r="L42" i="1"/>
  <c r="K42" i="1"/>
  <c r="J42" i="1"/>
  <c r="N41" i="1"/>
  <c r="M41" i="1"/>
  <c r="L41" i="1"/>
  <c r="K41" i="1"/>
  <c r="J41" i="1"/>
  <c r="N40" i="1"/>
  <c r="M40" i="1"/>
  <c r="L40" i="1"/>
  <c r="K40" i="1"/>
  <c r="J40" i="1"/>
  <c r="N39" i="1"/>
  <c r="M39" i="1"/>
  <c r="L39" i="1"/>
  <c r="K39" i="1"/>
  <c r="J39" i="1"/>
  <c r="N38" i="1"/>
  <c r="M38" i="1"/>
  <c r="L38" i="1"/>
  <c r="K38" i="1"/>
  <c r="J38" i="1"/>
  <c r="N37" i="1"/>
  <c r="M37" i="1"/>
  <c r="L37" i="1"/>
  <c r="K37" i="1"/>
  <c r="J37" i="1"/>
  <c r="N36" i="1"/>
  <c r="M36" i="1"/>
  <c r="L36" i="1"/>
  <c r="K36" i="1"/>
  <c r="J36" i="1"/>
  <c r="N35" i="1"/>
  <c r="M35" i="1"/>
  <c r="L35" i="1"/>
  <c r="K35" i="1"/>
  <c r="J35" i="1"/>
  <c r="N34" i="1"/>
  <c r="L34" i="1"/>
  <c r="K34" i="1"/>
  <c r="J34" i="1"/>
  <c r="N33" i="1"/>
  <c r="M33" i="1"/>
  <c r="L33" i="1"/>
  <c r="K33" i="1"/>
  <c r="J33" i="1"/>
  <c r="N32" i="1"/>
  <c r="M32" i="1"/>
  <c r="L32" i="1"/>
  <c r="K32" i="1"/>
  <c r="J32" i="1"/>
  <c r="N31" i="1"/>
  <c r="M31" i="1"/>
  <c r="L31" i="1"/>
  <c r="K31" i="1"/>
  <c r="J31" i="1"/>
  <c r="N30" i="1"/>
  <c r="M30" i="1"/>
  <c r="L30" i="1"/>
  <c r="K30" i="1"/>
  <c r="J30" i="1"/>
  <c r="N29" i="1"/>
  <c r="M29" i="1"/>
  <c r="L29" i="1"/>
  <c r="K29" i="1"/>
  <c r="J29" i="1"/>
  <c r="N28" i="1"/>
  <c r="M28" i="1"/>
  <c r="L28" i="1"/>
  <c r="K28" i="1"/>
  <c r="J28" i="1"/>
  <c r="N27" i="1"/>
  <c r="M27" i="1"/>
  <c r="L27" i="1"/>
  <c r="K27" i="1"/>
  <c r="J27" i="1"/>
  <c r="N26" i="1"/>
  <c r="M26" i="1"/>
  <c r="L26" i="1"/>
  <c r="K26" i="1"/>
  <c r="J26" i="1"/>
  <c r="N25" i="1"/>
  <c r="M25" i="1"/>
  <c r="L25" i="1"/>
  <c r="K25" i="1"/>
  <c r="J25" i="1"/>
  <c r="N24" i="1"/>
  <c r="M24" i="1"/>
  <c r="L24" i="1"/>
  <c r="K24" i="1"/>
  <c r="J24" i="1"/>
  <c r="N23" i="1"/>
  <c r="M23" i="1"/>
  <c r="L23" i="1"/>
  <c r="K23" i="1"/>
  <c r="J23" i="1"/>
  <c r="N22" i="1"/>
  <c r="M22" i="1"/>
  <c r="L22" i="1"/>
  <c r="K22" i="1"/>
  <c r="J22" i="1"/>
  <c r="N21" i="1"/>
  <c r="M21" i="1"/>
  <c r="L21" i="1"/>
  <c r="K21" i="1"/>
  <c r="J21" i="1"/>
  <c r="N20" i="1"/>
  <c r="M20" i="1"/>
  <c r="L20" i="1"/>
  <c r="K20" i="1"/>
  <c r="J20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H90" i="1"/>
  <c r="H89" i="1"/>
  <c r="H88" i="1"/>
  <c r="H87" i="1"/>
  <c r="H54" i="1"/>
  <c r="H53" i="1"/>
  <c r="H52" i="1"/>
  <c r="H51" i="1"/>
  <c r="H72" i="1"/>
  <c r="H71" i="1"/>
  <c r="H70" i="1"/>
  <c r="H69" i="1"/>
  <c r="H36" i="1"/>
  <c r="H35" i="1"/>
  <c r="H34" i="1"/>
  <c r="H33" i="1"/>
  <c r="M44" i="1" l="1"/>
  <c r="M70" i="1"/>
  <c r="M34" i="1"/>
  <c r="P3" i="1"/>
  <c r="P2" i="1"/>
  <c r="K110" i="10"/>
  <c r="K109" i="10"/>
  <c r="K107" i="10"/>
  <c r="K104" i="10"/>
  <c r="H114" i="10"/>
  <c r="G114" i="10"/>
  <c r="H113" i="10"/>
  <c r="G113" i="10"/>
  <c r="K113" i="10" s="1"/>
  <c r="H112" i="10"/>
  <c r="G112" i="10"/>
  <c r="K112" i="10" s="1"/>
  <c r="H111" i="10"/>
  <c r="K111" i="10" s="1"/>
  <c r="G111" i="10"/>
  <c r="H110" i="10"/>
  <c r="G110" i="10"/>
  <c r="H109" i="10"/>
  <c r="G109" i="10"/>
  <c r="H108" i="10"/>
  <c r="G108" i="10"/>
  <c r="K108" i="10" s="1"/>
  <c r="H107" i="10"/>
  <c r="G107" i="10"/>
  <c r="H106" i="10"/>
  <c r="G106" i="10"/>
  <c r="K106" i="10" s="1"/>
  <c r="H105" i="10"/>
  <c r="G105" i="10"/>
  <c r="K105" i="10" s="1"/>
  <c r="H104" i="10"/>
  <c r="G104" i="10"/>
  <c r="H103" i="10"/>
  <c r="G103" i="10"/>
  <c r="H102" i="10"/>
  <c r="G102" i="10"/>
  <c r="K102" i="10" s="1"/>
  <c r="H101" i="10"/>
  <c r="G101" i="10"/>
  <c r="K101" i="10" s="1"/>
  <c r="AC52" i="10"/>
  <c r="AC51" i="10"/>
  <c r="AB51" i="10"/>
  <c r="AC50" i="10"/>
  <c r="AB50" i="10"/>
  <c r="AA50" i="10"/>
  <c r="AC49" i="10"/>
  <c r="AB49" i="10"/>
  <c r="AA49" i="10"/>
  <c r="Z49" i="10"/>
  <c r="AC48" i="10"/>
  <c r="AB48" i="10"/>
  <c r="AA48" i="10"/>
  <c r="Z48" i="10"/>
  <c r="Y48" i="10"/>
  <c r="AC47" i="10"/>
  <c r="AB47" i="10"/>
  <c r="AA47" i="10"/>
  <c r="Z47" i="10"/>
  <c r="Y47" i="10"/>
  <c r="X47" i="10"/>
  <c r="AC46" i="10"/>
  <c r="AB46" i="10"/>
  <c r="AA46" i="10"/>
  <c r="Z46" i="10"/>
  <c r="Y46" i="10"/>
  <c r="X46" i="10"/>
  <c r="W46" i="10"/>
  <c r="AC45" i="10"/>
  <c r="AB45" i="10"/>
  <c r="AA45" i="10"/>
  <c r="Z45" i="10"/>
  <c r="Y45" i="10"/>
  <c r="X45" i="10"/>
  <c r="W45" i="10"/>
  <c r="V45" i="10"/>
  <c r="AC44" i="10"/>
  <c r="AB44" i="10"/>
  <c r="AA44" i="10"/>
  <c r="Z44" i="10"/>
  <c r="Y44" i="10"/>
  <c r="X44" i="10"/>
  <c r="W44" i="10"/>
  <c r="V44" i="10"/>
  <c r="U44" i="10"/>
  <c r="AC43" i="10"/>
  <c r="AB43" i="10"/>
  <c r="AA43" i="10"/>
  <c r="Z43" i="10"/>
  <c r="Y43" i="10"/>
  <c r="X43" i="10"/>
  <c r="W43" i="10"/>
  <c r="V43" i="10"/>
  <c r="U43" i="10"/>
  <c r="T43" i="10"/>
  <c r="AC42" i="10"/>
  <c r="AB42" i="10"/>
  <c r="AA42" i="10"/>
  <c r="Z42" i="10"/>
  <c r="Y42" i="10"/>
  <c r="X42" i="10"/>
  <c r="W42" i="10"/>
  <c r="V42" i="10"/>
  <c r="U42" i="10"/>
  <c r="T42" i="10"/>
  <c r="S42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Z31" i="10"/>
  <c r="W28" i="10"/>
  <c r="T25" i="10"/>
  <c r="Q23" i="10"/>
  <c r="O32" i="10"/>
  <c r="P32" i="10"/>
  <c r="O31" i="10"/>
  <c r="P31" i="10"/>
  <c r="O30" i="10"/>
  <c r="R32" i="10"/>
  <c r="P30" i="10"/>
  <c r="O29" i="10"/>
  <c r="S32" i="10"/>
  <c r="R31" i="10"/>
  <c r="P29" i="10"/>
  <c r="O28" i="10"/>
  <c r="S31" i="10"/>
  <c r="R30" i="10"/>
  <c r="P28" i="10"/>
  <c r="O27" i="10"/>
  <c r="U32" i="10"/>
  <c r="S30" i="10"/>
  <c r="R29" i="10"/>
  <c r="P27" i="10"/>
  <c r="O26" i="10"/>
  <c r="V32" i="10"/>
  <c r="U31" i="10"/>
  <c r="S29" i="10"/>
  <c r="R28" i="10"/>
  <c r="P26" i="10"/>
  <c r="O25" i="10"/>
  <c r="V31" i="10"/>
  <c r="U30" i="10"/>
  <c r="S28" i="10"/>
  <c r="R27" i="10"/>
  <c r="P25" i="10"/>
  <c r="O24" i="10"/>
  <c r="X32" i="10"/>
  <c r="V30" i="10"/>
  <c r="U29" i="10"/>
  <c r="S27" i="10"/>
  <c r="R26" i="10"/>
  <c r="Q25" i="10"/>
  <c r="Q26" i="10" s="1"/>
  <c r="P24" i="10"/>
  <c r="O23" i="10"/>
  <c r="Y32" i="10"/>
  <c r="X31" i="10"/>
  <c r="V29" i="10"/>
  <c r="U28" i="10"/>
  <c r="T27" i="10"/>
  <c r="T28" i="10" s="1"/>
  <c r="T29" i="10" s="1"/>
  <c r="T30" i="10" s="1"/>
  <c r="T31" i="10" s="1"/>
  <c r="T32" i="10" s="1"/>
  <c r="S26" i="10"/>
  <c r="R25" i="10"/>
  <c r="Q24" i="10"/>
  <c r="P23" i="10"/>
  <c r="O22" i="10"/>
  <c r="Z32" i="10"/>
  <c r="Y31" i="10"/>
  <c r="X30" i="10"/>
  <c r="W29" i="10"/>
  <c r="W30" i="10" s="1"/>
  <c r="W31" i="10" s="1"/>
  <c r="W32" i="10" s="1"/>
  <c r="V28" i="10"/>
  <c r="U27" i="10"/>
  <c r="T26" i="10"/>
  <c r="S25" i="10"/>
  <c r="R24" i="10"/>
  <c r="P22" i="10"/>
  <c r="O21" i="10"/>
  <c r="AA32" i="10"/>
  <c r="Y30" i="10"/>
  <c r="X29" i="10"/>
  <c r="V27" i="10"/>
  <c r="U26" i="10"/>
  <c r="S24" i="10"/>
  <c r="R23" i="10"/>
  <c r="Q22" i="10"/>
  <c r="P21" i="10"/>
  <c r="O20" i="10"/>
  <c r="AB32" i="10"/>
  <c r="AA31" i="10"/>
  <c r="Z30" i="10"/>
  <c r="Y29" i="10"/>
  <c r="X28" i="10"/>
  <c r="W27" i="10"/>
  <c r="V26" i="10"/>
  <c r="U25" i="10"/>
  <c r="T24" i="10"/>
  <c r="S23" i="10"/>
  <c r="R22" i="10"/>
  <c r="Q21" i="10"/>
  <c r="P20" i="10"/>
  <c r="O19" i="10"/>
  <c r="AE25" i="10"/>
  <c r="AE24" i="10"/>
  <c r="AE23" i="10"/>
  <c r="AE22" i="10"/>
  <c r="AE21" i="10"/>
  <c r="AE20" i="10"/>
  <c r="AE19" i="10"/>
  <c r="AE18" i="10"/>
  <c r="AC30" i="10"/>
  <c r="AA28" i="10"/>
  <c r="Z27" i="10"/>
  <c r="X25" i="10"/>
  <c r="W24" i="10"/>
  <c r="U22" i="10"/>
  <c r="T21" i="10"/>
  <c r="S20" i="10"/>
  <c r="R19" i="10"/>
  <c r="Q18" i="10"/>
  <c r="H15" i="10"/>
  <c r="G15" i="10"/>
  <c r="F15" i="10"/>
  <c r="K15" i="10" s="1"/>
  <c r="F6" i="10"/>
  <c r="G6" i="10"/>
  <c r="H6" i="10"/>
  <c r="K6" i="10" s="1"/>
  <c r="F7" i="10"/>
  <c r="G7" i="10"/>
  <c r="H7" i="10"/>
  <c r="F8" i="10"/>
  <c r="G8" i="10"/>
  <c r="H8" i="10"/>
  <c r="F9" i="10"/>
  <c r="G9" i="10"/>
  <c r="H9" i="10"/>
  <c r="F10" i="10"/>
  <c r="G10" i="10"/>
  <c r="H10" i="10"/>
  <c r="F11" i="10"/>
  <c r="G11" i="10"/>
  <c r="H11" i="10"/>
  <c r="F12" i="10"/>
  <c r="G12" i="10"/>
  <c r="H12" i="10"/>
  <c r="K12" i="10" s="1"/>
  <c r="F13" i="10"/>
  <c r="G13" i="10"/>
  <c r="H13" i="10"/>
  <c r="F14" i="10"/>
  <c r="G14" i="10"/>
  <c r="H14" i="10"/>
  <c r="K9" i="10"/>
  <c r="H5" i="10"/>
  <c r="G5" i="10"/>
  <c r="F5" i="10"/>
  <c r="K5" i="10" s="1"/>
  <c r="H4" i="10"/>
  <c r="G4" i="10"/>
  <c r="F4" i="10"/>
  <c r="K4" i="10" s="1"/>
  <c r="H3" i="10"/>
  <c r="G3" i="10"/>
  <c r="F3" i="10"/>
  <c r="K3" i="10" s="1"/>
  <c r="H2" i="10"/>
  <c r="G2" i="10"/>
  <c r="F2" i="10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819" i="1"/>
  <c r="H818" i="1"/>
  <c r="H817" i="1"/>
  <c r="H816" i="1"/>
  <c r="H815" i="1"/>
  <c r="H814" i="1"/>
  <c r="H813" i="1"/>
  <c r="H812" i="1"/>
  <c r="H973" i="1"/>
  <c r="H972" i="1"/>
  <c r="H971" i="1"/>
  <c r="H970" i="1"/>
  <c r="H969" i="1"/>
  <c r="H968" i="1"/>
  <c r="H967" i="1"/>
  <c r="H542" i="1"/>
  <c r="H541" i="1"/>
  <c r="H540" i="1"/>
  <c r="H539" i="1"/>
  <c r="H538" i="1"/>
  <c r="H537" i="1"/>
  <c r="H536" i="1"/>
  <c r="H966" i="1"/>
  <c r="H965" i="1"/>
  <c r="H964" i="1"/>
  <c r="H963" i="1"/>
  <c r="H962" i="1"/>
  <c r="H961" i="1"/>
  <c r="H960" i="1"/>
  <c r="H534" i="1"/>
  <c r="H532" i="1"/>
  <c r="H531" i="1"/>
  <c r="H535" i="1"/>
  <c r="H533" i="1"/>
  <c r="H530" i="1"/>
  <c r="H529" i="1"/>
  <c r="H1148" i="1"/>
  <c r="H1147" i="1"/>
  <c r="H1146" i="1"/>
  <c r="H1145" i="1"/>
  <c r="H1144" i="1"/>
  <c r="H1135" i="1"/>
  <c r="H1134" i="1"/>
  <c r="H1133" i="1"/>
  <c r="H1132" i="1"/>
  <c r="H1131" i="1"/>
  <c r="H1122" i="1"/>
  <c r="H1121" i="1"/>
  <c r="H1120" i="1"/>
  <c r="H1119" i="1"/>
  <c r="H1118" i="1"/>
  <c r="H1109" i="1"/>
  <c r="H1108" i="1"/>
  <c r="H1107" i="1"/>
  <c r="H1106" i="1"/>
  <c r="H1105" i="1"/>
  <c r="H1117" i="1"/>
  <c r="H1116" i="1"/>
  <c r="H1115" i="1"/>
  <c r="H1114" i="1"/>
  <c r="H1104" i="1"/>
  <c r="H1103" i="1"/>
  <c r="H1102" i="1"/>
  <c r="H1101" i="1"/>
  <c r="H1143" i="1"/>
  <c r="H1142" i="1"/>
  <c r="H1141" i="1"/>
  <c r="H1140" i="1"/>
  <c r="H1130" i="1"/>
  <c r="H1129" i="1"/>
  <c r="H1128" i="1"/>
  <c r="H1127" i="1"/>
  <c r="H1139" i="1"/>
  <c r="H1138" i="1"/>
  <c r="H1137" i="1"/>
  <c r="H1136" i="1"/>
  <c r="H1126" i="1"/>
  <c r="H1125" i="1"/>
  <c r="H1124" i="1"/>
  <c r="H1123" i="1"/>
  <c r="H1113" i="1"/>
  <c r="H1112" i="1"/>
  <c r="H1111" i="1"/>
  <c r="H1110" i="1"/>
  <c r="H1100" i="1"/>
  <c r="H1099" i="1"/>
  <c r="H1098" i="1"/>
  <c r="H1097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82" i="1"/>
  <c r="H981" i="1"/>
  <c r="H980" i="1"/>
  <c r="H979" i="1"/>
  <c r="H978" i="1"/>
  <c r="H977" i="1"/>
  <c r="H976" i="1"/>
  <c r="H975" i="1"/>
  <c r="H974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3" i="1"/>
  <c r="H852" i="1"/>
  <c r="H851" i="1"/>
  <c r="H850" i="1"/>
  <c r="H849" i="1"/>
  <c r="H848" i="1"/>
  <c r="H847" i="1"/>
  <c r="H846" i="1"/>
  <c r="H845" i="1"/>
  <c r="H844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29" i="1"/>
  <c r="H628" i="1"/>
  <c r="H627" i="1"/>
  <c r="H626" i="1"/>
  <c r="H625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4" i="1"/>
  <c r="H603" i="1"/>
  <c r="H602" i="1"/>
  <c r="H601" i="1"/>
  <c r="H599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2" i="1"/>
  <c r="H421" i="1"/>
  <c r="H420" i="1"/>
  <c r="H419" i="1"/>
  <c r="H418" i="1"/>
  <c r="H417" i="1"/>
  <c r="H416" i="1"/>
  <c r="H415" i="1"/>
  <c r="H414" i="1"/>
  <c r="H413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8" i="1"/>
  <c r="H197" i="1"/>
  <c r="H196" i="1"/>
  <c r="H195" i="1"/>
  <c r="H194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3" i="1"/>
  <c r="H172" i="1"/>
  <c r="H171" i="1"/>
  <c r="H170" i="1"/>
  <c r="H168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96" i="1"/>
  <c r="H95" i="1"/>
  <c r="H94" i="1"/>
  <c r="H93" i="1"/>
  <c r="H92" i="1"/>
  <c r="H91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8" i="1"/>
  <c r="H1037" i="1"/>
  <c r="H1036" i="1"/>
  <c r="H1035" i="1"/>
  <c r="H1034" i="1"/>
  <c r="H1033" i="1"/>
  <c r="H1032" i="1"/>
  <c r="H1031" i="1"/>
  <c r="H1029" i="1"/>
  <c r="H1028" i="1"/>
  <c r="H1027" i="1"/>
  <c r="H1025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1095" i="1"/>
  <c r="H1094" i="1"/>
  <c r="H1093" i="1"/>
  <c r="H1092" i="1"/>
  <c r="H1091" i="1"/>
  <c r="H1090" i="1"/>
  <c r="H1089" i="1"/>
  <c r="H1088" i="1"/>
  <c r="H1086" i="1"/>
  <c r="H1085" i="1"/>
  <c r="H1084" i="1"/>
  <c r="H1082" i="1"/>
  <c r="H1153" i="1"/>
  <c r="H343" i="1" l="1"/>
  <c r="J1062" i="1"/>
  <c r="C1157" i="1"/>
  <c r="K114" i="10"/>
  <c r="K103" i="10"/>
  <c r="Q27" i="10"/>
  <c r="AE26" i="10"/>
  <c r="R18" i="10"/>
  <c r="S18" i="10" s="1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S19" i="10"/>
  <c r="T19" i="10" s="1"/>
  <c r="U19" i="10" s="1"/>
  <c r="V19" i="10" s="1"/>
  <c r="W19" i="10" s="1"/>
  <c r="X19" i="10" s="1"/>
  <c r="Y19" i="10" s="1"/>
  <c r="Z19" i="10" s="1"/>
  <c r="AA19" i="10" s="1"/>
  <c r="AB19" i="10" s="1"/>
  <c r="AC19" i="10" s="1"/>
  <c r="K7" i="10"/>
  <c r="K11" i="10"/>
  <c r="K8" i="10"/>
  <c r="K13" i="10"/>
  <c r="K10" i="10"/>
  <c r="K2" i="10"/>
  <c r="K14" i="10"/>
  <c r="N19" i="1"/>
  <c r="M19" i="1"/>
  <c r="L19" i="1"/>
  <c r="K19" i="1"/>
  <c r="J19" i="1"/>
  <c r="J1063" i="1" l="1"/>
  <c r="H472" i="1"/>
  <c r="H903" i="1"/>
  <c r="O56" i="10" a="1"/>
  <c r="Q28" i="10"/>
  <c r="AE27" i="10"/>
  <c r="U20" i="10"/>
  <c r="V20" i="10" s="1"/>
  <c r="W20" i="10" s="1"/>
  <c r="X20" i="10" s="1"/>
  <c r="Y20" i="10" s="1"/>
  <c r="Z20" i="10" s="1"/>
  <c r="AA20" i="10" s="1"/>
  <c r="AB20" i="10" s="1"/>
  <c r="AC20" i="10" s="1"/>
  <c r="H774" i="1" l="1"/>
  <c r="J1100" i="1"/>
  <c r="J1064" i="1"/>
  <c r="O56" i="10"/>
  <c r="O74" i="10" s="1"/>
  <c r="AC88" i="10"/>
  <c r="U88" i="10"/>
  <c r="AB87" i="10"/>
  <c r="T87" i="10"/>
  <c r="AA86" i="10"/>
  <c r="S86" i="10"/>
  <c r="Z85" i="10"/>
  <c r="R85" i="10"/>
  <c r="Y84" i="10"/>
  <c r="Q84" i="10"/>
  <c r="X83" i="10"/>
  <c r="P83" i="10"/>
  <c r="W82" i="10"/>
  <c r="O82" i="10"/>
  <c r="V81" i="10"/>
  <c r="AC80" i="10"/>
  <c r="U80" i="10"/>
  <c r="AB79" i="10"/>
  <c r="T79" i="10"/>
  <c r="AA78" i="10"/>
  <c r="S78" i="10"/>
  <c r="Z77" i="10"/>
  <c r="R77" i="10"/>
  <c r="Y76" i="10"/>
  <c r="Q76" i="10"/>
  <c r="X75" i="10"/>
  <c r="P75" i="10"/>
  <c r="W74" i="10"/>
  <c r="AB88" i="10"/>
  <c r="T88" i="10"/>
  <c r="AA87" i="10"/>
  <c r="S87" i="10"/>
  <c r="Z86" i="10"/>
  <c r="R86" i="10"/>
  <c r="Y85" i="10"/>
  <c r="Q85" i="10"/>
  <c r="X84" i="10"/>
  <c r="P84" i="10"/>
  <c r="W83" i="10"/>
  <c r="O83" i="10"/>
  <c r="V82" i="10"/>
  <c r="AC81" i="10"/>
  <c r="U81" i="10"/>
  <c r="AB80" i="10"/>
  <c r="T80" i="10"/>
  <c r="AA79" i="10"/>
  <c r="S79" i="10"/>
  <c r="Z78" i="10"/>
  <c r="R78" i="10"/>
  <c r="Y77" i="10"/>
  <c r="Q77" i="10"/>
  <c r="X76" i="10"/>
  <c r="P76" i="10"/>
  <c r="W75" i="10"/>
  <c r="O75" i="10"/>
  <c r="V74" i="10"/>
  <c r="AA88" i="10"/>
  <c r="S88" i="10"/>
  <c r="Z87" i="10"/>
  <c r="R87" i="10"/>
  <c r="Y86" i="10"/>
  <c r="Q86" i="10"/>
  <c r="X85" i="10"/>
  <c r="P85" i="10"/>
  <c r="W84" i="10"/>
  <c r="O84" i="10"/>
  <c r="V83" i="10"/>
  <c r="AC82" i="10"/>
  <c r="U82" i="10"/>
  <c r="AB81" i="10"/>
  <c r="T81" i="10"/>
  <c r="AA80" i="10"/>
  <c r="S80" i="10"/>
  <c r="Z79" i="10"/>
  <c r="R79" i="10"/>
  <c r="Y78" i="10"/>
  <c r="Q78" i="10"/>
  <c r="X77" i="10"/>
  <c r="P77" i="10"/>
  <c r="W76" i="10"/>
  <c r="O76" i="10"/>
  <c r="V75" i="10"/>
  <c r="AC74" i="10"/>
  <c r="U74" i="10"/>
  <c r="Z88" i="10"/>
  <c r="R88" i="10"/>
  <c r="Y87" i="10"/>
  <c r="Q87" i="10"/>
  <c r="X86" i="10"/>
  <c r="P86" i="10"/>
  <c r="W85" i="10"/>
  <c r="O85" i="10"/>
  <c r="V84" i="10"/>
  <c r="AC83" i="10"/>
  <c r="U83" i="10"/>
  <c r="AB82" i="10"/>
  <c r="T82" i="10"/>
  <c r="AA81" i="10"/>
  <c r="S81" i="10"/>
  <c r="Z80" i="10"/>
  <c r="R80" i="10"/>
  <c r="Y79" i="10"/>
  <c r="Q79" i="10"/>
  <c r="X78" i="10"/>
  <c r="P78" i="10"/>
  <c r="W77" i="10"/>
  <c r="O77" i="10"/>
  <c r="V76" i="10"/>
  <c r="AC75" i="10"/>
  <c r="U75" i="10"/>
  <c r="AB74" i="10"/>
  <c r="T74" i="10"/>
  <c r="Y88" i="10"/>
  <c r="Q88" i="10"/>
  <c r="X87" i="10"/>
  <c r="P87" i="10"/>
  <c r="W86" i="10"/>
  <c r="O86" i="10"/>
  <c r="V85" i="10"/>
  <c r="AC84" i="10"/>
  <c r="U84" i="10"/>
  <c r="AB83" i="10"/>
  <c r="T83" i="10"/>
  <c r="AA82" i="10"/>
  <c r="S82" i="10"/>
  <c r="Z81" i="10"/>
  <c r="R81" i="10"/>
  <c r="Y80" i="10"/>
  <c r="Q80" i="10"/>
  <c r="X79" i="10"/>
  <c r="P79" i="10"/>
  <c r="W78" i="10"/>
  <c r="O78" i="10"/>
  <c r="V77" i="10"/>
  <c r="AC76" i="10"/>
  <c r="U76" i="10"/>
  <c r="AB75" i="10"/>
  <c r="T75" i="10"/>
  <c r="AA74" i="10"/>
  <c r="S74" i="10"/>
  <c r="X88" i="10"/>
  <c r="P88" i="10"/>
  <c r="W87" i="10"/>
  <c r="O87" i="10"/>
  <c r="V86" i="10"/>
  <c r="AC85" i="10"/>
  <c r="U85" i="10"/>
  <c r="AB84" i="10"/>
  <c r="T84" i="10"/>
  <c r="AA83" i="10"/>
  <c r="S83" i="10"/>
  <c r="Z82" i="10"/>
  <c r="R82" i="10"/>
  <c r="Y81" i="10"/>
  <c r="Q81" i="10"/>
  <c r="X80" i="10"/>
  <c r="P80" i="10"/>
  <c r="W79" i="10"/>
  <c r="O79" i="10"/>
  <c r="AE79" i="10" s="1"/>
  <c r="V78" i="10"/>
  <c r="AC77" i="10"/>
  <c r="U77" i="10"/>
  <c r="AB76" i="10"/>
  <c r="T76" i="10"/>
  <c r="AA75" i="10"/>
  <c r="S75" i="10"/>
  <c r="Z74" i="10"/>
  <c r="R74" i="10"/>
  <c r="W88" i="10"/>
  <c r="O88" i="10"/>
  <c r="V87" i="10"/>
  <c r="AC86" i="10"/>
  <c r="U86" i="10"/>
  <c r="AB85" i="10"/>
  <c r="T85" i="10"/>
  <c r="AA84" i="10"/>
  <c r="S84" i="10"/>
  <c r="Z83" i="10"/>
  <c r="R83" i="10"/>
  <c r="Y82" i="10"/>
  <c r="Q82" i="10"/>
  <c r="X81" i="10"/>
  <c r="P81" i="10"/>
  <c r="W80" i="10"/>
  <c r="O80" i="10"/>
  <c r="V79" i="10"/>
  <c r="AC78" i="10"/>
  <c r="U78" i="10"/>
  <c r="AB77" i="10"/>
  <c r="T77" i="10"/>
  <c r="AA76" i="10"/>
  <c r="S76" i="10"/>
  <c r="Z75" i="10"/>
  <c r="R75" i="10"/>
  <c r="Y74" i="10"/>
  <c r="Q74" i="10"/>
  <c r="V88" i="10"/>
  <c r="AC87" i="10"/>
  <c r="U87" i="10"/>
  <c r="AB86" i="10"/>
  <c r="T86" i="10"/>
  <c r="AA85" i="10"/>
  <c r="S85" i="10"/>
  <c r="Z84" i="10"/>
  <c r="R84" i="10"/>
  <c r="Y83" i="10"/>
  <c r="Q83" i="10"/>
  <c r="X82" i="10"/>
  <c r="P82" i="10"/>
  <c r="W81" i="10"/>
  <c r="O81" i="10"/>
  <c r="V80" i="10"/>
  <c r="AC79" i="10"/>
  <c r="U79" i="10"/>
  <c r="AB78" i="10"/>
  <c r="T78" i="10"/>
  <c r="AA77" i="10"/>
  <c r="S77" i="10"/>
  <c r="Z76" i="10"/>
  <c r="R76" i="10"/>
  <c r="Y75" i="10"/>
  <c r="Q75" i="10"/>
  <c r="X74" i="10"/>
  <c r="P74" i="10"/>
  <c r="Q29" i="10"/>
  <c r="AE28" i="10"/>
  <c r="U21" i="10"/>
  <c r="V21" i="10" s="1"/>
  <c r="W21" i="10" s="1"/>
  <c r="X21" i="10" s="1"/>
  <c r="Y21" i="10" s="1"/>
  <c r="Z21" i="10" s="1"/>
  <c r="AA21" i="10" s="1"/>
  <c r="AB21" i="10" s="1"/>
  <c r="AC21" i="10" s="1"/>
  <c r="J1065" i="1" l="1"/>
  <c r="H169" i="1"/>
  <c r="H423" i="1"/>
  <c r="H199" i="1"/>
  <c r="H412" i="1"/>
  <c r="H167" i="1"/>
  <c r="H277" i="1"/>
  <c r="H193" i="1"/>
  <c r="H264" i="1"/>
  <c r="AE86" i="10"/>
  <c r="AE75" i="10"/>
  <c r="AE82" i="10"/>
  <c r="AE85" i="10"/>
  <c r="AE81" i="10"/>
  <c r="AE77" i="10"/>
  <c r="AE84" i="10"/>
  <c r="AE78" i="10"/>
  <c r="AE88" i="10"/>
  <c r="AE80" i="10"/>
  <c r="AE76" i="10"/>
  <c r="AE87" i="10"/>
  <c r="AE83" i="10"/>
  <c r="AE29" i="10"/>
  <c r="Q30" i="10"/>
  <c r="V22" i="10"/>
  <c r="W22" i="10" s="1"/>
  <c r="X22" i="10" s="1"/>
  <c r="Y22" i="10" s="1"/>
  <c r="Z22" i="10" s="1"/>
  <c r="AA22" i="10" s="1"/>
  <c r="AB22" i="10" s="1"/>
  <c r="AC22" i="10" s="1"/>
  <c r="J1066" i="1" l="1"/>
  <c r="H309" i="1"/>
  <c r="Q31" i="10"/>
  <c r="AE30" i="10"/>
  <c r="W23" i="10"/>
  <c r="X23" i="10" s="1"/>
  <c r="Y23" i="10" s="1"/>
  <c r="Z23" i="10" s="1"/>
  <c r="AA23" i="10" s="1"/>
  <c r="AB23" i="10" s="1"/>
  <c r="AC23" i="10" s="1"/>
  <c r="J1067" i="1" l="1"/>
  <c r="H559" i="1"/>
  <c r="AE31" i="10"/>
  <c r="Q32" i="10"/>
  <c r="AE32" i="10" s="1"/>
  <c r="X24" i="10"/>
  <c r="Y24" i="10" s="1"/>
  <c r="Z24" i="10" s="1"/>
  <c r="AA24" i="10" s="1"/>
  <c r="AB24" i="10" s="1"/>
  <c r="AC24" i="10" s="1"/>
  <c r="J1068" i="1" l="1"/>
  <c r="H854" i="1"/>
  <c r="H630" i="1"/>
  <c r="H708" i="1"/>
  <c r="H695" i="1"/>
  <c r="H843" i="1"/>
  <c r="H600" i="1"/>
  <c r="H624" i="1"/>
  <c r="H598" i="1"/>
  <c r="Y25" i="10"/>
  <c r="Z25" i="10" s="1"/>
  <c r="AA25" i="10" s="1"/>
  <c r="AB25" i="10" s="1"/>
  <c r="AC25" i="10" s="1"/>
  <c r="J1069" i="1" l="1"/>
  <c r="H1039" i="1"/>
  <c r="H740" i="1"/>
  <c r="Z26" i="10"/>
  <c r="AA26" i="10" s="1"/>
  <c r="AB26" i="10" s="1"/>
  <c r="AC26" i="10" s="1"/>
  <c r="J1070" i="1" l="1"/>
  <c r="H1026" i="1"/>
  <c r="H1030" i="1"/>
  <c r="H1024" i="1"/>
  <c r="AA27" i="10"/>
  <c r="AB27" i="10" s="1"/>
  <c r="AC27" i="10" s="1"/>
  <c r="J1071" i="1" l="1"/>
  <c r="H1096" i="1"/>
  <c r="H1087" i="1"/>
  <c r="H1083" i="1"/>
  <c r="H1081" i="1"/>
  <c r="AB28" i="10"/>
  <c r="AC28" i="10" s="1"/>
  <c r="J1072" i="1" l="1"/>
  <c r="C1156" i="1"/>
  <c r="AC29" i="10"/>
  <c r="J1073" i="1" l="1"/>
  <c r="J1075" i="1" l="1"/>
  <c r="J1076" i="1" l="1"/>
  <c r="J1113" i="1" l="1"/>
  <c r="J1077" i="1"/>
  <c r="J1114" i="1" l="1"/>
  <c r="J1078" i="1"/>
  <c r="J1079" i="1" l="1"/>
  <c r="J1080" i="1" l="1"/>
  <c r="J1116" i="1"/>
  <c r="J1081" i="1" l="1"/>
  <c r="J1117" i="1"/>
  <c r="J1082" i="1" l="1"/>
  <c r="J1118" i="1"/>
  <c r="J1083" i="1" l="1"/>
  <c r="J1119" i="1"/>
  <c r="J1084" i="1" l="1"/>
  <c r="J1120" i="1"/>
  <c r="J1085" i="1" l="1"/>
  <c r="J1121" i="1"/>
  <c r="J1086" i="1" l="1"/>
  <c r="J1122" i="1"/>
  <c r="J1088" i="1" l="1"/>
  <c r="J1124" i="1"/>
  <c r="J1125" i="1" l="1"/>
  <c r="J1089" i="1"/>
  <c r="J1126" i="1" l="1"/>
  <c r="J1090" i="1"/>
  <c r="J1127" i="1" l="1"/>
  <c r="J1091" i="1"/>
  <c r="J1092" i="1" l="1"/>
  <c r="J1128" i="1"/>
  <c r="J1129" i="1" l="1"/>
  <c r="J1093" i="1"/>
  <c r="J1130" i="1" l="1"/>
  <c r="J1094" i="1"/>
  <c r="J1131" i="1" l="1"/>
  <c r="J1095" i="1"/>
  <c r="J1096" i="1" l="1"/>
  <c r="J1132" i="1"/>
  <c r="J1133" i="1" l="1"/>
  <c r="J1097" i="1"/>
  <c r="J1134" i="1" l="1"/>
  <c r="J1098" i="1"/>
  <c r="J1135" i="1" l="1"/>
  <c r="J1099" i="1"/>
  <c r="J1137" i="1" l="1"/>
  <c r="J1101" i="1"/>
  <c r="J1138" i="1" l="1"/>
  <c r="J1102" i="1"/>
  <c r="J1139" i="1" l="1"/>
  <c r="J1103" i="1"/>
  <c r="J1140" i="1" l="1"/>
  <c r="J1104" i="1"/>
  <c r="J1141" i="1" l="1"/>
  <c r="J1105" i="1"/>
  <c r="J1142" i="1" l="1"/>
  <c r="J1106" i="1"/>
  <c r="J1143" i="1" l="1"/>
  <c r="J1107" i="1"/>
  <c r="J1144" i="1" l="1"/>
  <c r="J1108" i="1"/>
  <c r="J1145" i="1" l="1"/>
  <c r="J1109" i="1"/>
  <c r="J1146" i="1" l="1"/>
  <c r="J1110" i="1"/>
  <c r="J1147" i="1" l="1"/>
  <c r="J1111" i="1"/>
  <c r="J1148" i="1" l="1"/>
  <c r="J1112" i="1"/>
  <c r="C1155" i="1"/>
  <c r="J111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<sst xmlns="http://schemas.openxmlformats.org/spreadsheetml/2006/main" count="1854" uniqueCount="1240">
  <si>
    <t>Man_StandingJump_FW_UP_01</t>
  </si>
  <si>
    <t>Images</t>
  </si>
  <si>
    <t>Foreground</t>
  </si>
  <si>
    <t>Middleground</t>
  </si>
  <si>
    <t>Background</t>
  </si>
  <si>
    <t>Man_StandingJump_RH_UP_01</t>
  </si>
  <si>
    <t>Man_StandingJump_LH_UPandOver_01</t>
  </si>
  <si>
    <t>Man_StandingJump_RH_UPandOver_01</t>
  </si>
  <si>
    <t>Man_StandingJump_RH_UPandOver_02</t>
  </si>
  <si>
    <t>Man_StandingJump_RH_UPandOver_03</t>
  </si>
  <si>
    <t>Man_StandingJump_RH_UPandOver_04</t>
  </si>
  <si>
    <t>Man_StandingJump_RH_UPandOver_05</t>
  </si>
  <si>
    <t>Man_StandingJump_RH_UPandOver_06</t>
  </si>
  <si>
    <t>Man_StandingJump_LH_UPandOver_02</t>
  </si>
  <si>
    <t>Man_StandingJump_LH_UPandOver_03</t>
  </si>
  <si>
    <t>Man_StandingJump_LH_UPandOver_04</t>
  </si>
  <si>
    <t>Man_StandingJump_LH_UPandOver_05</t>
  </si>
  <si>
    <t>Man_StandingJump_LH_UPandOver_06</t>
  </si>
  <si>
    <t>Man_Walk_FallDown_RH_01</t>
  </si>
  <si>
    <t>Man_Walk_FallDown_RH_02</t>
  </si>
  <si>
    <t>Man_Walk_FallDown_RH_03</t>
  </si>
  <si>
    <t>Man_Walk_FallDown_RH_04</t>
  </si>
  <si>
    <t>Man_Walk_FallDown_RH_05</t>
  </si>
  <si>
    <t>Man_Walk_FallDown_RH_06</t>
  </si>
  <si>
    <t>Man_Walk_FallMore_RH_01</t>
  </si>
  <si>
    <t>Man_Walk_FallMore_RH_02</t>
  </si>
  <si>
    <t>Man_Walk_FallDown_LH_01</t>
  </si>
  <si>
    <t>Man_Walk_FallDown_LH_02</t>
  </si>
  <si>
    <t>Man_Walk_FallDown_LH_03</t>
  </si>
  <si>
    <t>Man_Walk_FallDown_LH_04</t>
  </si>
  <si>
    <t>Man_Walk_FallDown_LH_05</t>
  </si>
  <si>
    <t>Man_Walk_FallDown_LH_06</t>
  </si>
  <si>
    <t>Man_Walk_FallMore_LH_01</t>
  </si>
  <si>
    <t>Man_Walk_FallMore_LH_02</t>
  </si>
  <si>
    <t>Man_Walk_FallLand_RH_01</t>
  </si>
  <si>
    <t>Man_Walk_FallLand_RH_04</t>
  </si>
  <si>
    <t>Man_Walk_FallLand_RH_03</t>
  </si>
  <si>
    <t>Man_Walk_FallLand_RH_02</t>
  </si>
  <si>
    <t>Man_Walk_FallLand_LH_01</t>
  </si>
  <si>
    <t>Man_Walk_FallLand_LH_04</t>
  </si>
  <si>
    <t>Man_Walk_FallLand_LH_03</t>
  </si>
  <si>
    <t>Man_Walk_FallLand_LH_02</t>
  </si>
  <si>
    <t>Man_Walk_FW_01</t>
  </si>
  <si>
    <t>Man_Walk_BK_01</t>
  </si>
  <si>
    <t>Man_Walk_BK_02</t>
  </si>
  <si>
    <t>Man_Walk_BK_03</t>
  </si>
  <si>
    <t>Man_Walk_BK_04</t>
  </si>
  <si>
    <t>Man_StandingJump_BK_01</t>
  </si>
  <si>
    <t>Man_StandingJump_BK_02</t>
  </si>
  <si>
    <t>Man_StandingJump_BK_03</t>
  </si>
  <si>
    <t>Man_StandingJump_BK_04</t>
  </si>
  <si>
    <t>Man_StandingJump_BK_05</t>
  </si>
  <si>
    <t>Man_StandingJump_BK_06</t>
  </si>
  <si>
    <t>Man_StandingJump_BK_07</t>
  </si>
  <si>
    <t>Man_StandingJump_BK_UP_02</t>
  </si>
  <si>
    <t>Man_StandingJump_BK_UP_03</t>
  </si>
  <si>
    <t>Man_StandingJump_BK_UP_04</t>
  </si>
  <si>
    <t>Man_StandingJump_BK_UP_05</t>
  </si>
  <si>
    <t>Man_StandingJump_BK_UP_06</t>
  </si>
  <si>
    <t>Man_Walk_RH_01</t>
  </si>
  <si>
    <t>Man_Walk_RH_02</t>
  </si>
  <si>
    <t>Man_Walk_RH_03</t>
  </si>
  <si>
    <t>Man_Walk_RH_04</t>
  </si>
  <si>
    <t>Man_StandingJump_RH_01</t>
  </si>
  <si>
    <t>Man_StandingJump_RH_02</t>
  </si>
  <si>
    <t>Man_StandingJump_RH_03</t>
  </si>
  <si>
    <t>Man_StandingJump_RH_04</t>
  </si>
  <si>
    <t>Man_StandingJump_RH_05</t>
  </si>
  <si>
    <t>Man_StandingJump_RH_06</t>
  </si>
  <si>
    <t>Man_StandingJump_RH_07</t>
  </si>
  <si>
    <t>Man_StandingJump_RH_UP_02</t>
  </si>
  <si>
    <t>Man_StandingJump_RH_UP_03</t>
  </si>
  <si>
    <t>Man_StandingJump_RH_UP_04</t>
  </si>
  <si>
    <t>Man_StandingJump_RH_UP_05</t>
  </si>
  <si>
    <t>Man_StandingJump_RH_UP_06</t>
  </si>
  <si>
    <t>Man_WalkingJump_RH_01</t>
  </si>
  <si>
    <t>Man_WalkingJump_RH_02</t>
  </si>
  <si>
    <t>Man_WalkingJump_RH_03</t>
  </si>
  <si>
    <t>Man_WalkingJump_RH_04</t>
  </si>
  <si>
    <t>Man_WalkingJump_RH_05</t>
  </si>
  <si>
    <t>Man_WalkingJump_RH_06</t>
  </si>
  <si>
    <t>Man_WalkingJump_RH_07</t>
  </si>
  <si>
    <t>Man_WalkingJump_RH_08</t>
  </si>
  <si>
    <t>Man_WalkingJump_RH_2_01</t>
  </si>
  <si>
    <t>Man_WalkingJump_RH_2_02</t>
  </si>
  <si>
    <t>Man_WalkingJump_RH_2_03</t>
  </si>
  <si>
    <t>Man_WalkingJump_RH_2_04</t>
  </si>
  <si>
    <t>Man_WalkingJump_RH_2_05</t>
  </si>
  <si>
    <t>Man_WalkingJump_RH_2_06</t>
  </si>
  <si>
    <t>Man_WalkingJump_RH_2_07</t>
  </si>
  <si>
    <t>Man_WalkingJump_RH_2_08</t>
  </si>
  <si>
    <t>Man_WalkingJump_RH_UP_01</t>
  </si>
  <si>
    <t>Man_WalkingJump_RH_UP_02</t>
  </si>
  <si>
    <t>Man_WalkingJump_RH_UP_03</t>
  </si>
  <si>
    <t>Man_WalkingJump_RH_UP_04</t>
  </si>
  <si>
    <t>Man_WalkingJump_RH_UP_05</t>
  </si>
  <si>
    <t>Man_Walk_FW_02</t>
  </si>
  <si>
    <t>Man_Walk_FW_03</t>
  </si>
  <si>
    <t>Man_Walk_FW_04</t>
  </si>
  <si>
    <t>Man_StandingJump_FW_01</t>
  </si>
  <si>
    <t>Man_StandingJump_FW_02</t>
  </si>
  <si>
    <t>Man_StandingJump_FW_03</t>
  </si>
  <si>
    <t>Man_StandingJump_FW_04</t>
  </si>
  <si>
    <t>Man_StandingJump_FW_05</t>
  </si>
  <si>
    <t>Man_StandingJump_FW_06</t>
  </si>
  <si>
    <t>Man_StandingJump_FW_07</t>
  </si>
  <si>
    <t>Man_StandingJump_FW_UP_02</t>
  </si>
  <si>
    <t>Man_StandingJump_FW_UP_03</t>
  </si>
  <si>
    <t>Man_StandingJump_FW_UP_04</t>
  </si>
  <si>
    <t>Man_StandingJump_FW_UP_05</t>
  </si>
  <si>
    <t>Man_StandingJump_FW_UP_06</t>
  </si>
  <si>
    <t>Man_Walk_LH_01</t>
  </si>
  <si>
    <t>Man_Walk_LH_02</t>
  </si>
  <si>
    <t>Man_Walk_LH_03</t>
  </si>
  <si>
    <t>Man_Walk_LH_04</t>
  </si>
  <si>
    <t>Man_StandingJump_LH_01</t>
  </si>
  <si>
    <t>Man_StandingJump_LH_02</t>
  </si>
  <si>
    <t>Man_StandingJump_LH_03</t>
  </si>
  <si>
    <t>Man_StandingJump_LH_04</t>
  </si>
  <si>
    <t>Man_StandingJump_LH_05</t>
  </si>
  <si>
    <t>Man_StandingJump_LH_06</t>
  </si>
  <si>
    <t>Man_StandingJump_LH_07</t>
  </si>
  <si>
    <t>Man_StandingJump_LH_UP_01</t>
  </si>
  <si>
    <t>Man_StandingJump_LH_UP_02</t>
  </si>
  <si>
    <t>Man_StandingJump_LH_UP_03</t>
  </si>
  <si>
    <t>Man_StandingJump_LH_UP_04</t>
  </si>
  <si>
    <t>Man_StandingJump_LH_UP_05</t>
  </si>
  <si>
    <t>Man_StandingJump_LH_UP_06</t>
  </si>
  <si>
    <t>Man_WalkingJump_LH_01</t>
  </si>
  <si>
    <t>Man_WalkingJump_LH_02</t>
  </si>
  <si>
    <t>Man_WalkingJump_LH_03</t>
  </si>
  <si>
    <t>Man_WalkingJump_LH_04</t>
  </si>
  <si>
    <t>Man_WalkingJump_LH_05</t>
  </si>
  <si>
    <t>Man_WalkingJump_LH_06</t>
  </si>
  <si>
    <t>Man_WalkingJump_LH_07</t>
  </si>
  <si>
    <t>Man_WalkingJump_LH_08</t>
  </si>
  <si>
    <t>Man_WalkingJump_LH_2_01</t>
  </si>
  <si>
    <t>Man_WalkingJump_LH_2_02</t>
  </si>
  <si>
    <t>Man_WalkingJump_LH_2_03</t>
  </si>
  <si>
    <t>Man_WalkingJump_LH_2_04</t>
  </si>
  <si>
    <t>Man_WalkingJump_LH_2_05</t>
  </si>
  <si>
    <t>Man_WalkingJump_LH_2_06</t>
  </si>
  <si>
    <t>Man_WalkingJump_LH_2_07</t>
  </si>
  <si>
    <t>Man_WalkingJump_LH_2_08</t>
  </si>
  <si>
    <t>Man_WalkingJump_LH_UP_01</t>
  </si>
  <si>
    <t>Man_WalkingJump_LH_UP_02</t>
  </si>
  <si>
    <t>Man_WalkingJump_LH_UP_03</t>
  </si>
  <si>
    <t>Man_WalkingJump_LH_UP_04</t>
  </si>
  <si>
    <t>Man_WalkingJump_LH_UP_05</t>
  </si>
  <si>
    <t>Man_StandingJumpDown_RH_01</t>
  </si>
  <si>
    <t>Man_StandingJumpDown_RH_02</t>
  </si>
  <si>
    <t>Man_StandingJumpDown_RH_03</t>
  </si>
  <si>
    <t>Man_StandingJumpDown_RH_04</t>
  </si>
  <si>
    <t>Man_StandingJumpDown_RH_05</t>
  </si>
  <si>
    <t>Man_StandingJumpDown_RH_06</t>
  </si>
  <si>
    <t>Man_StandingJumpDown_RH_07</t>
  </si>
  <si>
    <t>Man_StandingJumpDown_RH_08</t>
  </si>
  <si>
    <t>Man_StandingJumpDown_RH_09</t>
  </si>
  <si>
    <t>Man_StandingJump_BK_UP_01</t>
  </si>
  <si>
    <t>Man_Walk_RH_00</t>
  </si>
  <si>
    <t>Man_Walk_LH_00</t>
  </si>
  <si>
    <t>Man_ClimbStairs_RH_01</t>
  </si>
  <si>
    <t>Man_ClimbStairs_RH_02</t>
  </si>
  <si>
    <t>Man_ClimbStairs_RH_03</t>
  </si>
  <si>
    <t>Man_ClimbStairs_RH_04</t>
  </si>
  <si>
    <t>Man_ClimbStairs_RH_05</t>
  </si>
  <si>
    <t>Man_ClimbStairs_RH_06</t>
  </si>
  <si>
    <t>Man_ClimbStairs_RH_07</t>
  </si>
  <si>
    <t>Man_ClimbStairs_RH_08</t>
  </si>
  <si>
    <t>Man_DescendStairs_RH_01</t>
  </si>
  <si>
    <t>Man_DescendStairs_RH_02</t>
  </si>
  <si>
    <t>Man_DescendStairs_RH_03</t>
  </si>
  <si>
    <t>Man_DescendStairs_RH_04</t>
  </si>
  <si>
    <t>Man_DescendStairs_RH_05</t>
  </si>
  <si>
    <t>Man_DescendStairs_RH_06</t>
  </si>
  <si>
    <t>Man_DescendStairs_RH_07</t>
  </si>
  <si>
    <t>Man_DescendStairs_RH_08</t>
  </si>
  <si>
    <t>Man_ClimbStairs_LH_01</t>
  </si>
  <si>
    <t>Man_ClimbStairs_LH_02</t>
  </si>
  <si>
    <t>Man_ClimbStairs_LH_03</t>
  </si>
  <si>
    <t>Man_ClimbStairs_LH_04</t>
  </si>
  <si>
    <t>Man_ClimbStairs_LH_05</t>
  </si>
  <si>
    <t>Man_ClimbStairs_LH_06</t>
  </si>
  <si>
    <t>Man_ClimbStairs_LH_07</t>
  </si>
  <si>
    <t>Man_ClimbStairs_LH_08</t>
  </si>
  <si>
    <t>Man_DescendStairs_LH_01</t>
  </si>
  <si>
    <t>Man_DescendStairs_LH_02</t>
  </si>
  <si>
    <t>Man_DescendStairs_LH_03</t>
  </si>
  <si>
    <t>Man_DescendStairs_LH_04</t>
  </si>
  <si>
    <t>Man_DescendStairs_LH_05</t>
  </si>
  <si>
    <t>Man_DescendStairs_LH_06</t>
  </si>
  <si>
    <t>Man_DescendStairs_LH_07</t>
  </si>
  <si>
    <t>Man_DescendStairs_LH_08</t>
  </si>
  <si>
    <t>Man_StandingJump_Small_LH_01</t>
  </si>
  <si>
    <t>Man_StandingJump_Small_LH_02</t>
  </si>
  <si>
    <t>Man_StandingJump_Small_LH_03</t>
  </si>
  <si>
    <t>Man_StandingJump_Small_RH_01</t>
  </si>
  <si>
    <t>Man_StandingJump_Small_RH_03</t>
  </si>
  <si>
    <t>Man_StandingJump_Small_RH_02</t>
  </si>
  <si>
    <t>StanceY</t>
  </si>
  <si>
    <t>Man_ClimbLadder_BK_RH_UP_01</t>
  </si>
  <si>
    <t>Man_ClimbLadder_BK_RH_UP_02</t>
  </si>
  <si>
    <t>Man_ClimbLadder_BK_RH_UP_03</t>
  </si>
  <si>
    <t>Man_ClimbLadder_BK_RH_UP_04</t>
  </si>
  <si>
    <t>Man_ClimbLadder_BK_RH_UP_05</t>
  </si>
  <si>
    <t>Man_ClimbLadder_BK_RH_UP_06</t>
  </si>
  <si>
    <t>Man_ClimbLadder_BK_RH_UP_07</t>
  </si>
  <si>
    <t>Man_ClimbLadder_BK_RH_UP_08</t>
  </si>
  <si>
    <t>Man_ClimbLadder_BK_RH_UP_09</t>
  </si>
  <si>
    <t>Man_ClimbLadder_BK_RH_UP_10</t>
  </si>
  <si>
    <t>Man_ClimbLadder_BK_RH_UP_11</t>
  </si>
  <si>
    <t>Man_ClimbLadder_BK_RH_UP_12</t>
  </si>
  <si>
    <t>Man_ClimbLadder_BK_RH_UP_13</t>
  </si>
  <si>
    <t>Man_ClimbLadder_BK_RH_UP_14</t>
  </si>
  <si>
    <t>Man_ClimbLadder_BK_RH_DOWN_01</t>
  </si>
  <si>
    <t>Man_ClimbLadder_BK_RH_DOWN_02</t>
  </si>
  <si>
    <t>Man_ClimbLadder_BK_RH_DOWN_03</t>
  </si>
  <si>
    <t>Man_ClimbLadder_BK_RH_DOWN_04</t>
  </si>
  <si>
    <t>Man_ClimbLadder_BK_RH_DOWN_05</t>
  </si>
  <si>
    <t>Man_ClimbLadder_BK_RH_DOWN_06</t>
  </si>
  <si>
    <t>Man_ClimbLadder_BK_RH_DOWN_07</t>
  </si>
  <si>
    <t>Man_ClimbLadder_BK_RH_DOWN_08</t>
  </si>
  <si>
    <t>Man_ClimbLadder_BK_RH_DOWN_09</t>
  </si>
  <si>
    <t>Man_ClimbLadder_BK_RH_DOWN_10</t>
  </si>
  <si>
    <t>Man_ClimbLadder_BK_RH_DOWN_11</t>
  </si>
  <si>
    <t>Man_ClimbLadder_BK_RH_DOWN_12</t>
  </si>
  <si>
    <t>Man_ClimbLadder_BK_RH_DOWN_13</t>
  </si>
  <si>
    <t>Man_ClimbLadder_BK_RH_DOWN_14</t>
  </si>
  <si>
    <t>Man_ClimbLadder_BK_LH_UP_01</t>
  </si>
  <si>
    <t>Man_ClimbLadder_BK_LH_UP_02</t>
  </si>
  <si>
    <t>Man_ClimbLadder_BK_LH_UP_03</t>
  </si>
  <si>
    <t>Man_ClimbLadder_BK_LH_UP_04</t>
  </si>
  <si>
    <t>Man_ClimbLadder_BK_LH_UP_05</t>
  </si>
  <si>
    <t>Man_ClimbLadder_BK_LH_UP_06</t>
  </si>
  <si>
    <t>Man_ClimbLadder_BK_LH_UP_07</t>
  </si>
  <si>
    <t>Man_ClimbLadder_BK_LH_UP_08</t>
  </si>
  <si>
    <t>Man_ClimbLadder_BK_LH_UP_09</t>
  </si>
  <si>
    <t>Man_ClimbLadder_BK_LH_UP_10</t>
  </si>
  <si>
    <t>Man_ClimbLadder_BK_LH_UP_11</t>
  </si>
  <si>
    <t>Man_ClimbLadder_BK_LH_UP_12</t>
  </si>
  <si>
    <t>Man_ClimbLadder_BK_LH_UP_13</t>
  </si>
  <si>
    <t>Man_ClimbLadder_BK_LH_UP_14</t>
  </si>
  <si>
    <t>Man_ClimbLadder_BK_LH_DOWN_01</t>
  </si>
  <si>
    <t>Man_ClimbLadder_BK_LH_DOWN_02</t>
  </si>
  <si>
    <t>Man_ClimbLadder_BK_LH_DOWN_03</t>
  </si>
  <si>
    <t>Man_ClimbLadder_BK_LH_DOWN_04</t>
  </si>
  <si>
    <t>Man_ClimbLadder_BK_LH_DOWN_05</t>
  </si>
  <si>
    <t>Man_ClimbLadder_BK_LH_DOWN_06</t>
  </si>
  <si>
    <t>Man_ClimbLadder_BK_LH_DOWN_07</t>
  </si>
  <si>
    <t>Man_ClimbLadder_BK_LH_DOWN_08</t>
  </si>
  <si>
    <t>Man_ClimbLadder_BK_LH_DOWN_09</t>
  </si>
  <si>
    <t>Man_ClimbLadder_BK_LH_DOWN_10</t>
  </si>
  <si>
    <t>Man_ClimbLadder_BK_LH_DOWN_11</t>
  </si>
  <si>
    <t>Man_ClimbLadder_BK_LH_DOWN_12</t>
  </si>
  <si>
    <t>Man_ClimbLadder_BK_LH_DOWN_13</t>
  </si>
  <si>
    <t>Man_ClimbLadder_BK_LH_DOWN_14</t>
  </si>
  <si>
    <t>Man_WalkingJump_RH_25_01</t>
  </si>
  <si>
    <t>Man_WalkingJump_RH_25_02</t>
  </si>
  <si>
    <t>Man_WalkingJump_RH_25_03</t>
  </si>
  <si>
    <t>Man_WalkingJump_RH_25_04</t>
  </si>
  <si>
    <t>Man_WalkingJump_RH_25_05</t>
  </si>
  <si>
    <t>Man_WalkingJump_RH_25_06</t>
  </si>
  <si>
    <t>Man_WalkingJump_RH_25_07</t>
  </si>
  <si>
    <t>Man_WalkingJump_RH_25_08</t>
  </si>
  <si>
    <t>Man_WalkingJump_RH_25_09</t>
  </si>
  <si>
    <t>Man_WalkingJump_RH_25_10</t>
  </si>
  <si>
    <t>Man_WalkingJump_RH_25_11</t>
  </si>
  <si>
    <t>Man_WalkingJump_RH_1D_25_01</t>
  </si>
  <si>
    <t>Man_WalkingJump_RH_1D_25_02</t>
  </si>
  <si>
    <t>Man_WalkingJump_RH_1D_25_03</t>
  </si>
  <si>
    <t>Man_WalkingJump_RH_1D_25_04</t>
  </si>
  <si>
    <t>Man_WalkingJump_RH_1D_25_05</t>
  </si>
  <si>
    <t>Man_WalkingJump_RH_1D_25_06</t>
  </si>
  <si>
    <t>Man_WalkingJump_RH_1D_25_07</t>
  </si>
  <si>
    <t>Man_WalkingJump_RH_1D_25_08</t>
  </si>
  <si>
    <t>Man_WalkingJump_RH_1D_25_09</t>
  </si>
  <si>
    <t>Man_WalkingJump_RH_1D_25_10</t>
  </si>
  <si>
    <t>Man_WalkingJump_RH_1D_25_11</t>
  </si>
  <si>
    <t>Man_WalkingJump_LH_25_01</t>
  </si>
  <si>
    <t>Man_WalkingJump_LH_25_02</t>
  </si>
  <si>
    <t>Man_WalkingJump_LH_25_03</t>
  </si>
  <si>
    <t>Man_WalkingJump_LH_25_04</t>
  </si>
  <si>
    <t>Man_WalkingJump_LH_25_05</t>
  </si>
  <si>
    <t>Man_WalkingJump_LH_25_06</t>
  </si>
  <si>
    <t>Man_WalkingJump_LH_25_07</t>
  </si>
  <si>
    <t>Man_WalkingJump_LH_25_08</t>
  </si>
  <si>
    <t>Man_WalkingJump_LH_25_09</t>
  </si>
  <si>
    <t>Man_WalkingJump_LH_25_10</t>
  </si>
  <si>
    <t>Man_WalkingJump_LH_25_11</t>
  </si>
  <si>
    <t>Man_WalkingJump_LH_1D_25_01</t>
  </si>
  <si>
    <t>Man_WalkingJump_LH_1D_25_02</t>
  </si>
  <si>
    <t>Man_WalkingJump_LH_1D_25_03</t>
  </si>
  <si>
    <t>Man_WalkingJump_LH_1D_25_04</t>
  </si>
  <si>
    <t>Man_WalkingJump_LH_1D_25_05</t>
  </si>
  <si>
    <t>Man_WalkingJump_LH_1D_25_06</t>
  </si>
  <si>
    <t>Man_WalkingJump_LH_1D_25_07</t>
  </si>
  <si>
    <t>Man_WalkingJump_LH_1D_25_08</t>
  </si>
  <si>
    <t>Man_WalkingJump_LH_1D_25_09</t>
  </si>
  <si>
    <t>Man_WalkingJump_LH_1D_25_10</t>
  </si>
  <si>
    <t>Man_WalkingJump_LH_1D_25_11</t>
  </si>
  <si>
    <t>Man_Rope_Start_RH_01</t>
  </si>
  <si>
    <t>Man_Rope_Start_RH_02</t>
  </si>
  <si>
    <t>Man_Rope_Start_RH_03</t>
  </si>
  <si>
    <t>Man_Rope_Start_RH_04</t>
  </si>
  <si>
    <t>Man_Rope_Start_RH_05</t>
  </si>
  <si>
    <t>Man_Rope_Start_RH_06</t>
  </si>
  <si>
    <t>Man_Rope_Start_RH_07</t>
  </si>
  <si>
    <t>Man_Rope_End_RH_01</t>
  </si>
  <si>
    <t>Man_Rope_End_RH_02</t>
  </si>
  <si>
    <t>Man_Rope_End_RH_03</t>
  </si>
  <si>
    <t>Man_Rope_End_RH_04</t>
  </si>
  <si>
    <t>Man_Rope_End_RH_05</t>
  </si>
  <si>
    <t>Man_Rope_End_RH_06</t>
  </si>
  <si>
    <t>Man_Rope_Start_LH_01</t>
  </si>
  <si>
    <t>Man_Rope_Start_LH_02</t>
  </si>
  <si>
    <t>Man_Rope_Start_LH_03</t>
  </si>
  <si>
    <t>Man_Rope_Start_LH_04</t>
  </si>
  <si>
    <t>Man_Rope_Start_LH_05</t>
  </si>
  <si>
    <t>Man_Rope_Start_LH_06</t>
  </si>
  <si>
    <t>Man_Rope_Start_LH_07</t>
  </si>
  <si>
    <t>Man_Rope_End_LH_01</t>
  </si>
  <si>
    <t>Man_Rope_End_LH_02</t>
  </si>
  <si>
    <t>Man_Rope_End_LH_03</t>
  </si>
  <si>
    <t>Man_Rope_End_LH_04</t>
  </si>
  <si>
    <t>Man_Rope_End_LH_05</t>
  </si>
  <si>
    <t>Man_Rope_End_LH_06</t>
  </si>
  <si>
    <t>Man_Walk_FallMore_BK_01</t>
  </si>
  <si>
    <t>Man_Walk_FallMore_BK_02</t>
  </si>
  <si>
    <t>Man_Walk_FallLand_BK_02</t>
  </si>
  <si>
    <t>Man_Walk_FallLand_BK_01</t>
  </si>
  <si>
    <t>Man_Walk_FallLand_BK_03</t>
  </si>
  <si>
    <t>Man_Walk_FallLand_BK_04</t>
  </si>
  <si>
    <t>Man_Walk_FallLandSpring_BK_01</t>
  </si>
  <si>
    <t>Man_Walk_FallLandSpring_BK_02</t>
  </si>
  <si>
    <t>Man_Walk_FallLandSpring_BK_03</t>
  </si>
  <si>
    <t>Man_Walk_FallLandSpring_BK_04</t>
  </si>
  <si>
    <t>Man_Walk_FallLandSpring_BK_05</t>
  </si>
  <si>
    <t>Man_Walk_FallLandSpring_BK_06</t>
  </si>
  <si>
    <t>Man_Walk_FallLandSpring_BK_07</t>
  </si>
  <si>
    <t>Man_Walk_FallLandSpring_BK_08</t>
  </si>
  <si>
    <t>Man_Walk_FallLandSpring_BK_09</t>
  </si>
  <si>
    <t>Man_Walk_FallLandSpring_BK_10</t>
  </si>
  <si>
    <t>Man_Walk_FallLandSpring_BK_11</t>
  </si>
  <si>
    <t>Man_Walk_FallLandSpring_BK_12</t>
  </si>
  <si>
    <t>Man_Walk_FallLandSpring_BK_13</t>
  </si>
  <si>
    <t>Man_Walk_FallLandSpring_BK_14</t>
  </si>
  <si>
    <t>Man_Walk_FallLandSpring_BK_15</t>
  </si>
  <si>
    <t>Man_Walk_FallLandSpring_BK_16</t>
  </si>
  <si>
    <t>Man_Walk_FallLandSpring_BK_17</t>
  </si>
  <si>
    <t>Man_Walk_FallLandSpring_BK_18</t>
  </si>
  <si>
    <t>Man_Walk_FallLandSpring_BK_19</t>
  </si>
  <si>
    <t>Man_Walk_FallLandSpring_BK_20</t>
  </si>
  <si>
    <t>Man_Walk_FallLandSpring_BK_21</t>
  </si>
  <si>
    <t>Man_Walk_FallLandSpring_BK_22</t>
  </si>
  <si>
    <t>Man_Walk_FallLandSpring_BK_23</t>
  </si>
  <si>
    <t>Man_Walk_FallLandSpring_BK_24</t>
  </si>
  <si>
    <t>Man_Walk_FallLandSpring_BK_25</t>
  </si>
  <si>
    <t>Man_Walk_FallLandSpring_BK_26</t>
  </si>
  <si>
    <t>Man_Walk_FallLandSpring_BK_27</t>
  </si>
  <si>
    <t>Man_Walk_FallLandSpring_BK_28</t>
  </si>
  <si>
    <t>Man_ClimbStairs_LH_Half_01</t>
  </si>
  <si>
    <t>Man_ClimbStairs_LH_Half_04</t>
  </si>
  <si>
    <t>Man_ClimbStairs_LH_Half_03</t>
  </si>
  <si>
    <t>Man_ClimbStairs_LH_Half_02</t>
  </si>
  <si>
    <t>Man_DescendStairs_LH_Half_01</t>
  </si>
  <si>
    <t>Man_DescendStairs_LH_Half_02</t>
  </si>
  <si>
    <t>Man_DescendStairs_LH_Half_03</t>
  </si>
  <si>
    <t>Man_DescendStairs_LH_Half_04</t>
  </si>
  <si>
    <t>Man_ClimbStairs_RH_Half_01</t>
  </si>
  <si>
    <t>Man_ClimbStairs_RH_Half_02</t>
  </si>
  <si>
    <t>Man_ClimbStairs_RH_Half_03</t>
  </si>
  <si>
    <t>Man_ClimbStairs_RH_Half_04</t>
  </si>
  <si>
    <t>Man_DescendStairs_RH_Half_01</t>
  </si>
  <si>
    <t>Man_DescendStairs_RH_Half_02</t>
  </si>
  <si>
    <t>Man_DescendStairs_RH_Half_03</t>
  </si>
  <si>
    <t>Man_DescendStairs_RH_Half_04</t>
  </si>
  <si>
    <t>Man_Slide_RH_01</t>
  </si>
  <si>
    <t>Man_Slide_RH_02</t>
  </si>
  <si>
    <t>Man_Slide_RH_03</t>
  </si>
  <si>
    <t>Man_Slide_RH_04</t>
  </si>
  <si>
    <t>Man_Slide_RH_05</t>
  </si>
  <si>
    <t>Man_Slide_RH_06</t>
  </si>
  <si>
    <t>Man_Slide_RH_07</t>
  </si>
  <si>
    <t>Man_Slide_RH_08</t>
  </si>
  <si>
    <t>Man_Slide_RH_09</t>
  </si>
  <si>
    <t>Man_Slide_RH_10</t>
  </si>
  <si>
    <t>Man_Slide_RH_11</t>
  </si>
  <si>
    <t>Man_Slide_RH_Full_01</t>
  </si>
  <si>
    <t>Man_Slide_RH_Full_02</t>
  </si>
  <si>
    <t>Man_Slide_RH_Full_03</t>
  </si>
  <si>
    <t>Man_Slide_RH_Full_04</t>
  </si>
  <si>
    <t>Man_Slide_RH_Full_05</t>
  </si>
  <si>
    <t>Man_Slide_RH_Full_06</t>
  </si>
  <si>
    <t>Man_Slide_RH_Full_07</t>
  </si>
  <si>
    <t>Man_Slide_RH_Full_08</t>
  </si>
  <si>
    <t>Man_Slide_RH_Full_09</t>
  </si>
  <si>
    <t>Man_Slide_RH_Full_10</t>
  </si>
  <si>
    <t>Man_Slide_RH_Full_11</t>
  </si>
  <si>
    <t>Man_Slide_RH_Full_12</t>
  </si>
  <si>
    <t>Man_Slide_RH_Full_13</t>
  </si>
  <si>
    <t>Man_Slide_RH_Full_Land_01</t>
  </si>
  <si>
    <t>Man_Slide_RH_Full_Land_02</t>
  </si>
  <si>
    <t>Man_Slide_RH_Full_Land_03</t>
  </si>
  <si>
    <t>Man_Slide_RH_Full_Land_04</t>
  </si>
  <si>
    <t>Man_Slide_RH_Full_Land_05</t>
  </si>
  <si>
    <t>Man_Slide_RH_Full_Land_06</t>
  </si>
  <si>
    <t>Man_Slide_RH_Full_Land_07</t>
  </si>
  <si>
    <t>Man_Slide_RH_Full_Land_08</t>
  </si>
  <si>
    <t>Man_Slide_RH_Full_Land_09</t>
  </si>
  <si>
    <t>Man_Slide_RH_Full_Land_10</t>
  </si>
  <si>
    <t>Man_Slide_RH_Full_Land_11</t>
  </si>
  <si>
    <t>Man_Slide_RH_Full_Land_12</t>
  </si>
  <si>
    <t>Man_Slide_RH_Full_Land_13</t>
  </si>
  <si>
    <t>Man_Slide_LH_01</t>
  </si>
  <si>
    <t>Man_Slide_LH_02</t>
  </si>
  <si>
    <t>Man_Slide_LH_03</t>
  </si>
  <si>
    <t>Man_Slide_LH_04</t>
  </si>
  <si>
    <t>Man_Slide_LH_05</t>
  </si>
  <si>
    <t>Man_Slide_LH_06</t>
  </si>
  <si>
    <t>Man_Slide_LH_07</t>
  </si>
  <si>
    <t>Man_Slide_LH_08</t>
  </si>
  <si>
    <t>Man_Slide_LH_09</t>
  </si>
  <si>
    <t>Man_Slide_LH_10</t>
  </si>
  <si>
    <t>Man_Slide_LH_11</t>
  </si>
  <si>
    <t>Man_Slide_LH_Full_01</t>
  </si>
  <si>
    <t>Man_Slide_LH_Full_02</t>
  </si>
  <si>
    <t>Man_Slide_LH_Full_03</t>
  </si>
  <si>
    <t>Man_Slide_LH_Full_04</t>
  </si>
  <si>
    <t>Man_Slide_LH_Full_05</t>
  </si>
  <si>
    <t>Man_Slide_LH_Full_06</t>
  </si>
  <si>
    <t>Man_Slide_LH_Full_07</t>
  </si>
  <si>
    <t>Man_Slide_LH_Full_08</t>
  </si>
  <si>
    <t>Man_Slide_LH_Full_09</t>
  </si>
  <si>
    <t>Man_Slide_LH_Full_10</t>
  </si>
  <si>
    <t>Man_Slide_LH_Full_11</t>
  </si>
  <si>
    <t>Man_Slide_LH_Full_12</t>
  </si>
  <si>
    <t>Man_Slide_LH_Full_13</t>
  </si>
  <si>
    <t>Man_Slide_LH_Full_Land_01</t>
  </si>
  <si>
    <t>Man_Slide_LH_Full_Land_02</t>
  </si>
  <si>
    <t>Man_Slide_LH_Full_Land_03</t>
  </si>
  <si>
    <t>Man_Slide_LH_Full_Land_04</t>
  </si>
  <si>
    <t>Man_Slide_LH_Full_Land_05</t>
  </si>
  <si>
    <t>Man_Slide_LH_Full_Land_06</t>
  </si>
  <si>
    <t>Man_Slide_LH_Full_Land_07</t>
  </si>
  <si>
    <t>Man_Slide_LH_Full_Land_08</t>
  </si>
  <si>
    <t>Man_Slide_LH_Full_Land_09</t>
  </si>
  <si>
    <t>Man_Slide_LH_Full_Land_10</t>
  </si>
  <si>
    <t>Man_Slide_LH_Full_Land_11</t>
  </si>
  <si>
    <t>Man_Slide_LH_Full_Land_12</t>
  </si>
  <si>
    <t>Man_Slide_LH_Full_Land_13</t>
  </si>
  <si>
    <t>Man_Hammering_RH_00</t>
  </si>
  <si>
    <t>Man_Hammering_RH_01</t>
  </si>
  <si>
    <t>Man_Hammering_RH_02</t>
  </si>
  <si>
    <t>Man_Hammering_RH_03</t>
  </si>
  <si>
    <t>Man_Hammering_RH_04</t>
  </si>
  <si>
    <t>Man_Hammering_RH_05</t>
  </si>
  <si>
    <t>Man_Hammering_RH_06</t>
  </si>
  <si>
    <t>Man_Hammering_RH_07</t>
  </si>
  <si>
    <t>Man_Hammering_RH_08</t>
  </si>
  <si>
    <t>Man_Hammering_RH_09</t>
  </si>
  <si>
    <t>Man_Hammering_RH_10</t>
  </si>
  <si>
    <t>Man_Levering_RH_00</t>
  </si>
  <si>
    <t>Man_Levering_RH_01</t>
  </si>
  <si>
    <t>Man_Levering_RH_02</t>
  </si>
  <si>
    <t>Man_Levering_RH_03</t>
  </si>
  <si>
    <t>Man_Levering_RH_04</t>
  </si>
  <si>
    <t>Man_Levering_RH_05</t>
  </si>
  <si>
    <t>Man_Levering_RH_06</t>
  </si>
  <si>
    <t>Man_Levering_RH_07</t>
  </si>
  <si>
    <t>Man_Levering_RH_08</t>
  </si>
  <si>
    <t>Man_Levering_RH_09</t>
  </si>
  <si>
    <t>Man_Levering_RH_10</t>
  </si>
  <si>
    <t>Man_Hammering_LH_00</t>
  </si>
  <si>
    <t>Man_Hammering_LH_01</t>
  </si>
  <si>
    <t>Man_Hammering_LH_02</t>
  </si>
  <si>
    <t>Man_Hammering_LH_03</t>
  </si>
  <si>
    <t>Man_Hammering_LH_04</t>
  </si>
  <si>
    <t>Man_Hammering_LH_05</t>
  </si>
  <si>
    <t>Man_Hammering_LH_06</t>
  </si>
  <si>
    <t>Man_Hammering_LH_07</t>
  </si>
  <si>
    <t>Man_Hammering_LH_08</t>
  </si>
  <si>
    <t>Man_Hammering_LH_09</t>
  </si>
  <si>
    <t>Man_Hammering_LH_10</t>
  </si>
  <si>
    <t>Man_Levering_LH_00</t>
  </si>
  <si>
    <t>Man_Levering_LH_01</t>
  </si>
  <si>
    <t>Man_Levering_LH_02</t>
  </si>
  <si>
    <t>Man_Levering_LH_03</t>
  </si>
  <si>
    <t>Man_Levering_LH_04</t>
  </si>
  <si>
    <t>Man_Levering_LH_05</t>
  </si>
  <si>
    <t>Man_Levering_LH_06</t>
  </si>
  <si>
    <t>Man_Levering_LH_07</t>
  </si>
  <si>
    <t>Man_Levering_LH_08</t>
  </si>
  <si>
    <t>Man_Levering_LH_09</t>
  </si>
  <si>
    <t>Man_Levering_LH_10</t>
  </si>
  <si>
    <t>Man_WalkingJump_RH_2D_25_01</t>
  </si>
  <si>
    <t>Man_WalkingJump_RH_2D_25_02</t>
  </si>
  <si>
    <t>Man_WalkingJump_RH_2D_25_03</t>
  </si>
  <si>
    <t>Man_WalkingJump_RH_2D_25_04</t>
  </si>
  <si>
    <t>Man_WalkingJump_RH_2D_25_05</t>
  </si>
  <si>
    <t>Man_WalkingJump_RH_2D_25_06</t>
  </si>
  <si>
    <t>Man_WalkingJump_RH_2D_25_07</t>
  </si>
  <si>
    <t>Man_WalkingJump_RH_2D_25_08</t>
  </si>
  <si>
    <t>Man_WalkingJump_RH_2D_25_09</t>
  </si>
  <si>
    <t>Man_WalkingJump_RH_2D_25_10</t>
  </si>
  <si>
    <t>Man_WalkingJump_RH_2D_25_11</t>
  </si>
  <si>
    <t>Man_WalkingJump_LH_2D_25_01</t>
  </si>
  <si>
    <t>Man_WalkingJump_LH_2D_25_02</t>
  </si>
  <si>
    <t>Man_WalkingJump_LH_2D_25_03</t>
  </si>
  <si>
    <t>Man_WalkingJump_LH_2D_25_04</t>
  </si>
  <si>
    <t>Man_WalkingJump_LH_2D_25_05</t>
  </si>
  <si>
    <t>Man_WalkingJump_LH_2D_25_06</t>
  </si>
  <si>
    <t>Man_WalkingJump_LH_2D_25_07</t>
  </si>
  <si>
    <t>Man_WalkingJump_LH_2D_25_08</t>
  </si>
  <si>
    <t>Man_WalkingJump_LH_2D_25_09</t>
  </si>
  <si>
    <t>Man_WalkingJump_LH_2D_25_10</t>
  </si>
  <si>
    <t>Man_WalkingJump_LH_2D_25_11</t>
  </si>
  <si>
    <t>Man_Rollers_RH_01</t>
  </si>
  <si>
    <t>Man_Rollers_RH_02</t>
  </si>
  <si>
    <t>Man_Rollers_RH_03</t>
  </si>
  <si>
    <t>Man_Rollers_RH_04</t>
  </si>
  <si>
    <t>Man_Rollers_Stand_RH_01</t>
  </si>
  <si>
    <t>Man_Rollers_Stand_RH_04</t>
  </si>
  <si>
    <t>Man_Rollers_Stand_RH_03</t>
  </si>
  <si>
    <t>Man_Rollers_Stand_RH_02</t>
  </si>
  <si>
    <t>Man_Rollers_LH_01</t>
  </si>
  <si>
    <t>Man_Rollers_LH_02</t>
  </si>
  <si>
    <t>Man_Rollers_LH_03</t>
  </si>
  <si>
    <t>Man_Rollers_LH_04</t>
  </si>
  <si>
    <t>Man_Rollers_Stand_LH_01</t>
  </si>
  <si>
    <t>Man_Rollers_Stand_LH_02</t>
  </si>
  <si>
    <t>Man_Rollers_Stand_LH_03</t>
  </si>
  <si>
    <t>Man_Rollers_Stand_LH_04</t>
  </si>
  <si>
    <t>Man_Rollers_Fall_RH_01</t>
  </si>
  <si>
    <t>Man_Rollers_Fall_RH_02</t>
  </si>
  <si>
    <t>Man_Rollers_Fall_RH_03</t>
  </si>
  <si>
    <t>Man_Rollers_Fall_RH_04</t>
  </si>
  <si>
    <t>Man_Rollers_Fall_RH_05</t>
  </si>
  <si>
    <t>Man_Rollers_Fall_LH_01</t>
  </si>
  <si>
    <t>Man_Rollers_Fall_LH_02</t>
  </si>
  <si>
    <t>Man_Rollers_Fall_LH_03</t>
  </si>
  <si>
    <t>Man_Rollers_Fall_LH_04</t>
  </si>
  <si>
    <t>Man_Rollers_Fall_LH_05</t>
  </si>
  <si>
    <t>Man_Vine_RH_01</t>
  </si>
  <si>
    <t>Man_Vine_RH_02</t>
  </si>
  <si>
    <t>Man_Vine_RH_03</t>
  </si>
  <si>
    <t>Man_Vine_RH_04</t>
  </si>
  <si>
    <t>Man_Vine_RH_05</t>
  </si>
  <si>
    <t>Man_Vine_RH_06</t>
  </si>
  <si>
    <t>Man_Vine_RH_07</t>
  </si>
  <si>
    <t>Man_Vine_RH_08</t>
  </si>
  <si>
    <t>Man_Vine_RH_09</t>
  </si>
  <si>
    <t>Man_Vine_RH_10</t>
  </si>
  <si>
    <t>Man_Vine_RH_11</t>
  </si>
  <si>
    <t>Man_Vine_RH_12</t>
  </si>
  <si>
    <t>Man_Vine_RH_13</t>
  </si>
  <si>
    <t>Man_Vine_RH_14</t>
  </si>
  <si>
    <t>Man_Vine_RH_15</t>
  </si>
  <si>
    <t>Man_Vine_RH_16</t>
  </si>
  <si>
    <t>Man_Vine_RH_17</t>
  </si>
  <si>
    <t>Man_Vine_RH_18</t>
  </si>
  <si>
    <t>Man_Vine_RH_19</t>
  </si>
  <si>
    <t>Man_Vine_RH_20</t>
  </si>
  <si>
    <t>Man_Vine_LH_01</t>
  </si>
  <si>
    <t>Man_Vine_LH_02</t>
  </si>
  <si>
    <t>Man_Vine_LH_03</t>
  </si>
  <si>
    <t>Man_Vine_LH_04</t>
  </si>
  <si>
    <t>Man_Vine_LH_05</t>
  </si>
  <si>
    <t>Man_Vine_LH_06</t>
  </si>
  <si>
    <t>Man_Vine_LH_07</t>
  </si>
  <si>
    <t>Man_Vine_LH_08</t>
  </si>
  <si>
    <t>Man_Vine_LH_09</t>
  </si>
  <si>
    <t>Man_Vine_LH_10</t>
  </si>
  <si>
    <t>Man_Vine_LH_11</t>
  </si>
  <si>
    <t>Man_Vine_LH_12</t>
  </si>
  <si>
    <t>Man_Vine_LH_13</t>
  </si>
  <si>
    <t>Man_Vine_LH_14</t>
  </si>
  <si>
    <t>Man_Vine_LH_15</t>
  </si>
  <si>
    <t>Man_Vine_LH_16</t>
  </si>
  <si>
    <t>Man_Vine_LH_17</t>
  </si>
  <si>
    <t>Man_Vine_LH_18</t>
  </si>
  <si>
    <t>Man_Vine_LH_19</t>
  </si>
  <si>
    <t>Man_Vine_LH_20</t>
  </si>
  <si>
    <t>Man_Die_Fall_LH_01</t>
  </si>
  <si>
    <t>Man_Die_Fall_LH_04</t>
  </si>
  <si>
    <t>Man_Die_Fall_LH_03</t>
  </si>
  <si>
    <t>Man_Die_Fall_LH_02</t>
  </si>
  <si>
    <t>Man_Die_Fall_RH_01</t>
  </si>
  <si>
    <t>Man_Die_Fall_RH_02</t>
  </si>
  <si>
    <t>Man_Die_Fall_RH_03</t>
  </si>
  <si>
    <t>Man_Die_Fall_RH_04</t>
  </si>
  <si>
    <t>Man_Die_Fire_RH_01</t>
  </si>
  <si>
    <t>Man_Die_Fire_RH_02</t>
  </si>
  <si>
    <t>Man_Die_Fire_RH_03</t>
  </si>
  <si>
    <t>Man_Die_Fire_RH_04</t>
  </si>
  <si>
    <t>Man_Die_Fire_RH_05</t>
  </si>
  <si>
    <t>Man_Die_Fire_RH_06</t>
  </si>
  <si>
    <t>Man_Die_Fire_RH_07</t>
  </si>
  <si>
    <t>Man_Die_Fire_RH_08</t>
  </si>
  <si>
    <t>Man_Die_Fire_RH_09</t>
  </si>
  <si>
    <t>Man_Die_Fire_RH_10</t>
  </si>
  <si>
    <t>Man_Die_Fire_RH_11</t>
  </si>
  <si>
    <t>Man_Die_Fire_RH_12</t>
  </si>
  <si>
    <t>Man_Walk_RH_07</t>
  </si>
  <si>
    <t>Man_Walk_RH_08</t>
  </si>
  <si>
    <t>Man_Walk_RH_05</t>
  </si>
  <si>
    <t>Man_Walk_RH_06</t>
  </si>
  <si>
    <t>Man_Walk_LH_05</t>
  </si>
  <si>
    <t>Man_Walk_LH_06</t>
  </si>
  <si>
    <t>Man_Walk_LH_07</t>
  </si>
  <si>
    <t>Man_Walk_LH_08</t>
  </si>
  <si>
    <t>Man_Die_Fire_Adj_RH_01</t>
  </si>
  <si>
    <t>Man_Die_Fire_Adj_RH_02</t>
  </si>
  <si>
    <t>Man_Die_Fire_LH_01</t>
  </si>
  <si>
    <t>Man_Die_Fire_LH_02</t>
  </si>
  <si>
    <t>Man_Die_Fire_LH_03</t>
  </si>
  <si>
    <t>Man_Die_Fire_LH_04</t>
  </si>
  <si>
    <t>Man_Die_Fire_LH_05</t>
  </si>
  <si>
    <t>Man_Die_Fire_LH_06</t>
  </si>
  <si>
    <t>Man_Die_Fire_LH_07</t>
  </si>
  <si>
    <t>Man_Die_Fire_LH_08</t>
  </si>
  <si>
    <t>Man_Die_Fire_LH_09</t>
  </si>
  <si>
    <t>Man_Die_Fire_LH_10</t>
  </si>
  <si>
    <t>Man_Die_Fire_LH_11</t>
  </si>
  <si>
    <t>Man_Die_Fire_LH_12</t>
  </si>
  <si>
    <t>Man_Die_Fire_Adj_LH_01</t>
  </si>
  <si>
    <t>Man_Die_Fire_Adj_LH_02</t>
  </si>
  <si>
    <t>Enemy_Walk_RH_00</t>
  </si>
  <si>
    <t>None</t>
  </si>
  <si>
    <t>Enemy_Walk_RH_01</t>
  </si>
  <si>
    <t>Enemy_Walk_RH_02</t>
  </si>
  <si>
    <t>Enemy_Walk_RH_03</t>
  </si>
  <si>
    <t>Enemy_Walk_Bow_RH_00</t>
  </si>
  <si>
    <t>Enemy_Walk_Bow_RH_03</t>
  </si>
  <si>
    <t>Enemy_Walk_Bow_RH_02</t>
  </si>
  <si>
    <t>Enemy_Walk_Bow_RH_01</t>
  </si>
  <si>
    <t>Enemy_Fire_RH_00</t>
  </si>
  <si>
    <t>Enemy_Fire_RH_01</t>
  </si>
  <si>
    <t>Enemy_Fire_RH_02</t>
  </si>
  <si>
    <t>Enemy_Fire_RH_03</t>
  </si>
  <si>
    <t>Enemy_Fire_RH_04</t>
  </si>
  <si>
    <t>Enemy_Fire_RH_05</t>
  </si>
  <si>
    <t>Enemy_Fire_RH_06</t>
  </si>
  <si>
    <t>Enemy_Fire_RH_07</t>
  </si>
  <si>
    <t>Enemy_Walk_LH_00</t>
  </si>
  <si>
    <t>Enemy_Walk_LH_01</t>
  </si>
  <si>
    <t>Enemy_Walk_LH_02</t>
  </si>
  <si>
    <t>Enemy_Walk_LH_03</t>
  </si>
  <si>
    <t>Enemy_Walk_Bow_LH_00</t>
  </si>
  <si>
    <t>Enemy_Walk_Bow_LH_01</t>
  </si>
  <si>
    <t>Enemy_Walk_Bow_LH_02</t>
  </si>
  <si>
    <t>Enemy_Walk_Bow_LH_03</t>
  </si>
  <si>
    <t>Enemy_Fire_LH_00</t>
  </si>
  <si>
    <t>Enemy_Fire_LH_01</t>
  </si>
  <si>
    <t>Enemy_Fire_LH_02</t>
  </si>
  <si>
    <t>Enemy_Fire_LH_03</t>
  </si>
  <si>
    <t>Enemy_Fire_LH_04</t>
  </si>
  <si>
    <t>Enemy_Fire_LH_05</t>
  </si>
  <si>
    <t>Enemy_Fire_LH_06</t>
  </si>
  <si>
    <t>Enemy_Fire_LH_07</t>
  </si>
  <si>
    <t>Enemy_Fire_RH_08</t>
  </si>
  <si>
    <t>Enemy_Fire_RH_09</t>
  </si>
  <si>
    <t>Enemy_Fire_RH_10</t>
  </si>
  <si>
    <t>Enemy_Fire_RH_11</t>
  </si>
  <si>
    <t>Enemy_Fire_RH_12</t>
  </si>
  <si>
    <t>Enemy_Fire_LH_08</t>
  </si>
  <si>
    <t>Enemy_Fire_LH_09</t>
  </si>
  <si>
    <t>Enemy_Fire_LH_10</t>
  </si>
  <si>
    <t>Enemy_Fire_LH_11</t>
  </si>
  <si>
    <t>Enemy_Fire_LH_12</t>
  </si>
  <si>
    <t>Man_Die_Arrow_FallForward_RH_01</t>
  </si>
  <si>
    <t>Man_Die_Arrow_FallForward_RH_04</t>
  </si>
  <si>
    <t>Man_Die_Arrow_FallForward_RH_03</t>
  </si>
  <si>
    <t>Man_Die_Arrow_FallForward_RH_02</t>
  </si>
  <si>
    <t>Man_Die_Arrow_FallBackward_RH_01</t>
  </si>
  <si>
    <t>Man_Die_Arrow_FallBackward_RH_02</t>
  </si>
  <si>
    <t>Man_Die_Arrow_FallBackward_RH_03</t>
  </si>
  <si>
    <t>Man_Die_Arrow_FallBackward_RH_04</t>
  </si>
  <si>
    <t>Man_Vine_Exit_RH_01</t>
  </si>
  <si>
    <t>Man_Vine_Exit_RH_02</t>
  </si>
  <si>
    <t>Man_Vine_Exit_RH_03</t>
  </si>
  <si>
    <t>Man_Vine_Exit_RH_04</t>
  </si>
  <si>
    <t>Man_Vine_Exit_RH_05</t>
  </si>
  <si>
    <t>Man_Vine_Exit_RH_06</t>
  </si>
  <si>
    <t>Man_Vine_Exit_RH_07</t>
  </si>
  <si>
    <t>Man_Vine_Exit_RH_08</t>
  </si>
  <si>
    <t>Man_Vine_Exit_LH_01</t>
  </si>
  <si>
    <t>Man_Vine_Exit_LH_02</t>
  </si>
  <si>
    <t>Man_Vine_Exit_LH_03</t>
  </si>
  <si>
    <t>Man_Vine_Exit_LH_04</t>
  </si>
  <si>
    <t>Man_Vine_Exit_LH_05</t>
  </si>
  <si>
    <t>Man_Vine_Exit_LH_06</t>
  </si>
  <si>
    <t>Man_Vine_Exit_LH_07</t>
  </si>
  <si>
    <t>Man_Vine_Exit_LH_08</t>
  </si>
  <si>
    <t>Man_Vine_Entry_RH_01</t>
  </si>
  <si>
    <t>Man_Vine_Entry_RH_02</t>
  </si>
  <si>
    <t>Man_Vine_Entry_RH_03</t>
  </si>
  <si>
    <t>Man_Vine_Entry_RH_04</t>
  </si>
  <si>
    <t>Man_Vine_Entry_RH_05</t>
  </si>
  <si>
    <t>Man_Vine_Entry_RH_06</t>
  </si>
  <si>
    <t>Man_Vine_Entry_RH_07</t>
  </si>
  <si>
    <t>Man_Vine_Entry_RH_08</t>
  </si>
  <si>
    <t>Man_Vine_Entry_LH_01</t>
  </si>
  <si>
    <t>Man_Vine_Entry_LH_02</t>
  </si>
  <si>
    <t>Man_Vine_Entry_LH_03</t>
  </si>
  <si>
    <t>Man_Vine_Entry_LH_04</t>
  </si>
  <si>
    <t>Man_Vine_Entry_LH_05</t>
  </si>
  <si>
    <t>Man_Vine_Entry_LH_06</t>
  </si>
  <si>
    <t>Man_Vine_Entry_LH_07</t>
  </si>
  <si>
    <t>Man_Vine_Entry_LH_08</t>
  </si>
  <si>
    <t>Enemy_Trebochet_Release_RH_01</t>
  </si>
  <si>
    <t>Enemy_Trebochet_Release_RH_02</t>
  </si>
  <si>
    <t>Enemy_Trebochet_Release_RH_03</t>
  </si>
  <si>
    <t>Enemy_Trebochet_Release_RH_04</t>
  </si>
  <si>
    <t>Enemy_Trebochet_Release_RH_05</t>
  </si>
  <si>
    <t>Enemy_Trebochet_Release_RH_06</t>
  </si>
  <si>
    <t>Enemy_Trebochet_Release_LH_01</t>
  </si>
  <si>
    <t>Enemy_Trebochet_Release_LH_02</t>
  </si>
  <si>
    <t>Enemy_Trebochet_Release_LH_03</t>
  </si>
  <si>
    <t>Enemy_Trebochet_Release_LH_04</t>
  </si>
  <si>
    <t>Enemy_Trebochet_Release_LH_05</t>
  </si>
  <si>
    <t>Enemy_Trebochet_Release_LH_06</t>
  </si>
  <si>
    <t>Enemy_Trebochet_Release_LH_07</t>
  </si>
  <si>
    <t>Enemy_Trebochet_Release_LH_08</t>
  </si>
  <si>
    <t>Enemy_Trebochet_Release_LH_09</t>
  </si>
  <si>
    <t>Enemy_Trebochet_Release_LH_10</t>
  </si>
  <si>
    <t>Enemy_Trebochet_Release_LH_11</t>
  </si>
  <si>
    <t>Enemy_Trebochet_Release_LH_12</t>
  </si>
  <si>
    <t>Enemy_Trebochet_Release_LH_13</t>
  </si>
  <si>
    <t>Enemy_Trebochet_Release_LH_14</t>
  </si>
  <si>
    <t>Enemy_Trebochet_Release_RH_07</t>
  </si>
  <si>
    <t>Enemy_Trebochet_Release_RH_08</t>
  </si>
  <si>
    <t>Enemy_Trebochet_Release_RH_09</t>
  </si>
  <si>
    <t>Enemy_Trebochet_Release_RH_10</t>
  </si>
  <si>
    <t>Enemy_Trebochet_Release_RH_12</t>
  </si>
  <si>
    <t>Enemy_Trebochet_Release_RH_11</t>
  </si>
  <si>
    <t>Enemy_Trebochet_Release_RH_13</t>
  </si>
  <si>
    <t>Enemy_Trebochet_Release_RH_14</t>
  </si>
  <si>
    <t>Man_Die_FWD_RH_01</t>
  </si>
  <si>
    <t>Man_Die_FWD_RH_04</t>
  </si>
  <si>
    <t>Man_Die_FWD_RH_03</t>
  </si>
  <si>
    <t>Man_Die_FWD_RH_02</t>
  </si>
  <si>
    <t>Man_Die_BWD_RH_01</t>
  </si>
  <si>
    <t>Man_Die_BWD_RH_02</t>
  </si>
  <si>
    <t>Man_Die_BWD_RH_03</t>
  </si>
  <si>
    <t>Man_Die_BWD_RH_04</t>
  </si>
  <si>
    <t>Man_Die_FWD_LH_01</t>
  </si>
  <si>
    <t>Man_Die_FWD_LH_02</t>
  </si>
  <si>
    <t>Man_Die_FWD_LH_03</t>
  </si>
  <si>
    <t>Man_Die_FWD_LH_04</t>
  </si>
  <si>
    <t>Man_Die_BWD_LH_01</t>
  </si>
  <si>
    <t>Man_Die_BWD_LH_02</t>
  </si>
  <si>
    <t>Man_Die_BWD_LH_03</t>
  </si>
  <si>
    <t>Man_Die_BWD_LH_04</t>
  </si>
  <si>
    <t>Man_Sword_Lunge_RH_01</t>
  </si>
  <si>
    <t>Man_Sword_Stationary_RH</t>
  </si>
  <si>
    <t>Man_Sword_Lunge_RH_02</t>
  </si>
  <si>
    <t>Man_Sword_Lunge_RH_03</t>
  </si>
  <si>
    <t>Man_Sword_Lunge_RH_04</t>
  </si>
  <si>
    <t>Man_Sword_Lunge_RH_05</t>
  </si>
  <si>
    <t>Man_Sword_Lunge_RH_06</t>
  </si>
  <si>
    <t>Man_Sword_Walk_RH_01</t>
  </si>
  <si>
    <t>Man_Sword_Walk_RH_02</t>
  </si>
  <si>
    <t>Man_Sword_Walk_RH_03</t>
  </si>
  <si>
    <t>Man_Sword_Walk_RH_04</t>
  </si>
  <si>
    <t>Man_Sword_Walk_BK_RH_01</t>
  </si>
  <si>
    <t>Man_Sword_Walk_BK_RH_02</t>
  </si>
  <si>
    <t>Man_Sword_Walk_BK_RH_03</t>
  </si>
  <si>
    <t>Man_Sword_Walk_BK_RH_04</t>
  </si>
  <si>
    <t>Man_Sword_StandingJump_RH_01</t>
  </si>
  <si>
    <t>Man_Sword_StandingJump_RH_07</t>
  </si>
  <si>
    <t>Man_Sword_StandingJump_RH_06</t>
  </si>
  <si>
    <t>Man_Sword_StandingJump_RH_02</t>
  </si>
  <si>
    <t>Man_Sword_StandingJump_RH_03</t>
  </si>
  <si>
    <t>Man_Sword_StandingJump_RH_04</t>
  </si>
  <si>
    <t>Man_Sword_StandingJump_RH_05</t>
  </si>
  <si>
    <t>Enemy_Sword_Stationary_RH</t>
  </si>
  <si>
    <t>Enemy_Sword_Lunge_RH_01</t>
  </si>
  <si>
    <t>Enemy_Sword_Lunge_RH_02</t>
  </si>
  <si>
    <t>Enemy_Sword_Lunge_RH_03</t>
  </si>
  <si>
    <t>Enemy_Sword_Lunge_RH_04</t>
  </si>
  <si>
    <t>Enemy_Sword_Lunge_RH_05</t>
  </si>
  <si>
    <t>Enemy_Sword_Lunge_RH_06</t>
  </si>
  <si>
    <t>Enemy_Sword_Walk_RH_01</t>
  </si>
  <si>
    <t>Enemy_Sword_Walk_RH_02</t>
  </si>
  <si>
    <t>Enemy_Sword_Walk_RH_03</t>
  </si>
  <si>
    <t>Enemy_Sword_Walk_RH_04</t>
  </si>
  <si>
    <t>Enemy_Sword_Walk_BK_RH_01</t>
  </si>
  <si>
    <t>Enemy_Sword_Walk_BK_RH_02</t>
  </si>
  <si>
    <t>Enemy_Sword_Walk_BK_RH_03</t>
  </si>
  <si>
    <t>Enemy_Sword_Walk_BK_RH_04</t>
  </si>
  <si>
    <t>Enemy_Sword_StandingJump_RH_01</t>
  </si>
  <si>
    <t>Enemy_Sword_StandingJump_RH_02</t>
  </si>
  <si>
    <t>Enemy_Sword_StandingJump_RH_03</t>
  </si>
  <si>
    <t>Enemy_Sword_StandingJump_RH_04</t>
  </si>
  <si>
    <t>Enemy_Sword_StandingJump_RH_05</t>
  </si>
  <si>
    <t>Enemy_Sword_StandingJump_RH_06</t>
  </si>
  <si>
    <t>Enemy_Sword_StandingJump_RH_07</t>
  </si>
  <si>
    <t>Enemy_Sword_Lunge_LH_01</t>
  </si>
  <si>
    <t>Enemy_Sword_Lunge_LH_02</t>
  </si>
  <si>
    <t>Enemy_Sword_Lunge_LH_03</t>
  </si>
  <si>
    <t>Enemy_Sword_Lunge_LH_04</t>
  </si>
  <si>
    <t>Enemy_Sword_Lunge_LH_05</t>
  </si>
  <si>
    <t>Enemy_Sword_Lunge_LH_06</t>
  </si>
  <si>
    <t>Enemy_Sword_Walk_LH_01</t>
  </si>
  <si>
    <t>Enemy_Sword_Walk_LH_02</t>
  </si>
  <si>
    <t>Enemy_Sword_Walk_LH_03</t>
  </si>
  <si>
    <t>Enemy_Sword_Walk_LH_04</t>
  </si>
  <si>
    <t>Enemy_Sword_Walk_BK_LH_01</t>
  </si>
  <si>
    <t>Enemy_Sword_Walk_BK_LH_02</t>
  </si>
  <si>
    <t>Enemy_Sword_Walk_BK_LH_03</t>
  </si>
  <si>
    <t>Enemy_Sword_Walk_BK_LH_04</t>
  </si>
  <si>
    <t>Enemy_Sword_StandingJump_LH_01</t>
  </si>
  <si>
    <t>Enemy_Sword_StandingJump_LH_02</t>
  </si>
  <si>
    <t>Enemy_Sword_StandingJump_LH_03</t>
  </si>
  <si>
    <t>Enemy_Sword_StandingJump_LH_04</t>
  </si>
  <si>
    <t>Enemy_Sword_StandingJump_LH_05</t>
  </si>
  <si>
    <t>Enemy_Sword_StandingJump_LH_06</t>
  </si>
  <si>
    <t>Enemy_Sword_StandingJump_LH_07</t>
  </si>
  <si>
    <t>Enemy_Sword_Stationary_LH</t>
  </si>
  <si>
    <t>Man_Sword_Stationary_LH</t>
  </si>
  <si>
    <t>Man_Sword_Lunge_LH_01</t>
  </si>
  <si>
    <t>Man_Sword_Lunge_LH_02</t>
  </si>
  <si>
    <t>Man_Sword_Lunge_LH_03</t>
  </si>
  <si>
    <t>Man_Sword_Lunge_LH_04</t>
  </si>
  <si>
    <t>Man_Sword_Lunge_LH_05</t>
  </si>
  <si>
    <t>Man_Sword_Lunge_LH_06</t>
  </si>
  <si>
    <t>Man_Sword_Walk_LH_01</t>
  </si>
  <si>
    <t>Man_Sword_Walk_LH_02</t>
  </si>
  <si>
    <t>Man_Sword_Walk_LH_03</t>
  </si>
  <si>
    <t>Man_Sword_Walk_LH_04</t>
  </si>
  <si>
    <t>Man_Sword_Walk_BK_LH_01</t>
  </si>
  <si>
    <t>Man_Sword_Walk_BK_LH_02</t>
  </si>
  <si>
    <t>Man_Sword_Walk_BK_LH_03</t>
  </si>
  <si>
    <t>Man_Sword_Walk_BK_LH_04</t>
  </si>
  <si>
    <t>Man_Sword_StandingJump_LH_01</t>
  </si>
  <si>
    <t>Man_Sword_StandingJump_LH_02</t>
  </si>
  <si>
    <t>Man_Sword_StandingJump_LH_03</t>
  </si>
  <si>
    <t>Man_Sword_StandingJump_LH_04</t>
  </si>
  <si>
    <t>Man_Sword_StandingJump_LH_05</t>
  </si>
  <si>
    <t>Man_Sword_StandingJump_LH_06</t>
  </si>
  <si>
    <t>Man_Sword_StandingJump_LH_07</t>
  </si>
  <si>
    <t>Man_Die_Arrow_FallForward_LH_01</t>
  </si>
  <si>
    <t>Man_Die_Arrow_FallForward_LH_02</t>
  </si>
  <si>
    <t>Man_Die_Arrow_FallForward_LH_03</t>
  </si>
  <si>
    <t>Man_Die_Arrow_FallForward_LH_04</t>
  </si>
  <si>
    <t>Man_Die_Arrow_FallBackward_LH_01</t>
  </si>
  <si>
    <t>Man_Die_Arrow_FallBackward_LH_02</t>
  </si>
  <si>
    <t>Man_Die_Arrow_FallBackward_LH_03</t>
  </si>
  <si>
    <t>Man_Die_Arrow_FallBackward_LH_04</t>
  </si>
  <si>
    <t>Enemy_Die_FWD_LH_01</t>
  </si>
  <si>
    <t>Enemy_Die_FWD_LH_02</t>
  </si>
  <si>
    <t>Enemy_Die_FWD_LH_03</t>
  </si>
  <si>
    <t>Enemy_Die_FWD_LH_04</t>
  </si>
  <si>
    <t>Enemy_Die_BWD_LH_01</t>
  </si>
  <si>
    <t>Enemy_Die_BWD_LH_02</t>
  </si>
  <si>
    <t>Enemy_Die_BWD_LH_03</t>
  </si>
  <si>
    <t>Enemy_Die_BWD_LH_04</t>
  </si>
  <si>
    <t>Enemy_Die_FWD_RH_01</t>
  </si>
  <si>
    <t>Enemy_Die_FWD_RH_02</t>
  </si>
  <si>
    <t>Enemy_Die_FWD_RH_03</t>
  </si>
  <si>
    <t>Enemy_Die_FWD_RH_04</t>
  </si>
  <si>
    <t>Enemy_Die_BWD_RH_01</t>
  </si>
  <si>
    <t>Enemy_Die_BWD_RH_02</t>
  </si>
  <si>
    <t>Enemy_Die_BWD_RH_03</t>
  </si>
  <si>
    <t>Enemy_Die_BWD_RH_04</t>
  </si>
  <si>
    <t>Enemy_Die_FWD_RH_05</t>
  </si>
  <si>
    <t>Enemy_Die_FWD_RH_06</t>
  </si>
  <si>
    <t>Enemy_Die_FWD_RH_07</t>
  </si>
  <si>
    <t>Enemy_Die_FWD_RH_08</t>
  </si>
  <si>
    <t>Enemy_Die_BWD_RH_05</t>
  </si>
  <si>
    <t>Enemy_Die_BWD_RH_06</t>
  </si>
  <si>
    <t>Enemy_Die_BWD_RH_07</t>
  </si>
  <si>
    <t>Enemy_Die_BWD_RH_08</t>
  </si>
  <si>
    <t>Enemy_Die_FWD_LH_05</t>
  </si>
  <si>
    <t>Enemy_Die_FWD_LH_06</t>
  </si>
  <si>
    <t>Enemy_Die_FWD_LH_07</t>
  </si>
  <si>
    <t>Enemy_Die_FWD_LH_08</t>
  </si>
  <si>
    <t>Enemy_Die_BWD_LH_05</t>
  </si>
  <si>
    <t>Enemy_Die_BWD_LH_06</t>
  </si>
  <si>
    <t>Enemy_Die_BWD_LH_07</t>
  </si>
  <si>
    <t>Enemy_Die_BWD_LH_08</t>
  </si>
  <si>
    <t>Enemy_Die_FWD_LH_09</t>
  </si>
  <si>
    <t>Enemy_Die_FWD_LH_10</t>
  </si>
  <si>
    <t>Enemy_Die_FWD_LH_11</t>
  </si>
  <si>
    <t>Enemy_Die_FWD_LH_12</t>
  </si>
  <si>
    <t>Enemy_Die_FWD_LH_13</t>
  </si>
  <si>
    <t>Enemy_Die_BWD_LH_09</t>
  </si>
  <si>
    <t>Enemy_Die_BWD_LH_10</t>
  </si>
  <si>
    <t>Enemy_Die_BWD_LH_11</t>
  </si>
  <si>
    <t>Enemy_Die_BWD_LH_12</t>
  </si>
  <si>
    <t>Enemy_Die_BWD_LH_13</t>
  </si>
  <si>
    <t>Enemy_Die_FWD_RH_09</t>
  </si>
  <si>
    <t>Enemy_Die_FWD_RH_10</t>
  </si>
  <si>
    <t>Enemy_Die_FWD_RH_11</t>
  </si>
  <si>
    <t>Enemy_Die_FWD_RH_12</t>
  </si>
  <si>
    <t>Enemy_Die_FWD_RH_13</t>
  </si>
  <si>
    <t>Enemy_Die_BWD_RH_09</t>
  </si>
  <si>
    <t>Enemy_Die_BWD_RH_10</t>
  </si>
  <si>
    <t>Enemy_Die_BWD_RH_11</t>
  </si>
  <si>
    <t>Enemy_Die_BWD_RH_12</t>
  </si>
  <si>
    <t>Enemy_Die_BWD_RH_13</t>
  </si>
  <si>
    <t>Man_Die_Water_RH_01</t>
  </si>
  <si>
    <t>Man_Die_Water_RH_02</t>
  </si>
  <si>
    <t>Man_Die_Water_RH_03</t>
  </si>
  <si>
    <t>Man_Die_Water_RH_04</t>
  </si>
  <si>
    <t>Man_Die_Water_RH_05</t>
  </si>
  <si>
    <t>Man_Die_Water_RH_06</t>
  </si>
  <si>
    <t>Man_Die_Water_RH_07</t>
  </si>
  <si>
    <t>Man_Die_Water_LH_02</t>
  </si>
  <si>
    <t>Man_Die_Water_LH_01</t>
  </si>
  <si>
    <t>Man_Die_Water_LH_03</t>
  </si>
  <si>
    <t>Man_Die_Water_LH_04</t>
  </si>
  <si>
    <t>Man_Die_Water_LH_05</t>
  </si>
  <si>
    <t>Man_Die_Water_LH_06</t>
  </si>
  <si>
    <t>Man_Die_Water_LH_07</t>
  </si>
  <si>
    <t>Man_Die_Water_RH_02_01</t>
  </si>
  <si>
    <t>Man_Die_Water_RH_02_02</t>
  </si>
  <si>
    <t>Man_Die_Water_RH_02_03</t>
  </si>
  <si>
    <t>Man_Die_Water_RH_02_04</t>
  </si>
  <si>
    <t>Man_Die_Water_RH_02_05</t>
  </si>
  <si>
    <t>Man_Die_Water_RH_02_06</t>
  </si>
  <si>
    <t>Man_Die_Water_RH_02_07</t>
  </si>
  <si>
    <t>Man_Die_Water_LH_02_01</t>
  </si>
  <si>
    <t>Man_Die_Water_LH_02_02</t>
  </si>
  <si>
    <t>Man_Die_Water_LH_02_03</t>
  </si>
  <si>
    <t>Man_Die_Water_LH_02_04</t>
  </si>
  <si>
    <t>Man_Die_Water_LH_02_05</t>
  </si>
  <si>
    <t>Man_Die_Water_LH_02_06</t>
  </si>
  <si>
    <t>Man_Die_Water_LH_02_07</t>
  </si>
  <si>
    <t>31,31,31,31,</t>
  </si>
  <si>
    <t>31,31,32,32,</t>
  </si>
  <si>
    <t>33,33,31,31,</t>
  </si>
  <si>
    <t xml:space="preserve"> 0, 0,</t>
  </si>
  <si>
    <t xml:space="preserve"> 0, 0, 0, 0, </t>
  </si>
  <si>
    <t xml:space="preserve"> 0, 0,39,39,</t>
  </si>
  <si>
    <t xml:space="preserve"> 0, 0,40,40,</t>
  </si>
  <si>
    <t xml:space="preserve"> 0, 0,38,38,</t>
  </si>
  <si>
    <t>Man_Slide_LH_Full_Cont_01</t>
  </si>
  <si>
    <t>Man_Slide_LH_Full_Cont_02</t>
  </si>
  <si>
    <t>Man_Slide_LH_Full_Cont_03</t>
  </si>
  <si>
    <t>Man_Slide_LH_Full_Cont_04</t>
  </si>
  <si>
    <t>Man_Slide_LH_Full_Cont_05</t>
  </si>
  <si>
    <t>Man_Slide_LH_Full_Cont_06</t>
  </si>
  <si>
    <t>Man_Slide_LH_Full_Cont_07</t>
  </si>
  <si>
    <t>Man_Slide_LH_Full_Cont_08</t>
  </si>
  <si>
    <t>Man_Slide_RH_Full_Cont_01</t>
  </si>
  <si>
    <t>Man_Slide_RH_Full_Cont_02</t>
  </si>
  <si>
    <t>Man_Slide_RH_Full_Cont_03</t>
  </si>
  <si>
    <t>Man_Slide_RH_Full_Cont_04</t>
  </si>
  <si>
    <t>Man_Slide_RH_Full_Cont_05</t>
  </si>
  <si>
    <t>Man_Slide_RH_Full_Cont_06</t>
  </si>
  <si>
    <t>Man_Slide_RH_Full_Cont_07</t>
  </si>
  <si>
    <t>Man_Slide_RH_Full_Cont_08</t>
  </si>
  <si>
    <t>Man_Slide_LH_Full_CanCont_01</t>
  </si>
  <si>
    <t>Man_Slide_LH_Full_CanCont_02</t>
  </si>
  <si>
    <t>Man_Slide_LH_Full_CanCont_03</t>
  </si>
  <si>
    <t>Man_Slide_LH_Full_CanCont_04</t>
  </si>
  <si>
    <t>Man_Slide_LH_Full_CanCont_05</t>
  </si>
  <si>
    <t>Man_Slide_LH_Full_CanCont_06</t>
  </si>
  <si>
    <t>Man_Slide_LH_Full_CanCont_07</t>
  </si>
  <si>
    <t>Man_Slide_LH_Full_CanCont_08</t>
  </si>
  <si>
    <t>Man_Slide_LH_Full_CanCont_09</t>
  </si>
  <si>
    <t>Man_Slide_LH_Full_CanCont_10</t>
  </si>
  <si>
    <t>Man_Slide_LH_Full_CanCont_11</t>
  </si>
  <si>
    <t>Man_Slide_LH_Full_CanCont_12</t>
  </si>
  <si>
    <t>Man_Slide_LH_Full_CanCont_13</t>
  </si>
  <si>
    <t>Man_Slide_RH_Full_CanCont_01</t>
  </si>
  <si>
    <t>Man_Slide_RH_Full_CanCont_02</t>
  </si>
  <si>
    <t>Man_Slide_RH_Full_CanCont_03</t>
  </si>
  <si>
    <t>Man_Slide_RH_Full_CanCont_04</t>
  </si>
  <si>
    <t>Man_Slide_RH_Full_CanCont_05</t>
  </si>
  <si>
    <t>Man_Slide_RH_Full_CanCont_06</t>
  </si>
  <si>
    <t>Man_Slide_RH_Full_CanCont_07</t>
  </si>
  <si>
    <t>Man_Slide_RH_Full_CanCont_08</t>
  </si>
  <si>
    <t>Man_Slide_RH_Full_CanCont_09</t>
  </si>
  <si>
    <t>Man_Slide_RH_Full_CanCont_10</t>
  </si>
  <si>
    <t>Man_Slide_RH_Full_CanCont_11</t>
  </si>
  <si>
    <t>Man_Slide_RH_Full_CanCont_12</t>
  </si>
  <si>
    <t>Man_Slide_RH_Full_CanCont_13</t>
  </si>
  <si>
    <t xml:space="preserve"> 0, 0,29, 0, </t>
  </si>
  <si>
    <t xml:space="preserve"> 0, 0, 0,30, </t>
  </si>
  <si>
    <t xml:space="preserve"> 1, 1, 2, 2,</t>
  </si>
  <si>
    <t xml:space="preserve"> 1, 1,</t>
  </si>
  <si>
    <t xml:space="preserve"> 2, 2,</t>
  </si>
  <si>
    <t>Left / Right</t>
  </si>
  <si>
    <t>x</t>
  </si>
  <si>
    <t>y</t>
  </si>
  <si>
    <t>Base</t>
  </si>
  <si>
    <t>from 1</t>
  </si>
  <si>
    <t>From 4</t>
  </si>
  <si>
    <t>from 7</t>
  </si>
  <si>
    <t>from 12</t>
  </si>
  <si>
    <t># Update the distances with the new data</t>
  </si>
  <si>
    <t>additional_distances = {</t>
  </si>
  <si>
    <t xml:space="preserve">    (1, 4): 40, (4, 6): 32, (7, 9): 25, (12, 11): 26</t>
  </si>
  <si>
    <t>}</t>
  </si>
  <si>
    <t># Add new distances to the existing distances</t>
  </si>
  <si>
    <t>for (i, j), dist in additional_distances.items():</t>
  </si>
  <si>
    <t xml:space="preserve">    distance_matrix[i, j] = dist</t>
  </si>
  <si>
    <t xml:space="preserve">    distance_matrix[j, i] = dist  # Symmetric</t>
  </si>
  <si>
    <t># Recompute the shortest distances using the Floyd-Warshall algorithm</t>
  </si>
  <si>
    <t>for k in range(num_positions):</t>
  </si>
  <si>
    <t xml:space="preserve">    for i in range(num_positions):</t>
  </si>
  <si>
    <t xml:space="preserve">        for j in range(num_positions):</t>
  </si>
  <si>
    <t xml:space="preserve">            distance_matrix[i, j] = min(</t>
  </si>
  <si>
    <t xml:space="preserve">                distance_matrix[i, j], distance_matrix[i, k] + distance_matrix[k, j]</t>
  </si>
  <si>
    <t xml:space="preserve">            )</t>
  </si>
  <si>
    <t>distance_matrix</t>
  </si>
  <si>
    <t>array([[ 36., 18., 40., 65., 58., 98., 90., 123., 141., 116., 92., 72., 46., 24.</t>
  </si>
  <si>
    <t>, [ 18., 36., 22., 47., 40., 80., 72., 105., 132., 130., 110., 90., 64., 42.</t>
  </si>
  <si>
    <t>, [ 40., 22., 44., 25., 57., 97., 89., 122., 149., 147., 132., 112., 86., 64.</t>
  </si>
  <si>
    <t>, [ 65., 47., 25., 50., 32., 72., 64., 97., 124., 122., 146., 137., 111., 89.</t>
  </si>
  <si>
    <t>, [ 58., 40., 57., 32., 64., 40., 32., 65., 92., 90., 114., 130., 104., 82.</t>
  </si>
  <si>
    <t>, [ 98., 80., 97., 72., 40., 70., 35., 68., 95., 93., 117., 137., 144., 122.</t>
  </si>
  <si>
    <t>, [ 90., 72., 89., 64., 32., 35., 64., 33., 60., 58., 82., 102., 128., 114.</t>
  </si>
  <si>
    <t>, [123., 105., 122., 97., 65., 68., 33., 50., 27., 25., 49., 69., 95., 117.</t>
  </si>
  <si>
    <t>, [141., 132., 149., 124., 92., 95., 60., 27., 50., 25., 49., 69., 95., 117.</t>
  </si>
  <si>
    <t>, [116., 130., 147., 122., 90., 93., 58., 25., 25., 48., 24., 44., 70., 92.</t>
  </si>
  <si>
    <t>, [ 92., 110., 132., 146., 114., 117., 82., 49., 49., 24., 40., 20., 46., 68.</t>
  </si>
  <si>
    <t>, [ 72., 90., 112., 137., 130., 137., 102., 69., 69., 44., 20., 40., 26., 48.</t>
  </si>
  <si>
    <t>, [ 46., 64., 86., 111., 104., 144., 128., 95., 95., 70., 46., 26., 44., 22.</t>
  </si>
  <si>
    <t>, [ 24., 42., 64., 89., 82., 122., 114., 117., 117., 92., 68., 48., 22., 44.</t>
  </si>
  <si>
    <t>)</t>
  </si>
  <si>
    <t>Port Names</t>
  </si>
  <si>
    <t>64,64,64,64,</t>
  </si>
  <si>
    <t>64,64,</t>
  </si>
  <si>
    <t>63,63,63,63,</t>
  </si>
  <si>
    <t>63,63,</t>
  </si>
  <si>
    <t>74,74,74,74,</t>
  </si>
  <si>
    <t>74,74,</t>
  </si>
  <si>
    <t>73,73,73,73,</t>
  </si>
  <si>
    <t>73,73,</t>
  </si>
  <si>
    <t>Man_ClimbLadder_More_BK_RH_UP_01</t>
  </si>
  <si>
    <t>Man_ClimbLadder_More_BK_RH_UP_04</t>
  </si>
  <si>
    <t>Man_ClimbLadder_More_BK_RH_UP_03</t>
  </si>
  <si>
    <t>Man_ClimbLadder_More_BK_RH_UP_02</t>
  </si>
  <si>
    <t>Man_ClimbLadder_More_BK_LH_UP_01</t>
  </si>
  <si>
    <t>Man_ClimbLadder_More_BK_LH_UP_04</t>
  </si>
  <si>
    <t>Man_ClimbLadder_More_BK_LH_UP_03</t>
  </si>
  <si>
    <t>Man_ClimbLadder_More_BK_LH_UP_02</t>
  </si>
  <si>
    <t>Man_ClimbLadder_More_BK_RH_DOWN_01</t>
  </si>
  <si>
    <t>Man_ClimbLadder_More_BK_RH_DOWN_02</t>
  </si>
  <si>
    <t>Man_ClimbLadder_More_BK_RH_DOWN_03</t>
  </si>
  <si>
    <t>Man_ClimbLadder_More_BK_RH_DOWN_04</t>
  </si>
  <si>
    <t>Man_ClimbLadder_More_BK_LH_DOWN_01</t>
  </si>
  <si>
    <t>Man_ClimbLadder_More_BK_LH_DOWN_02</t>
  </si>
  <si>
    <t>Man_ClimbLadder_More_BK_LH_DOWN_03</t>
  </si>
  <si>
    <t>Man_ClimbLadder_More_BK_LH_DOWN_04</t>
  </si>
  <si>
    <t>62,62,62,62,</t>
  </si>
  <si>
    <t>72,72,72,72,</t>
  </si>
  <si>
    <t>62,62,</t>
  </si>
  <si>
    <t>72,72,</t>
  </si>
  <si>
    <t>33,33,</t>
  </si>
  <si>
    <t>31,31,</t>
  </si>
  <si>
    <t>32,32,</t>
  </si>
  <si>
    <t xml:space="preserve">26,26,26,26, </t>
  </si>
  <si>
    <t xml:space="preserve"> 0, 5, 6, 2, </t>
  </si>
  <si>
    <t xml:space="preserve"> 9, 0, 2,11, </t>
  </si>
  <si>
    <t xml:space="preserve"> 0, 0, 1, 1</t>
  </si>
  <si>
    <t xml:space="preserve">42,42,42,42, </t>
  </si>
  <si>
    <t xml:space="preserve">43,43,43,43, </t>
  </si>
  <si>
    <t>43,43,</t>
  </si>
  <si>
    <t>42,42,</t>
  </si>
  <si>
    <t>29, 0,</t>
  </si>
  <si>
    <t xml:space="preserve"> 0,30,</t>
  </si>
  <si>
    <t xml:space="preserve"> 0, 5,</t>
  </si>
  <si>
    <t xml:space="preserve"> 6, 2,</t>
  </si>
  <si>
    <t xml:space="preserve"> 9, 0,</t>
  </si>
  <si>
    <t xml:space="preserve"> 2,11,</t>
  </si>
  <si>
    <t>26,26,</t>
  </si>
  <si>
    <t>Man_Walk_FallLand_RH_01_Puff</t>
  </si>
  <si>
    <t>Man_Walk_FallLand_RH_02_Puff</t>
  </si>
  <si>
    <t>Man_Walk_FallLand_RH_03_Puff</t>
  </si>
  <si>
    <t>Man_Walk_FallLand_RH_04_Puff</t>
  </si>
  <si>
    <t>Man_Walk_FallLand_LH_01_Puff</t>
  </si>
  <si>
    <t>Man_Walk_FallLand_LH_02_Puff</t>
  </si>
  <si>
    <t>Man_Walk_FallLand_LH_03_Puff</t>
  </si>
  <si>
    <t>Man_Walk_FallLand_LH_04_Puff</t>
  </si>
  <si>
    <t>Man_Walk_FallLand_BK_01_Puff</t>
  </si>
  <si>
    <t>Man_Walk_FallLand_BK_02_Puff</t>
  </si>
  <si>
    <t>Man_Walk_FallLand_BK_03_Puff</t>
  </si>
  <si>
    <t>Man_Walk_FallLand_BK_04_Puff</t>
  </si>
  <si>
    <t>Man_BounceJump_RH_4_01</t>
  </si>
  <si>
    <t>Man_BounceJump_RH_4_02</t>
  </si>
  <si>
    <t>Man_BounceJump_RH_4_03</t>
  </si>
  <si>
    <t>Man_BounceJump_RH_4_04</t>
  </si>
  <si>
    <t>Man_BounceJump_RH_4_05</t>
  </si>
  <si>
    <t>Man_BounceJump_RH_4_06</t>
  </si>
  <si>
    <t>Man_BounceJump_RH_4_07</t>
  </si>
  <si>
    <t>Man_BounceJump_RH_4_08</t>
  </si>
  <si>
    <t>Man_BounceJump_RH_4_09</t>
  </si>
  <si>
    <t>Man_BounceJump_RH_4_10</t>
  </si>
  <si>
    <t>Man_BounceJump_RH_4_11</t>
  </si>
  <si>
    <t>Man_BounceJump_RH_4_12</t>
  </si>
  <si>
    <t>Man_BounceJump_RH_4_13</t>
  </si>
  <si>
    <t>Man_BounceJump_RH_4_14</t>
  </si>
  <si>
    <t>Man_BounceJump_RH_4_15</t>
  </si>
  <si>
    <t>Man_BounceJump_RH_4_16</t>
  </si>
  <si>
    <t>Man_BounceJump_RH_4_17</t>
  </si>
  <si>
    <t>Man_BounceJump_RH_4_18</t>
  </si>
  <si>
    <t>Man_BounceJump_RH_4_19</t>
  </si>
  <si>
    <t>Man_BounceJump_RH_4_20</t>
  </si>
  <si>
    <t>Man_BounceJump_RH_4_21</t>
  </si>
  <si>
    <t>Man_BounceJump_RH_4_22</t>
  </si>
  <si>
    <t>Man_BounceJump_RH_4_23</t>
  </si>
  <si>
    <t>Man_BounceJump_RH_4_24</t>
  </si>
  <si>
    <t>Man_BounceJump_RH_4_25</t>
  </si>
  <si>
    <t>Man_BounceJump_RH_4_26</t>
  </si>
  <si>
    <t>Man_BounceJump_RH_4_27</t>
  </si>
  <si>
    <t>Man_BounceJump_RH_4_28</t>
  </si>
  <si>
    <t>Man_BounceJump_RH_4_29</t>
  </si>
  <si>
    <t>Man_BounceJump_RH_4_30</t>
  </si>
  <si>
    <t>Man_BounceJump_RH_4_31</t>
  </si>
  <si>
    <t>Man_BounceJump_RH_4_32</t>
  </si>
  <si>
    <t>Man_BounceJump_RH_4_33</t>
  </si>
  <si>
    <t>Man_BounceJump_RH_4_34</t>
  </si>
  <si>
    <t>Man_BounceJump_LH_4_01</t>
  </si>
  <si>
    <t>Man_BounceJump_LH_4_02</t>
  </si>
  <si>
    <t>Man_BounceJump_LH_4_03</t>
  </si>
  <si>
    <t>Man_BounceJump_LH_4_04</t>
  </si>
  <si>
    <t>Man_BounceJump_LH_4_05</t>
  </si>
  <si>
    <t>Man_BounceJump_LH_4_06</t>
  </si>
  <si>
    <t>Man_BounceJump_LH_4_07</t>
  </si>
  <si>
    <t>Man_BounceJump_LH_4_08</t>
  </si>
  <si>
    <t>Man_BounceJump_LH_4_09</t>
  </si>
  <si>
    <t>Man_BounceJump_LH_4_10</t>
  </si>
  <si>
    <t>Man_BounceJump_LH_4_11</t>
  </si>
  <si>
    <t>Man_BounceJump_LH_4_12</t>
  </si>
  <si>
    <t>Man_BounceJump_LH_4_13</t>
  </si>
  <si>
    <t>Man_BounceJump_LH_4_14</t>
  </si>
  <si>
    <t>Man_BounceJump_LH_4_15</t>
  </si>
  <si>
    <t>Man_BounceJump_LH_4_16</t>
  </si>
  <si>
    <t>Man_BounceJump_LH_4_17</t>
  </si>
  <si>
    <t>Man_BounceJump_LH_4_18</t>
  </si>
  <si>
    <t>Man_BounceJump_LH_4_19</t>
  </si>
  <si>
    <t>Man_BounceJump_LH_4_20</t>
  </si>
  <si>
    <t>Man_BounceJump_LH_4_21</t>
  </si>
  <si>
    <t>Man_BounceJump_LH_4_22</t>
  </si>
  <si>
    <t>Man_BounceJump_LH_4_23</t>
  </si>
  <si>
    <t>Man_BounceJump_LH_4_24</t>
  </si>
  <si>
    <t>Man_BounceJump_LH_4_25</t>
  </si>
  <si>
    <t>Man_BounceJump_LH_4_26</t>
  </si>
  <si>
    <t>Man_BounceJump_LH_4_27</t>
  </si>
  <si>
    <t>Man_BounceJump_LH_4_28</t>
  </si>
  <si>
    <t>Man_BounceJump_LH_4_29</t>
  </si>
  <si>
    <t>Man_BounceJump_LH_4_30</t>
  </si>
  <si>
    <t>Man_BounceJump_LH_4_31</t>
  </si>
  <si>
    <t>Man_BounceJump_LH_4_32</t>
  </si>
  <si>
    <t>Man_BounceJump_LH_4_33</t>
  </si>
  <si>
    <t>Man_BounceJump_LH_4_34</t>
  </si>
  <si>
    <t>Man_BounceJump_LH_3_02</t>
  </si>
  <si>
    <t>Man_BounceJump_LH_3_03</t>
  </si>
  <si>
    <t>Man_BounceJump_LH_3_04</t>
  </si>
  <si>
    <t>Man_BounceJump_LH_3_05</t>
  </si>
  <si>
    <t>Man_BounceJump_LH_3_06</t>
  </si>
  <si>
    <t>Man_BounceJump_LH_3_07</t>
  </si>
  <si>
    <t>Man_BounceJump_LH_3_08</t>
  </si>
  <si>
    <t>Man_BounceJump_LH_3_09</t>
  </si>
  <si>
    <t>Man_BounceJump_LH_3_10</t>
  </si>
  <si>
    <t>Man_BounceJump_LH_3_11</t>
  </si>
  <si>
    <t>Man_BounceJump_LH_3_12</t>
  </si>
  <si>
    <t>Man_BounceJump_LH_3_13</t>
  </si>
  <si>
    <t>Man_BounceJump_LH_3_14</t>
  </si>
  <si>
    <t>Man_BounceJump_LH_3_15</t>
  </si>
  <si>
    <t>Man_BounceJump_LH_3_16</t>
  </si>
  <si>
    <t>Man_BounceJump_LH_3_17</t>
  </si>
  <si>
    <t>Man_BounceJump_LH_3_18</t>
  </si>
  <si>
    <t>Man_BounceJump_LH_3_19</t>
  </si>
  <si>
    <t>Man_BounceJump_LH_3_20</t>
  </si>
  <si>
    <t>Man_BounceJump_LH_3_21</t>
  </si>
  <si>
    <t>Man_BounceJump_LH_3_22</t>
  </si>
  <si>
    <t>Man_BounceJump_LH_3_23</t>
  </si>
  <si>
    <t>Man_BounceJump_LH_3_24</t>
  </si>
  <si>
    <t>Man_BounceJump_LH_3_25</t>
  </si>
  <si>
    <t>Man_BounceJump_LH_3_26</t>
  </si>
  <si>
    <t>Man_BounceJump_LH_3_27</t>
  </si>
  <si>
    <t>Man_BounceJump_LH_3_28</t>
  </si>
  <si>
    <t>Man_BounceJump_LH_3_29</t>
  </si>
  <si>
    <t>Man_BounceJump_LH_3_30</t>
  </si>
  <si>
    <t>Man_BounceJump_LH_3_31</t>
  </si>
  <si>
    <t>Man_BounceJump_LH_3_32</t>
  </si>
  <si>
    <t>Man_BounceJump_LH_3_01</t>
  </si>
  <si>
    <t>Man_BounceJump_RH_3_01</t>
  </si>
  <si>
    <t>Man_BounceJump_RH_3_02</t>
  </si>
  <si>
    <t>Man_BounceJump_RH_3_03</t>
  </si>
  <si>
    <t>Man_BounceJump_RH_3_04</t>
  </si>
  <si>
    <t>Man_BounceJump_RH_3_05</t>
  </si>
  <si>
    <t>Man_BounceJump_RH_3_06</t>
  </si>
  <si>
    <t>Man_BounceJump_RH_3_07</t>
  </si>
  <si>
    <t>Man_BounceJump_RH_3_08</t>
  </si>
  <si>
    <t>Man_BounceJump_RH_3_09</t>
  </si>
  <si>
    <t>Man_BounceJump_RH_3_10</t>
  </si>
  <si>
    <t>Man_BounceJump_RH_3_11</t>
  </si>
  <si>
    <t>Man_BounceJump_RH_3_12</t>
  </si>
  <si>
    <t>Man_BounceJump_RH_3_13</t>
  </si>
  <si>
    <t>Man_BounceJump_RH_3_14</t>
  </si>
  <si>
    <t>Man_BounceJump_RH_3_15</t>
  </si>
  <si>
    <t>Man_BounceJump_RH_3_16</t>
  </si>
  <si>
    <t>Man_BounceJump_RH_3_17</t>
  </si>
  <si>
    <t>Man_BounceJump_RH_3_18</t>
  </si>
  <si>
    <t>Man_BounceJump_RH_3_19</t>
  </si>
  <si>
    <t>Man_BounceJump_RH_3_20</t>
  </si>
  <si>
    <t>Man_BounceJump_RH_3_21</t>
  </si>
  <si>
    <t>Man_BounceJump_RH_3_22</t>
  </si>
  <si>
    <t>Man_BounceJump_RH_3_23</t>
  </si>
  <si>
    <t>Man_BounceJump_RH_3_24</t>
  </si>
  <si>
    <t>Man_BounceJump_RH_3_25</t>
  </si>
  <si>
    <t>Man_BounceJump_RH_3_26</t>
  </si>
  <si>
    <t>Man_BounceJump_RH_3_27</t>
  </si>
  <si>
    <t>Man_BounceJump_RH_3_28</t>
  </si>
  <si>
    <t>Man_BounceJump_RH_3_29</t>
  </si>
  <si>
    <t>Man_BounceJump_RH_3_30</t>
  </si>
  <si>
    <t>Man_BounceJump_RH_3_31</t>
  </si>
  <si>
    <t>Man_BounceJump_RH_3_32</t>
  </si>
  <si>
    <t>Enemy_Guard_RH_01</t>
  </si>
  <si>
    <t>Enemy_Guard_RH_02</t>
  </si>
  <si>
    <t>Enemy_Guard_LH_01</t>
  </si>
  <si>
    <t>Enemy_Guard_LH_02</t>
  </si>
  <si>
    <t>Man_WalkingJump_Fall_LH_25_01</t>
  </si>
  <si>
    <t>Man_WalkingJump_Fall_LH_25_02</t>
  </si>
  <si>
    <t>Man_WalkingJump_Fall_LH_25_03</t>
  </si>
  <si>
    <t>Man_WalkingJump_Fall_LH_25_04</t>
  </si>
  <si>
    <t>Man_WalkingJump_Fall_LH_25_05</t>
  </si>
  <si>
    <t>Man_WalkingJump_Fall_LH_25_06</t>
  </si>
  <si>
    <t>Man_WalkingJump_Fall_LH_25_07</t>
  </si>
  <si>
    <t>Man_WalkingJump_Fall_LH_25_08</t>
  </si>
  <si>
    <t>Man_WalkingJump_Fall_LH_25_09</t>
  </si>
  <si>
    <t>Man_WalkingJump_Fall_LH_25_10</t>
  </si>
  <si>
    <t>Man_WalkingJump_Fall_LH_25_11</t>
  </si>
  <si>
    <t>Man_WalkingJump_Fall_RH_25_01</t>
  </si>
  <si>
    <t>Man_WalkingJump_Fall_RH_25_02</t>
  </si>
  <si>
    <t>Man_WalkingJump_Fall_RH_25_03</t>
  </si>
  <si>
    <t>Man_WalkingJump_Fall_RH_25_04</t>
  </si>
  <si>
    <t>Man_WalkingJump_Fall_RH_25_05</t>
  </si>
  <si>
    <t>Man_WalkingJump_Fall_RH_25_06</t>
  </si>
  <si>
    <t>Man_WalkingJump_Fall_RH_25_07</t>
  </si>
  <si>
    <t>Man_WalkingJump_Fall_RH_25_08</t>
  </si>
  <si>
    <t>Man_WalkingJump_Fall_RH_25_09</t>
  </si>
  <si>
    <t>Man_WalkingJump_Fall_RH_25_10</t>
  </si>
  <si>
    <t>Man_WalkingJump_Fall_RH_25_11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</si>
</sst>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rgb="FF4FC1FF"/>
      <name val="Menlo"/>
      <family val="2"/>
    </font>
    <font>
      <i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FF0000"/>
      <name val="Menlo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1" fillId="2" borderId="0" xfId="0" applyFont="1" applyFill="1"/>
    <xf numFmtId="0" fontId="4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0" fillId="3" borderId="0" xfId="0" applyFill="1"/>
    <xf numFmtId="0" fontId="5" fillId="4" borderId="0" xfId="0" applyFont="1" applyFill="1" applyAlignment="1">
      <alignment horizontal="center" vertical="center"/>
    </xf>
    <xf numFmtId="0" fontId="0" fillId="4" borderId="0" xfId="0" applyFill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0" fillId="0" borderId="0" xfId="0" quotePrefix="1"/>
    <xf numFmtId="0" fontId="7" fillId="0" borderId="0" xfId="0" applyFont="1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6" fillId="8" borderId="0" xfId="0" applyFont="1" applyFill="1"/>
    <xf numFmtId="0" fontId="9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975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19</xdr:row>
      <xdr:rowOff>101600</xdr:rowOff>
    </xdr:from>
    <xdr:to>
      <xdr:col>4</xdr:col>
      <xdr:colOff>690770</xdr:colOff>
      <xdr:row>28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F3778F-5EA3-99FD-2C78-33F83A21D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" y="3962400"/>
          <a:ext cx="3662570" cy="1816100"/>
        </a:xfrm>
        <a:prstGeom prst="rect">
          <a:avLst/>
        </a:prstGeom>
      </xdr:spPr>
    </xdr:pic>
    <xdr:clientData/>
  </xdr:twoCellAnchor>
  <xdr:twoCellAnchor editAs="oneCell">
    <xdr:from>
      <xdr:col>0</xdr:col>
      <xdr:colOff>317500</xdr:colOff>
      <xdr:row>28</xdr:row>
      <xdr:rowOff>190500</xdr:rowOff>
    </xdr:from>
    <xdr:to>
      <xdr:col>4</xdr:col>
      <xdr:colOff>709055</xdr:colOff>
      <xdr:row>37</xdr:row>
      <xdr:rowOff>177800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9B3DE7-0507-CE00-B2CE-11706AFDD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7500" y="5880100"/>
          <a:ext cx="3693555" cy="1816100"/>
        </a:xfrm>
        <a:prstGeom prst="rect">
          <a:avLst/>
        </a:prstGeom>
      </xdr:spPr>
    </xdr:pic>
    <xdr:clientData/>
  </xdr:twoCellAnchor>
  <xdr:twoCellAnchor editAs="oneCell">
    <xdr:from>
      <xdr:col>0</xdr:col>
      <xdr:colOff>317500</xdr:colOff>
      <xdr:row>38</xdr:row>
      <xdr:rowOff>88900</xdr:rowOff>
    </xdr:from>
    <xdr:to>
      <xdr:col>4</xdr:col>
      <xdr:colOff>736261</xdr:colOff>
      <xdr:row>47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377F47-E8FF-810F-078D-D9194A692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500" y="7810500"/>
          <a:ext cx="3720761" cy="1854200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48</xdr:row>
      <xdr:rowOff>38100</xdr:rowOff>
    </xdr:from>
    <xdr:to>
      <xdr:col>4</xdr:col>
      <xdr:colOff>753918</xdr:colOff>
      <xdr:row>57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8AC6AEF-76E9-9ACA-4C9F-19CC029E8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2900" y="9791700"/>
          <a:ext cx="3713018" cy="1828800"/>
        </a:xfrm>
        <a:prstGeom prst="rect">
          <a:avLst/>
        </a:prstGeom>
      </xdr:spPr>
    </xdr:pic>
    <xdr:clientData/>
  </xdr:twoCellAnchor>
  <xdr:twoCellAnchor editAs="oneCell">
    <xdr:from>
      <xdr:col>0</xdr:col>
      <xdr:colOff>355600</xdr:colOff>
      <xdr:row>58</xdr:row>
      <xdr:rowOff>12700</xdr:rowOff>
    </xdr:from>
    <xdr:to>
      <xdr:col>4</xdr:col>
      <xdr:colOff>818412</xdr:colOff>
      <xdr:row>67</xdr:row>
      <xdr:rowOff>50800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06C6F51-E458-C549-E437-7197694FA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5600" y="11798300"/>
          <a:ext cx="3764812" cy="1866900"/>
        </a:xfrm>
        <a:prstGeom prst="rect">
          <a:avLst/>
        </a:prstGeom>
      </xdr:spPr>
    </xdr:pic>
    <xdr:clientData/>
  </xdr:twoCellAnchor>
  <xdr:twoCellAnchor editAs="oneCell">
    <xdr:from>
      <xdr:col>0</xdr:col>
      <xdr:colOff>355600</xdr:colOff>
      <xdr:row>68</xdr:row>
      <xdr:rowOff>12700</xdr:rowOff>
    </xdr:from>
    <xdr:to>
      <xdr:col>5</xdr:col>
      <xdr:colOff>12278</xdr:colOff>
      <xdr:row>77</xdr:row>
      <xdr:rowOff>63500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97126DD-8A68-E43A-98EC-86BF53EAD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5600" y="13830300"/>
          <a:ext cx="3784178" cy="1879600"/>
        </a:xfrm>
        <a:prstGeom prst="rect">
          <a:avLst/>
        </a:prstGeom>
      </xdr:spPr>
    </xdr:pic>
    <xdr:clientData/>
  </xdr:twoCellAnchor>
  <xdr:twoCellAnchor editAs="oneCell">
    <xdr:from>
      <xdr:col>0</xdr:col>
      <xdr:colOff>596900</xdr:colOff>
      <xdr:row>78</xdr:row>
      <xdr:rowOff>25400</xdr:rowOff>
    </xdr:from>
    <xdr:to>
      <xdr:col>5</xdr:col>
      <xdr:colOff>202359</xdr:colOff>
      <xdr:row>87</xdr:row>
      <xdr:rowOff>50800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B0FCBFC-0C79-EE21-2878-D5B8144C0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6900" y="15875000"/>
          <a:ext cx="3732959" cy="1854200"/>
        </a:xfrm>
        <a:prstGeom prst="rect">
          <a:avLst/>
        </a:prstGeom>
      </xdr:spPr>
    </xdr:pic>
    <xdr:clientData/>
  </xdr:twoCellAnchor>
  <xdr:twoCellAnchor editAs="oneCell">
    <xdr:from>
      <xdr:col>7</xdr:col>
      <xdr:colOff>139700</xdr:colOff>
      <xdr:row>19</xdr:row>
      <xdr:rowOff>89524</xdr:rowOff>
    </xdr:from>
    <xdr:to>
      <xdr:col>11</xdr:col>
      <xdr:colOff>520700</xdr:colOff>
      <xdr:row>28</xdr:row>
      <xdr:rowOff>65997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8E23450-3B3A-37A4-E3FD-7D5729203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18200" y="3950324"/>
          <a:ext cx="3683000" cy="1805273"/>
        </a:xfrm>
        <a:prstGeom prst="rect">
          <a:avLst/>
        </a:prstGeom>
      </xdr:spPr>
    </xdr:pic>
    <xdr:clientData/>
  </xdr:twoCellAnchor>
  <xdr:twoCellAnchor editAs="oneCell">
    <xdr:from>
      <xdr:col>7</xdr:col>
      <xdr:colOff>127000</xdr:colOff>
      <xdr:row>28</xdr:row>
      <xdr:rowOff>165101</xdr:rowOff>
    </xdr:from>
    <xdr:to>
      <xdr:col>11</xdr:col>
      <xdr:colOff>457200</xdr:colOff>
      <xdr:row>37</xdr:row>
      <xdr:rowOff>146407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D24887C-C745-7563-10B7-0E9A9DE0B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905500" y="5854701"/>
          <a:ext cx="3632200" cy="1810106"/>
        </a:xfrm>
        <a:prstGeom prst="rect">
          <a:avLst/>
        </a:prstGeom>
      </xdr:spPr>
    </xdr:pic>
    <xdr:clientData/>
  </xdr:twoCellAnchor>
  <xdr:twoCellAnchor editAs="oneCell">
    <xdr:from>
      <xdr:col>7</xdr:col>
      <xdr:colOff>127000</xdr:colOff>
      <xdr:row>38</xdr:row>
      <xdr:rowOff>63500</xdr:rowOff>
    </xdr:from>
    <xdr:to>
      <xdr:col>11</xdr:col>
      <xdr:colOff>533400</xdr:colOff>
      <xdr:row>47</xdr:row>
      <xdr:rowOff>85825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24F8365-2783-C9B2-986B-98BB3313A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05500" y="7785100"/>
          <a:ext cx="3708400" cy="1851125"/>
        </a:xfrm>
        <a:prstGeom prst="rect">
          <a:avLst/>
        </a:prstGeom>
      </xdr:spPr>
    </xdr:pic>
    <xdr:clientData/>
  </xdr:twoCellAnchor>
  <xdr:twoCellAnchor editAs="oneCell">
    <xdr:from>
      <xdr:col>7</xdr:col>
      <xdr:colOff>127000</xdr:colOff>
      <xdr:row>48</xdr:row>
      <xdr:rowOff>12700</xdr:rowOff>
    </xdr:from>
    <xdr:to>
      <xdr:col>11</xdr:col>
      <xdr:colOff>482600</xdr:colOff>
      <xdr:row>56</xdr:row>
      <xdr:rowOff>188604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3D13D40-6DD9-89A6-0903-04526416B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05500" y="9766300"/>
          <a:ext cx="3657600" cy="1801504"/>
        </a:xfrm>
        <a:prstGeom prst="rect">
          <a:avLst/>
        </a:prstGeom>
      </xdr:spPr>
    </xdr:pic>
    <xdr:clientData/>
  </xdr:twoCellAnchor>
  <xdr:twoCellAnchor editAs="oneCell">
    <xdr:from>
      <xdr:col>7</xdr:col>
      <xdr:colOff>165100</xdr:colOff>
      <xdr:row>57</xdr:row>
      <xdr:rowOff>190500</xdr:rowOff>
    </xdr:from>
    <xdr:to>
      <xdr:col>11</xdr:col>
      <xdr:colOff>486563</xdr:colOff>
      <xdr:row>66</xdr:row>
      <xdr:rowOff>152400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20FAB09-19E0-8455-ABF8-DE3FEAFCF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943600" y="11772900"/>
          <a:ext cx="3623463" cy="1790700"/>
        </a:xfrm>
        <a:prstGeom prst="rect">
          <a:avLst/>
        </a:prstGeom>
      </xdr:spPr>
    </xdr:pic>
    <xdr:clientData/>
  </xdr:twoCellAnchor>
  <xdr:twoCellAnchor editAs="oneCell">
    <xdr:from>
      <xdr:col>7</xdr:col>
      <xdr:colOff>203200</xdr:colOff>
      <xdr:row>78</xdr:row>
      <xdr:rowOff>12700</xdr:rowOff>
    </xdr:from>
    <xdr:to>
      <xdr:col>11</xdr:col>
      <xdr:colOff>594343</xdr:colOff>
      <xdr:row>87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52B1A43-7E9E-D94F-BC25-0EE92B1A5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981700" y="15862300"/>
          <a:ext cx="3693143" cy="1816100"/>
        </a:xfrm>
        <a:prstGeom prst="rect">
          <a:avLst/>
        </a:prstGeom>
      </xdr:spPr>
    </xdr:pic>
    <xdr:clientData/>
  </xdr:twoCellAnchor>
  <xdr:twoCellAnchor editAs="oneCell">
    <xdr:from>
      <xdr:col>7</xdr:col>
      <xdr:colOff>177800</xdr:colOff>
      <xdr:row>68</xdr:row>
      <xdr:rowOff>12700</xdr:rowOff>
    </xdr:from>
    <xdr:to>
      <xdr:col>11</xdr:col>
      <xdr:colOff>571500</xdr:colOff>
      <xdr:row>77</xdr:row>
      <xdr:rowOff>4352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95E2FC6-39CE-F298-56D0-78F3E7496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956300" y="13830300"/>
          <a:ext cx="3695700" cy="18204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3BF69-E915-4A45-BE8F-2F0F2215D190}">
  <sheetPr codeName="Sheet5"/>
  <dimension ref="C1:AE40"/>
  <sheetViews>
    <sheetView zoomScale="63" zoomScaleNormal="63" workbookViewId="0">
      <selection activeCell="J14" sqref="J14"/>
    </sheetView>
  </sheetViews>
  <sheetFormatPr baseColWidth="10" defaultColWidth="11.1640625" defaultRowHeight="39" customHeight="1" x14ac:dyDescent="0.2"/>
  <sheetData>
    <row r="1" spans="3:31" ht="39" customHeight="1" x14ac:dyDescent="0.2">
      <c r="C1" s="15"/>
      <c r="E1" s="11"/>
      <c r="F1" s="11">
        <v>0</v>
      </c>
      <c r="G1" s="11">
        <v>1</v>
      </c>
      <c r="H1" s="11">
        <v>2</v>
      </c>
      <c r="I1" s="11">
        <v>3</v>
      </c>
      <c r="J1" s="11">
        <v>4</v>
      </c>
      <c r="K1" s="11">
        <v>5</v>
      </c>
      <c r="L1" s="11">
        <v>6</v>
      </c>
      <c r="M1" s="11">
        <v>7</v>
      </c>
      <c r="N1" s="11">
        <v>8</v>
      </c>
      <c r="O1" s="11">
        <v>9</v>
      </c>
      <c r="P1" s="11">
        <v>10</v>
      </c>
      <c r="Q1" s="11">
        <v>11</v>
      </c>
      <c r="R1" s="11">
        <v>12</v>
      </c>
      <c r="S1" s="11">
        <v>13</v>
      </c>
      <c r="T1" s="11">
        <v>14</v>
      </c>
      <c r="U1" s="11">
        <v>15</v>
      </c>
      <c r="V1" s="11">
        <v>16</v>
      </c>
      <c r="W1" s="11">
        <v>17</v>
      </c>
      <c r="X1" s="11">
        <v>18</v>
      </c>
      <c r="Y1" s="11">
        <v>19</v>
      </c>
      <c r="Z1" s="11">
        <v>20</v>
      </c>
      <c r="AA1" s="11">
        <v>21</v>
      </c>
      <c r="AB1" s="11">
        <v>22</v>
      </c>
      <c r="AC1" s="11">
        <v>23</v>
      </c>
      <c r="AD1" s="11">
        <v>24</v>
      </c>
      <c r="AE1" s="12"/>
    </row>
    <row r="2" spans="3:31" ht="39" customHeight="1" x14ac:dyDescent="0.2">
      <c r="E2" s="11">
        <v>0</v>
      </c>
      <c r="AE2" s="12"/>
    </row>
    <row r="3" spans="3:31" ht="39" customHeight="1" x14ac:dyDescent="0.2">
      <c r="E3" s="11">
        <v>1</v>
      </c>
      <c r="AE3" s="12"/>
    </row>
    <row r="4" spans="3:31" ht="39" customHeight="1" x14ac:dyDescent="0.2">
      <c r="E4" s="11">
        <v>2</v>
      </c>
      <c r="AE4" s="12"/>
    </row>
    <row r="5" spans="3:31" ht="39" customHeight="1" x14ac:dyDescent="0.2">
      <c r="E5" s="11">
        <v>3</v>
      </c>
      <c r="AE5" s="12"/>
    </row>
    <row r="6" spans="3:31" ht="39" customHeight="1" x14ac:dyDescent="0.2">
      <c r="E6" s="11">
        <v>4</v>
      </c>
      <c r="AE6" s="12"/>
    </row>
    <row r="7" spans="3:31" ht="39" customHeight="1" x14ac:dyDescent="0.2">
      <c r="E7" s="11">
        <v>5</v>
      </c>
      <c r="N7" s="13"/>
      <c r="AE7" s="12"/>
    </row>
    <row r="8" spans="3:31" ht="39" customHeight="1" x14ac:dyDescent="0.2">
      <c r="E8" s="11">
        <v>6</v>
      </c>
      <c r="AE8" s="12"/>
    </row>
    <row r="9" spans="3:31" ht="39" customHeight="1" x14ac:dyDescent="0.2">
      <c r="E9" s="11">
        <v>7</v>
      </c>
      <c r="AE9" s="12"/>
    </row>
    <row r="10" spans="3:31" ht="39" customHeight="1" x14ac:dyDescent="0.2"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2" spans="3:31" ht="39" customHeight="1" x14ac:dyDescent="0.2">
      <c r="E12" s="11"/>
      <c r="F12" s="11">
        <v>0</v>
      </c>
      <c r="G12" s="11">
        <v>1</v>
      </c>
      <c r="H12" s="11">
        <v>2</v>
      </c>
      <c r="I12" s="11">
        <v>3</v>
      </c>
      <c r="J12" s="11">
        <v>4</v>
      </c>
      <c r="K12" s="11">
        <v>5</v>
      </c>
      <c r="L12" s="11">
        <v>6</v>
      </c>
      <c r="M12" s="11">
        <v>7</v>
      </c>
      <c r="N12" s="11">
        <v>8</v>
      </c>
      <c r="O12" s="11">
        <v>9</v>
      </c>
      <c r="P12" s="11">
        <v>10</v>
      </c>
      <c r="Q12" s="11">
        <v>11</v>
      </c>
      <c r="R12" s="11">
        <v>12</v>
      </c>
      <c r="S12" s="11">
        <v>13</v>
      </c>
      <c r="T12" s="11">
        <v>14</v>
      </c>
      <c r="U12" s="11">
        <v>15</v>
      </c>
      <c r="V12" s="11">
        <v>16</v>
      </c>
      <c r="W12" s="11">
        <v>17</v>
      </c>
      <c r="X12" s="11">
        <v>18</v>
      </c>
      <c r="Y12" s="11">
        <v>19</v>
      </c>
      <c r="Z12" s="11">
        <v>20</v>
      </c>
      <c r="AA12" s="11">
        <v>21</v>
      </c>
      <c r="AB12" s="11">
        <v>22</v>
      </c>
      <c r="AC12" s="11">
        <v>23</v>
      </c>
      <c r="AD12" s="11">
        <v>24</v>
      </c>
      <c r="AE12" s="12"/>
    </row>
    <row r="13" spans="3:31" ht="39" customHeight="1" x14ac:dyDescent="0.2">
      <c r="E13" s="11">
        <v>0</v>
      </c>
      <c r="F13" s="16" t="s">
        <v>933</v>
      </c>
      <c r="G13" s="14" t="s">
        <v>933</v>
      </c>
      <c r="H13" s="14" t="s">
        <v>933</v>
      </c>
      <c r="I13" s="14" t="s">
        <v>933</v>
      </c>
      <c r="J13" s="16" t="s">
        <v>1060</v>
      </c>
      <c r="K13" s="16" t="s">
        <v>1024</v>
      </c>
      <c r="L13" s="16" t="s">
        <v>1028</v>
      </c>
      <c r="M13" s="16" t="s">
        <v>1028</v>
      </c>
      <c r="N13" s="16" t="s">
        <v>1028</v>
      </c>
      <c r="O13" s="16" t="s">
        <v>1024</v>
      </c>
      <c r="P13" s="16" t="s">
        <v>1028</v>
      </c>
      <c r="Q13" s="16" t="s">
        <v>1028</v>
      </c>
      <c r="R13" s="16" t="s">
        <v>1028</v>
      </c>
      <c r="S13" s="16" t="s">
        <v>1024</v>
      </c>
      <c r="T13" s="16" t="s">
        <v>1028</v>
      </c>
      <c r="U13" s="16" t="s">
        <v>1028</v>
      </c>
      <c r="V13" s="16" t="s">
        <v>1028</v>
      </c>
      <c r="W13" s="16" t="s">
        <v>981</v>
      </c>
      <c r="X13" s="16" t="s">
        <v>1059</v>
      </c>
      <c r="Y13" s="16" t="s">
        <v>933</v>
      </c>
      <c r="Z13" s="14" t="s">
        <v>933</v>
      </c>
      <c r="AA13" s="14" t="s">
        <v>933</v>
      </c>
      <c r="AB13" s="14" t="s">
        <v>933</v>
      </c>
      <c r="AC13" s="14" t="s">
        <v>933</v>
      </c>
      <c r="AD13" s="14" t="s">
        <v>933</v>
      </c>
      <c r="AE13" s="12"/>
    </row>
    <row r="14" spans="3:31" ht="39" customHeight="1" x14ac:dyDescent="0.2">
      <c r="E14" s="11">
        <v>1</v>
      </c>
      <c r="F14" s="14" t="s">
        <v>933</v>
      </c>
      <c r="G14" s="14" t="s">
        <v>933</v>
      </c>
      <c r="H14" s="14" t="s">
        <v>933</v>
      </c>
      <c r="I14" s="14" t="s">
        <v>933</v>
      </c>
      <c r="J14" s="16" t="s">
        <v>933</v>
      </c>
      <c r="K14" s="16" t="s">
        <v>933</v>
      </c>
      <c r="L14" s="16" t="s">
        <v>933</v>
      </c>
      <c r="M14" s="14" t="s">
        <v>933</v>
      </c>
      <c r="N14" s="14" t="s">
        <v>933</v>
      </c>
      <c r="O14" s="16" t="s">
        <v>933</v>
      </c>
      <c r="P14" s="16" t="s">
        <v>931</v>
      </c>
      <c r="Q14" s="16" t="s">
        <v>933</v>
      </c>
      <c r="R14" s="16" t="s">
        <v>933</v>
      </c>
      <c r="S14" s="14" t="s">
        <v>933</v>
      </c>
      <c r="T14" s="14" t="s">
        <v>933</v>
      </c>
      <c r="U14" s="14" t="s">
        <v>933</v>
      </c>
      <c r="V14" s="14" t="s">
        <v>933</v>
      </c>
      <c r="W14" s="16" t="s">
        <v>931</v>
      </c>
      <c r="X14" s="16" t="s">
        <v>933</v>
      </c>
      <c r="Y14" s="16" t="s">
        <v>933</v>
      </c>
      <c r="Z14" s="14" t="s">
        <v>933</v>
      </c>
      <c r="AA14" s="14" t="s">
        <v>933</v>
      </c>
      <c r="AB14" s="14" t="s">
        <v>933</v>
      </c>
      <c r="AC14" s="14" t="s">
        <v>933</v>
      </c>
      <c r="AD14" s="14" t="s">
        <v>933</v>
      </c>
      <c r="AE14" s="12"/>
    </row>
    <row r="15" spans="3:31" ht="39" customHeight="1" x14ac:dyDescent="0.2">
      <c r="E15" s="11">
        <v>2</v>
      </c>
      <c r="F15" s="14" t="s">
        <v>933</v>
      </c>
      <c r="G15" s="14" t="s">
        <v>933</v>
      </c>
      <c r="H15" s="14" t="s">
        <v>933</v>
      </c>
      <c r="I15" s="14" t="s">
        <v>933</v>
      </c>
      <c r="J15" s="16" t="s">
        <v>979</v>
      </c>
      <c r="K15" s="16" t="s">
        <v>933</v>
      </c>
      <c r="L15" s="14" t="s">
        <v>980</v>
      </c>
      <c r="M15" s="14" t="s">
        <v>933</v>
      </c>
      <c r="N15" s="14" t="s">
        <v>933</v>
      </c>
      <c r="O15" s="16" t="s">
        <v>933</v>
      </c>
      <c r="P15" s="16" t="s">
        <v>929</v>
      </c>
      <c r="Q15" s="16" t="s">
        <v>1024</v>
      </c>
      <c r="R15" s="16" t="s">
        <v>1028</v>
      </c>
      <c r="S15" s="16" t="s">
        <v>1028</v>
      </c>
      <c r="T15" s="16" t="s">
        <v>1028</v>
      </c>
      <c r="U15" s="16" t="s">
        <v>1048</v>
      </c>
      <c r="V15" s="16" t="s">
        <v>1049</v>
      </c>
      <c r="W15" s="16" t="s">
        <v>929</v>
      </c>
      <c r="X15" s="14" t="s">
        <v>933</v>
      </c>
      <c r="Y15" s="16" t="s">
        <v>933</v>
      </c>
      <c r="Z15" s="16" t="s">
        <v>933</v>
      </c>
      <c r="AA15" s="14" t="s">
        <v>933</v>
      </c>
      <c r="AB15" s="14" t="s">
        <v>933</v>
      </c>
      <c r="AC15" s="14" t="s">
        <v>933</v>
      </c>
      <c r="AD15" s="14" t="s">
        <v>933</v>
      </c>
      <c r="AE15" s="12"/>
    </row>
    <row r="16" spans="3:31" ht="39" customHeight="1" x14ac:dyDescent="0.2">
      <c r="E16" s="11">
        <v>3</v>
      </c>
      <c r="F16" s="14" t="s">
        <v>933</v>
      </c>
      <c r="G16" s="14" t="s">
        <v>933</v>
      </c>
      <c r="H16" s="14" t="s">
        <v>1048</v>
      </c>
      <c r="I16" s="14" t="s">
        <v>1049</v>
      </c>
      <c r="J16" s="14" t="s">
        <v>933</v>
      </c>
      <c r="K16" s="14" t="s">
        <v>933</v>
      </c>
      <c r="L16" s="14" t="s">
        <v>933</v>
      </c>
      <c r="M16" s="14" t="s">
        <v>1026</v>
      </c>
      <c r="N16" s="14" t="s">
        <v>1030</v>
      </c>
      <c r="O16" s="14" t="s">
        <v>1030</v>
      </c>
      <c r="P16" s="14" t="s">
        <v>929</v>
      </c>
      <c r="Q16" s="14" t="s">
        <v>933</v>
      </c>
      <c r="R16" s="14" t="s">
        <v>933</v>
      </c>
      <c r="S16" s="14" t="s">
        <v>933</v>
      </c>
      <c r="T16" s="14" t="s">
        <v>933</v>
      </c>
      <c r="U16" s="14" t="s">
        <v>933</v>
      </c>
      <c r="V16" s="14" t="s">
        <v>933</v>
      </c>
      <c r="W16" s="14" t="s">
        <v>929</v>
      </c>
      <c r="X16" s="14" t="s">
        <v>933</v>
      </c>
      <c r="Y16" s="16" t="s">
        <v>933</v>
      </c>
      <c r="Z16" s="14" t="s">
        <v>933</v>
      </c>
      <c r="AA16" s="14" t="s">
        <v>933</v>
      </c>
      <c r="AB16" s="14" t="s">
        <v>933</v>
      </c>
      <c r="AC16" s="16" t="s">
        <v>933</v>
      </c>
      <c r="AD16" s="14" t="s">
        <v>933</v>
      </c>
      <c r="AE16" s="12"/>
    </row>
    <row r="17" spans="5:31" ht="39" customHeight="1" x14ac:dyDescent="0.2">
      <c r="E17" s="11">
        <v>4</v>
      </c>
      <c r="F17" s="14" t="s">
        <v>933</v>
      </c>
      <c r="G17" s="14" t="s">
        <v>933</v>
      </c>
      <c r="H17" s="14" t="s">
        <v>933</v>
      </c>
      <c r="I17" s="14" t="s">
        <v>933</v>
      </c>
      <c r="J17" s="14" t="s">
        <v>933</v>
      </c>
      <c r="K17" s="14" t="s">
        <v>933</v>
      </c>
      <c r="L17" s="14" t="s">
        <v>933</v>
      </c>
      <c r="M17" s="14" t="s">
        <v>933</v>
      </c>
      <c r="N17" s="14" t="s">
        <v>933</v>
      </c>
      <c r="O17" s="14" t="s">
        <v>933</v>
      </c>
      <c r="P17" s="14" t="s">
        <v>930</v>
      </c>
      <c r="Q17" s="14" t="s">
        <v>933</v>
      </c>
      <c r="R17" s="14" t="s">
        <v>933</v>
      </c>
      <c r="S17" s="14" t="s">
        <v>933</v>
      </c>
      <c r="T17" s="16" t="s">
        <v>933</v>
      </c>
      <c r="U17" s="16" t="s">
        <v>933</v>
      </c>
      <c r="V17" s="16" t="s">
        <v>933</v>
      </c>
      <c r="W17" s="16" t="s">
        <v>930</v>
      </c>
      <c r="X17" s="14" t="s">
        <v>933</v>
      </c>
      <c r="Y17" s="16" t="s">
        <v>933</v>
      </c>
      <c r="Z17" s="14" t="s">
        <v>933</v>
      </c>
      <c r="AA17" s="16" t="s">
        <v>933</v>
      </c>
      <c r="AB17" s="16" t="s">
        <v>933</v>
      </c>
      <c r="AC17" s="16" t="s">
        <v>933</v>
      </c>
      <c r="AD17" s="14" t="s">
        <v>933</v>
      </c>
      <c r="AE17" s="12"/>
    </row>
    <row r="18" spans="5:31" ht="39" customHeight="1" x14ac:dyDescent="0.2">
      <c r="E18" s="11">
        <v>5</v>
      </c>
      <c r="F18" s="14" t="s">
        <v>933</v>
      </c>
      <c r="G18" s="14" t="s">
        <v>933</v>
      </c>
      <c r="H18" s="14" t="s">
        <v>933</v>
      </c>
      <c r="I18" s="14" t="s">
        <v>933</v>
      </c>
      <c r="J18" s="16" t="s">
        <v>933</v>
      </c>
      <c r="K18" s="16" t="s">
        <v>933</v>
      </c>
      <c r="L18" s="14" t="s">
        <v>933</v>
      </c>
      <c r="M18" s="14" t="s">
        <v>933</v>
      </c>
      <c r="N18" s="16" t="s">
        <v>933</v>
      </c>
      <c r="O18" s="16" t="s">
        <v>1056</v>
      </c>
      <c r="P18" s="16" t="s">
        <v>981</v>
      </c>
      <c r="Q18" s="16" t="s">
        <v>1057</v>
      </c>
      <c r="R18" s="16" t="s">
        <v>933</v>
      </c>
      <c r="S18" s="16" t="s">
        <v>933</v>
      </c>
      <c r="T18" s="14" t="s">
        <v>933</v>
      </c>
      <c r="U18" s="14" t="s">
        <v>933</v>
      </c>
      <c r="V18" s="16" t="s">
        <v>933</v>
      </c>
      <c r="W18" s="14" t="s">
        <v>933</v>
      </c>
      <c r="X18" s="16" t="s">
        <v>933</v>
      </c>
      <c r="Y18" s="14" t="s">
        <v>1026</v>
      </c>
      <c r="Z18" s="14" t="s">
        <v>1030</v>
      </c>
      <c r="AA18" s="14" t="s">
        <v>1030</v>
      </c>
      <c r="AB18" s="14" t="s">
        <v>933</v>
      </c>
      <c r="AC18" s="16" t="s">
        <v>933</v>
      </c>
      <c r="AD18" s="14" t="s">
        <v>933</v>
      </c>
      <c r="AE18" s="12"/>
    </row>
    <row r="19" spans="5:31" ht="39" customHeight="1" x14ac:dyDescent="0.2">
      <c r="E19" s="11">
        <v>6</v>
      </c>
      <c r="F19" s="14" t="s">
        <v>933</v>
      </c>
      <c r="G19" s="14" t="s">
        <v>933</v>
      </c>
      <c r="H19" s="16" t="s">
        <v>933</v>
      </c>
      <c r="I19" s="16" t="s">
        <v>933</v>
      </c>
      <c r="J19" s="16" t="s">
        <v>933</v>
      </c>
      <c r="K19" s="16" t="s">
        <v>933</v>
      </c>
      <c r="L19" s="16" t="s">
        <v>933</v>
      </c>
      <c r="M19" s="14" t="s">
        <v>1056</v>
      </c>
      <c r="N19" s="14" t="s">
        <v>1024</v>
      </c>
      <c r="O19" s="14" t="s">
        <v>1028</v>
      </c>
      <c r="P19" s="14" t="s">
        <v>1028</v>
      </c>
      <c r="Q19" s="16" t="s">
        <v>1028</v>
      </c>
      <c r="R19" s="16" t="s">
        <v>981</v>
      </c>
      <c r="S19" s="16" t="s">
        <v>1057</v>
      </c>
      <c r="T19" s="16" t="s">
        <v>933</v>
      </c>
      <c r="U19" s="14" t="s">
        <v>933</v>
      </c>
      <c r="V19" s="14" t="s">
        <v>933</v>
      </c>
      <c r="W19" s="14" t="s">
        <v>933</v>
      </c>
      <c r="X19" s="16" t="s">
        <v>933</v>
      </c>
      <c r="Y19" s="16" t="s">
        <v>1055</v>
      </c>
      <c r="Z19" s="16" t="s">
        <v>933</v>
      </c>
      <c r="AA19" s="14" t="s">
        <v>933</v>
      </c>
      <c r="AB19" s="14" t="s">
        <v>933</v>
      </c>
      <c r="AC19" s="16" t="s">
        <v>933</v>
      </c>
      <c r="AD19" s="14" t="s">
        <v>933</v>
      </c>
      <c r="AE19" s="12"/>
    </row>
    <row r="20" spans="5:31" ht="39" customHeight="1" x14ac:dyDescent="0.2">
      <c r="E20" s="11">
        <v>7</v>
      </c>
      <c r="F20" s="14" t="s">
        <v>1058</v>
      </c>
      <c r="G20" s="16" t="s">
        <v>981</v>
      </c>
      <c r="H20" s="16" t="s">
        <v>1058</v>
      </c>
      <c r="I20" s="16" t="s">
        <v>933</v>
      </c>
      <c r="J20" s="16" t="s">
        <v>933</v>
      </c>
      <c r="K20" s="16" t="s">
        <v>1056</v>
      </c>
      <c r="L20" s="16" t="s">
        <v>1024</v>
      </c>
      <c r="M20" s="16" t="s">
        <v>1028</v>
      </c>
      <c r="N20" s="16" t="s">
        <v>1028</v>
      </c>
      <c r="O20" s="16" t="s">
        <v>1028</v>
      </c>
      <c r="P20" s="16" t="s">
        <v>1024</v>
      </c>
      <c r="Q20" s="16" t="s">
        <v>1028</v>
      </c>
      <c r="R20" s="16" t="s">
        <v>1028</v>
      </c>
      <c r="S20" s="16" t="s">
        <v>1028</v>
      </c>
      <c r="T20" s="16" t="s">
        <v>981</v>
      </c>
      <c r="U20" s="16" t="s">
        <v>1057</v>
      </c>
      <c r="V20" s="16" t="s">
        <v>933</v>
      </c>
      <c r="W20" s="16" t="s">
        <v>933</v>
      </c>
      <c r="X20" s="16" t="s">
        <v>1056</v>
      </c>
      <c r="Y20" s="16" t="s">
        <v>1026</v>
      </c>
      <c r="Z20" s="16" t="s">
        <v>1030</v>
      </c>
      <c r="AA20" s="16" t="s">
        <v>1030</v>
      </c>
      <c r="AB20" s="16" t="s">
        <v>933</v>
      </c>
      <c r="AC20" s="16" t="s">
        <v>933</v>
      </c>
      <c r="AD20" s="14" t="s">
        <v>933</v>
      </c>
      <c r="AE20" s="12"/>
    </row>
    <row r="21" spans="5:31" ht="39" customHeight="1" x14ac:dyDescent="0.2"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 t="s">
        <v>979</v>
      </c>
      <c r="X21" s="12"/>
      <c r="Y21" s="12" t="s">
        <v>980</v>
      </c>
      <c r="Z21" s="12"/>
      <c r="AA21" s="12"/>
      <c r="AB21" s="12"/>
      <c r="AC21" s="12"/>
      <c r="AD21" s="12"/>
      <c r="AE21" s="12"/>
    </row>
    <row r="23" spans="5:31" ht="39" customHeight="1" x14ac:dyDescent="0.2">
      <c r="E23" s="11"/>
      <c r="F23" s="11">
        <v>0</v>
      </c>
      <c r="G23" s="11">
        <v>1</v>
      </c>
      <c r="H23" s="11">
        <v>2</v>
      </c>
      <c r="I23" s="11">
        <v>3</v>
      </c>
      <c r="J23" s="11">
        <v>4</v>
      </c>
      <c r="K23" s="11" t="s">
        <v>931</v>
      </c>
      <c r="L23" s="11" t="s">
        <v>929</v>
      </c>
      <c r="M23" s="11" t="s">
        <v>930</v>
      </c>
      <c r="N23" s="11" t="s">
        <v>936</v>
      </c>
      <c r="O23" s="11" t="s">
        <v>934</v>
      </c>
      <c r="P23" s="11" t="s">
        <v>935</v>
      </c>
      <c r="Q23" s="11">
        <v>11</v>
      </c>
      <c r="R23" s="11">
        <v>12</v>
      </c>
      <c r="S23" s="11">
        <v>13</v>
      </c>
      <c r="T23" s="11">
        <v>14</v>
      </c>
      <c r="U23" s="11">
        <v>15</v>
      </c>
      <c r="V23" s="11">
        <v>16</v>
      </c>
      <c r="W23" s="11">
        <v>17</v>
      </c>
      <c r="X23" s="11">
        <v>18</v>
      </c>
      <c r="Y23" s="11">
        <v>19</v>
      </c>
      <c r="Z23" s="11">
        <v>20</v>
      </c>
      <c r="AA23" s="11" t="s">
        <v>979</v>
      </c>
      <c r="AB23" s="11">
        <v>22</v>
      </c>
      <c r="AC23" s="11" t="s">
        <v>980</v>
      </c>
      <c r="AD23" s="11">
        <v>24</v>
      </c>
      <c r="AE23" s="12"/>
    </row>
    <row r="24" spans="5:31" ht="39" customHeight="1" x14ac:dyDescent="0.2">
      <c r="E24" s="11">
        <v>0</v>
      </c>
      <c r="F24" t="s">
        <v>932</v>
      </c>
      <c r="G24" t="s">
        <v>932</v>
      </c>
      <c r="H24" t="s">
        <v>932</v>
      </c>
      <c r="I24" t="s">
        <v>932</v>
      </c>
      <c r="J24" t="s">
        <v>1061</v>
      </c>
      <c r="K24" t="s">
        <v>1025</v>
      </c>
      <c r="L24" t="s">
        <v>1029</v>
      </c>
      <c r="M24" t="s">
        <v>1029</v>
      </c>
      <c r="N24" t="s">
        <v>1029</v>
      </c>
      <c r="O24" t="s">
        <v>1025</v>
      </c>
      <c r="P24" t="s">
        <v>1029</v>
      </c>
      <c r="Q24" t="s">
        <v>1029</v>
      </c>
      <c r="R24" t="s">
        <v>1029</v>
      </c>
      <c r="S24" t="s">
        <v>1025</v>
      </c>
      <c r="T24" t="s">
        <v>1029</v>
      </c>
      <c r="U24" t="s">
        <v>1029</v>
      </c>
      <c r="V24" t="s">
        <v>1029</v>
      </c>
      <c r="W24" t="s">
        <v>982</v>
      </c>
      <c r="X24" t="s">
        <v>1062</v>
      </c>
      <c r="Y24" t="s">
        <v>932</v>
      </c>
      <c r="Z24" t="s">
        <v>932</v>
      </c>
      <c r="AA24" t="s">
        <v>932</v>
      </c>
      <c r="AB24" t="s">
        <v>932</v>
      </c>
      <c r="AC24" t="s">
        <v>932</v>
      </c>
      <c r="AD24" t="s">
        <v>932</v>
      </c>
      <c r="AE24" s="12"/>
    </row>
    <row r="25" spans="5:31" ht="39" customHeight="1" x14ac:dyDescent="0.2">
      <c r="E25" s="11">
        <v>1</v>
      </c>
      <c r="F25" t="s">
        <v>932</v>
      </c>
      <c r="G25" t="s">
        <v>932</v>
      </c>
      <c r="H25" t="s">
        <v>932</v>
      </c>
      <c r="I25" t="s">
        <v>932</v>
      </c>
      <c r="J25" t="s">
        <v>1061</v>
      </c>
      <c r="K25" t="s">
        <v>1025</v>
      </c>
      <c r="L25" t="s">
        <v>1029</v>
      </c>
      <c r="M25" t="s">
        <v>1029</v>
      </c>
      <c r="N25" t="s">
        <v>1029</v>
      </c>
      <c r="O25" t="s">
        <v>1025</v>
      </c>
      <c r="P25" t="s">
        <v>1029</v>
      </c>
      <c r="Q25" t="s">
        <v>1029</v>
      </c>
      <c r="R25" t="s">
        <v>1029</v>
      </c>
      <c r="S25" t="s">
        <v>1025</v>
      </c>
      <c r="T25" t="s">
        <v>1029</v>
      </c>
      <c r="U25" t="s">
        <v>1029</v>
      </c>
      <c r="V25" t="s">
        <v>1029</v>
      </c>
      <c r="W25" t="s">
        <v>983</v>
      </c>
      <c r="X25" t="s">
        <v>1062</v>
      </c>
      <c r="Y25" t="s">
        <v>932</v>
      </c>
      <c r="Z25" t="s">
        <v>932</v>
      </c>
      <c r="AA25" t="s">
        <v>932</v>
      </c>
      <c r="AB25" t="s">
        <v>932</v>
      </c>
      <c r="AC25" t="s">
        <v>932</v>
      </c>
      <c r="AD25" t="s">
        <v>932</v>
      </c>
      <c r="AE25" s="12"/>
    </row>
    <row r="26" spans="5:31" ht="39" customHeight="1" x14ac:dyDescent="0.2">
      <c r="E26" s="11">
        <v>2</v>
      </c>
      <c r="F26" t="s">
        <v>932</v>
      </c>
      <c r="G26" t="s">
        <v>932</v>
      </c>
      <c r="H26" t="s">
        <v>932</v>
      </c>
      <c r="I26" t="s">
        <v>932</v>
      </c>
      <c r="J26" t="s">
        <v>932</v>
      </c>
      <c r="K26" t="s">
        <v>932</v>
      </c>
      <c r="L26" t="s">
        <v>932</v>
      </c>
      <c r="M26" t="s">
        <v>932</v>
      </c>
      <c r="N26" t="s">
        <v>932</v>
      </c>
      <c r="O26" t="s">
        <v>932</v>
      </c>
      <c r="P26" t="s">
        <v>1052</v>
      </c>
      <c r="Q26" t="s">
        <v>932</v>
      </c>
      <c r="R26" t="s">
        <v>932</v>
      </c>
      <c r="S26" t="s">
        <v>932</v>
      </c>
      <c r="T26" t="s">
        <v>932</v>
      </c>
      <c r="U26" t="s">
        <v>932</v>
      </c>
      <c r="V26" t="s">
        <v>932</v>
      </c>
      <c r="W26" t="s">
        <v>1052</v>
      </c>
      <c r="X26" t="s">
        <v>932</v>
      </c>
      <c r="Y26" t="s">
        <v>932</v>
      </c>
      <c r="Z26" t="s">
        <v>932</v>
      </c>
      <c r="AA26" t="s">
        <v>932</v>
      </c>
      <c r="AB26" t="s">
        <v>932</v>
      </c>
      <c r="AC26" t="s">
        <v>932</v>
      </c>
      <c r="AD26" t="s">
        <v>932</v>
      </c>
      <c r="AE26" s="12"/>
    </row>
    <row r="27" spans="5:31" ht="39" customHeight="1" x14ac:dyDescent="0.2">
      <c r="E27" s="11">
        <v>3</v>
      </c>
      <c r="F27" t="s">
        <v>932</v>
      </c>
      <c r="G27" t="s">
        <v>932</v>
      </c>
      <c r="H27" t="s">
        <v>932</v>
      </c>
      <c r="I27" t="s">
        <v>932</v>
      </c>
      <c r="J27" t="s">
        <v>932</v>
      </c>
      <c r="K27" t="s">
        <v>932</v>
      </c>
      <c r="L27" t="s">
        <v>932</v>
      </c>
      <c r="M27" t="s">
        <v>932</v>
      </c>
      <c r="N27" t="s">
        <v>932</v>
      </c>
      <c r="O27" t="s">
        <v>932</v>
      </c>
      <c r="P27" t="s">
        <v>1053</v>
      </c>
      <c r="Q27" t="s">
        <v>932</v>
      </c>
      <c r="R27" t="s">
        <v>932</v>
      </c>
      <c r="S27" t="s">
        <v>932</v>
      </c>
      <c r="T27" t="s">
        <v>932</v>
      </c>
      <c r="U27" t="s">
        <v>932</v>
      </c>
      <c r="V27" t="s">
        <v>932</v>
      </c>
      <c r="W27" t="s">
        <v>1053</v>
      </c>
      <c r="X27" t="s">
        <v>932</v>
      </c>
      <c r="Y27" t="s">
        <v>932</v>
      </c>
      <c r="Z27" t="s">
        <v>932</v>
      </c>
      <c r="AA27" t="s">
        <v>932</v>
      </c>
      <c r="AB27" t="s">
        <v>932</v>
      </c>
      <c r="AC27" t="s">
        <v>932</v>
      </c>
      <c r="AD27" t="s">
        <v>932</v>
      </c>
      <c r="AE27" s="12"/>
    </row>
    <row r="28" spans="5:31" ht="39" customHeight="1" x14ac:dyDescent="0.2">
      <c r="E28" s="11">
        <v>4</v>
      </c>
      <c r="F28" t="s">
        <v>932</v>
      </c>
      <c r="G28" t="s">
        <v>932</v>
      </c>
      <c r="H28" t="s">
        <v>932</v>
      </c>
      <c r="I28" t="s">
        <v>932</v>
      </c>
      <c r="J28" t="s">
        <v>932</v>
      </c>
      <c r="K28" t="s">
        <v>932</v>
      </c>
      <c r="L28" t="s">
        <v>932</v>
      </c>
      <c r="M28" t="s">
        <v>932</v>
      </c>
      <c r="N28" t="s">
        <v>932</v>
      </c>
      <c r="O28" t="s">
        <v>932</v>
      </c>
      <c r="P28" t="s">
        <v>1053</v>
      </c>
      <c r="Q28" t="s">
        <v>1025</v>
      </c>
      <c r="R28" t="s">
        <v>1029</v>
      </c>
      <c r="S28" t="s">
        <v>1029</v>
      </c>
      <c r="T28" t="s">
        <v>1029</v>
      </c>
      <c r="U28" t="s">
        <v>1050</v>
      </c>
      <c r="V28" t="s">
        <v>1051</v>
      </c>
      <c r="W28" t="s">
        <v>1053</v>
      </c>
      <c r="X28" t="s">
        <v>932</v>
      </c>
      <c r="Y28" t="s">
        <v>932</v>
      </c>
      <c r="Z28" t="s">
        <v>932</v>
      </c>
      <c r="AA28" t="s">
        <v>932</v>
      </c>
      <c r="AB28" t="s">
        <v>932</v>
      </c>
      <c r="AC28" t="s">
        <v>932</v>
      </c>
      <c r="AD28" t="s">
        <v>932</v>
      </c>
      <c r="AE28" s="12"/>
    </row>
    <row r="29" spans="5:31" ht="39" customHeight="1" x14ac:dyDescent="0.2">
      <c r="E29" s="11">
        <v>5</v>
      </c>
      <c r="F29" t="s">
        <v>932</v>
      </c>
      <c r="G29" t="s">
        <v>932</v>
      </c>
      <c r="H29" t="s">
        <v>932</v>
      </c>
      <c r="I29" t="s">
        <v>932</v>
      </c>
      <c r="J29" t="s">
        <v>1063</v>
      </c>
      <c r="K29" t="s">
        <v>932</v>
      </c>
      <c r="L29" t="s">
        <v>1064</v>
      </c>
      <c r="M29" t="s">
        <v>932</v>
      </c>
      <c r="N29" t="s">
        <v>932</v>
      </c>
      <c r="O29" t="s">
        <v>932</v>
      </c>
      <c r="P29" t="s">
        <v>1053</v>
      </c>
      <c r="Q29" t="s">
        <v>1025</v>
      </c>
      <c r="R29" t="s">
        <v>1029</v>
      </c>
      <c r="S29" t="s">
        <v>1029</v>
      </c>
      <c r="T29" t="s">
        <v>1029</v>
      </c>
      <c r="U29" t="s">
        <v>1050</v>
      </c>
      <c r="V29" t="s">
        <v>1051</v>
      </c>
      <c r="W29" t="s">
        <v>1053</v>
      </c>
      <c r="X29" t="s">
        <v>932</v>
      </c>
      <c r="Y29" t="s">
        <v>932</v>
      </c>
      <c r="Z29" t="s">
        <v>932</v>
      </c>
      <c r="AA29" t="s">
        <v>932</v>
      </c>
      <c r="AB29" t="s">
        <v>932</v>
      </c>
      <c r="AC29" t="s">
        <v>932</v>
      </c>
      <c r="AD29" t="s">
        <v>932</v>
      </c>
      <c r="AE29" s="12"/>
    </row>
    <row r="30" spans="5:31" ht="39" customHeight="1" x14ac:dyDescent="0.2">
      <c r="E30" s="11">
        <v>6</v>
      </c>
      <c r="F30" t="s">
        <v>932</v>
      </c>
      <c r="G30" t="s">
        <v>932</v>
      </c>
      <c r="H30" t="s">
        <v>1050</v>
      </c>
      <c r="I30" t="s">
        <v>1051</v>
      </c>
      <c r="J30" t="s">
        <v>932</v>
      </c>
      <c r="K30" t="s">
        <v>932</v>
      </c>
      <c r="L30" t="s">
        <v>932</v>
      </c>
      <c r="M30" t="s">
        <v>1027</v>
      </c>
      <c r="N30" t="s">
        <v>1031</v>
      </c>
      <c r="O30" t="s">
        <v>1031</v>
      </c>
      <c r="P30" t="s">
        <v>1053</v>
      </c>
      <c r="Q30" t="s">
        <v>932</v>
      </c>
      <c r="R30" t="s">
        <v>932</v>
      </c>
      <c r="S30" t="s">
        <v>932</v>
      </c>
      <c r="T30" t="s">
        <v>932</v>
      </c>
      <c r="U30" t="s">
        <v>932</v>
      </c>
      <c r="V30" t="s">
        <v>932</v>
      </c>
      <c r="W30" t="s">
        <v>1053</v>
      </c>
      <c r="X30" t="s">
        <v>932</v>
      </c>
      <c r="Y30" t="s">
        <v>932</v>
      </c>
      <c r="Z30" t="s">
        <v>932</v>
      </c>
      <c r="AA30" t="s">
        <v>932</v>
      </c>
      <c r="AB30" t="s">
        <v>932</v>
      </c>
      <c r="AC30" t="s">
        <v>932</v>
      </c>
      <c r="AD30" t="s">
        <v>932</v>
      </c>
      <c r="AE30" s="12"/>
    </row>
    <row r="31" spans="5:31" ht="39" customHeight="1" x14ac:dyDescent="0.2">
      <c r="E31" s="11">
        <v>7</v>
      </c>
      <c r="F31" t="s">
        <v>932</v>
      </c>
      <c r="G31" t="s">
        <v>932</v>
      </c>
      <c r="H31" t="s">
        <v>1050</v>
      </c>
      <c r="I31" t="s">
        <v>1051</v>
      </c>
      <c r="J31" t="s">
        <v>932</v>
      </c>
      <c r="K31" t="s">
        <v>932</v>
      </c>
      <c r="L31" t="s">
        <v>932</v>
      </c>
      <c r="M31" t="s">
        <v>1027</v>
      </c>
      <c r="N31" t="s">
        <v>1031</v>
      </c>
      <c r="O31" t="s">
        <v>1031</v>
      </c>
      <c r="P31" t="s">
        <v>1053</v>
      </c>
      <c r="Q31" t="s">
        <v>932</v>
      </c>
      <c r="R31" t="s">
        <v>932</v>
      </c>
      <c r="S31" t="s">
        <v>932</v>
      </c>
      <c r="T31" t="s">
        <v>932</v>
      </c>
      <c r="U31" t="s">
        <v>932</v>
      </c>
      <c r="V31" t="s">
        <v>932</v>
      </c>
      <c r="W31" t="s">
        <v>1053</v>
      </c>
      <c r="X31" t="s">
        <v>932</v>
      </c>
      <c r="Y31" t="s">
        <v>932</v>
      </c>
      <c r="Z31" t="s">
        <v>932</v>
      </c>
      <c r="AA31" t="s">
        <v>932</v>
      </c>
      <c r="AB31" t="s">
        <v>932</v>
      </c>
      <c r="AC31" t="s">
        <v>932</v>
      </c>
      <c r="AD31" t="s">
        <v>932</v>
      </c>
      <c r="AE31" s="12"/>
    </row>
    <row r="32" spans="5:31" ht="39" customHeight="1" x14ac:dyDescent="0.2">
      <c r="E32" s="11">
        <v>8</v>
      </c>
      <c r="F32" t="s">
        <v>932</v>
      </c>
      <c r="G32" t="s">
        <v>932</v>
      </c>
      <c r="H32" t="s">
        <v>932</v>
      </c>
      <c r="I32" t="s">
        <v>932</v>
      </c>
      <c r="J32" t="s">
        <v>932</v>
      </c>
      <c r="K32" t="s">
        <v>932</v>
      </c>
      <c r="L32" t="s">
        <v>932</v>
      </c>
      <c r="M32" t="s">
        <v>932</v>
      </c>
      <c r="N32" t="s">
        <v>932</v>
      </c>
      <c r="O32" t="s">
        <v>932</v>
      </c>
      <c r="P32" t="s">
        <v>1053</v>
      </c>
      <c r="Q32" t="s">
        <v>932</v>
      </c>
      <c r="R32" t="s">
        <v>932</v>
      </c>
      <c r="S32" t="s">
        <v>932</v>
      </c>
      <c r="T32" t="s">
        <v>932</v>
      </c>
      <c r="U32" t="s">
        <v>932</v>
      </c>
      <c r="V32" t="s">
        <v>932</v>
      </c>
      <c r="W32" t="s">
        <v>1053</v>
      </c>
      <c r="X32" t="s">
        <v>932</v>
      </c>
      <c r="Y32" t="s">
        <v>932</v>
      </c>
      <c r="Z32" t="s">
        <v>932</v>
      </c>
      <c r="AA32" t="s">
        <v>932</v>
      </c>
      <c r="AB32" t="s">
        <v>932</v>
      </c>
      <c r="AC32" t="s">
        <v>932</v>
      </c>
      <c r="AD32" t="s">
        <v>932</v>
      </c>
      <c r="AE32" s="12"/>
    </row>
    <row r="33" spans="5:31" ht="39" customHeight="1" x14ac:dyDescent="0.2">
      <c r="E33" s="11">
        <v>9</v>
      </c>
      <c r="F33" t="s">
        <v>932</v>
      </c>
      <c r="G33" t="s">
        <v>932</v>
      </c>
      <c r="H33" t="s">
        <v>932</v>
      </c>
      <c r="I33" t="s">
        <v>932</v>
      </c>
      <c r="J33" t="s">
        <v>932</v>
      </c>
      <c r="K33" t="s">
        <v>932</v>
      </c>
      <c r="L33" t="s">
        <v>932</v>
      </c>
      <c r="M33" t="s">
        <v>932</v>
      </c>
      <c r="N33" t="s">
        <v>932</v>
      </c>
      <c r="O33" t="s">
        <v>932</v>
      </c>
      <c r="P33" t="s">
        <v>1054</v>
      </c>
      <c r="Q33" t="s">
        <v>932</v>
      </c>
      <c r="R33" t="s">
        <v>932</v>
      </c>
      <c r="S33" t="s">
        <v>932</v>
      </c>
      <c r="T33" t="s">
        <v>932</v>
      </c>
      <c r="U33" t="s">
        <v>932</v>
      </c>
      <c r="V33" t="s">
        <v>932</v>
      </c>
      <c r="W33" t="s">
        <v>1054</v>
      </c>
      <c r="X33" t="s">
        <v>932</v>
      </c>
      <c r="Y33" t="s">
        <v>932</v>
      </c>
      <c r="Z33" t="s">
        <v>932</v>
      </c>
      <c r="AA33" t="s">
        <v>932</v>
      </c>
      <c r="AB33" t="s">
        <v>932</v>
      </c>
      <c r="AC33" t="s">
        <v>932</v>
      </c>
      <c r="AD33" t="s">
        <v>932</v>
      </c>
      <c r="AE33" s="12"/>
    </row>
    <row r="34" spans="5:31" ht="39" customHeight="1" x14ac:dyDescent="0.2">
      <c r="E34" s="11">
        <v>10</v>
      </c>
      <c r="F34" t="s">
        <v>932</v>
      </c>
      <c r="G34" t="s">
        <v>932</v>
      </c>
      <c r="H34" t="s">
        <v>932</v>
      </c>
      <c r="I34" t="s">
        <v>932</v>
      </c>
      <c r="J34" t="s">
        <v>932</v>
      </c>
      <c r="K34" t="s">
        <v>932</v>
      </c>
      <c r="L34" t="s">
        <v>932</v>
      </c>
      <c r="M34" t="s">
        <v>932</v>
      </c>
      <c r="N34" t="s">
        <v>932</v>
      </c>
      <c r="O34" t="s">
        <v>1065</v>
      </c>
      <c r="P34" t="s">
        <v>982</v>
      </c>
      <c r="Q34" t="s">
        <v>1067</v>
      </c>
      <c r="R34" t="s">
        <v>932</v>
      </c>
      <c r="S34" t="s">
        <v>932</v>
      </c>
      <c r="T34" t="s">
        <v>932</v>
      </c>
      <c r="U34" t="s">
        <v>932</v>
      </c>
      <c r="V34" t="s">
        <v>932</v>
      </c>
      <c r="W34" t="s">
        <v>932</v>
      </c>
      <c r="X34" t="s">
        <v>932</v>
      </c>
      <c r="Y34" t="s">
        <v>1027</v>
      </c>
      <c r="Z34" t="s">
        <v>1031</v>
      </c>
      <c r="AA34" t="s">
        <v>1031</v>
      </c>
      <c r="AB34" t="s">
        <v>932</v>
      </c>
      <c r="AC34" t="s">
        <v>932</v>
      </c>
      <c r="AD34" t="s">
        <v>932</v>
      </c>
      <c r="AE34" s="12"/>
    </row>
    <row r="35" spans="5:31" ht="39" customHeight="1" x14ac:dyDescent="0.2">
      <c r="E35" s="11">
        <v>11</v>
      </c>
      <c r="F35" t="s">
        <v>932</v>
      </c>
      <c r="G35" t="s">
        <v>932</v>
      </c>
      <c r="H35" t="s">
        <v>932</v>
      </c>
      <c r="I35" t="s">
        <v>932</v>
      </c>
      <c r="J35" t="s">
        <v>932</v>
      </c>
      <c r="K35" t="s">
        <v>932</v>
      </c>
      <c r="L35" t="s">
        <v>932</v>
      </c>
      <c r="M35" t="s">
        <v>932</v>
      </c>
      <c r="N35" t="s">
        <v>932</v>
      </c>
      <c r="O35" t="s">
        <v>1066</v>
      </c>
      <c r="P35" t="s">
        <v>983</v>
      </c>
      <c r="Q35" t="s">
        <v>1068</v>
      </c>
      <c r="R35" t="s">
        <v>932</v>
      </c>
      <c r="S35" t="s">
        <v>932</v>
      </c>
      <c r="T35" t="s">
        <v>932</v>
      </c>
      <c r="U35" t="s">
        <v>932</v>
      </c>
      <c r="V35" t="s">
        <v>932</v>
      </c>
      <c r="W35" t="s">
        <v>932</v>
      </c>
      <c r="X35" t="s">
        <v>932</v>
      </c>
      <c r="Y35" t="s">
        <v>1027</v>
      </c>
      <c r="Z35" t="s">
        <v>1031</v>
      </c>
      <c r="AA35" t="s">
        <v>1031</v>
      </c>
      <c r="AB35" t="s">
        <v>932</v>
      </c>
      <c r="AC35" t="s">
        <v>932</v>
      </c>
      <c r="AD35" t="s">
        <v>932</v>
      </c>
      <c r="AE35" s="12"/>
    </row>
    <row r="36" spans="5:31" ht="39" customHeight="1" x14ac:dyDescent="0.2">
      <c r="E36" s="11">
        <v>12</v>
      </c>
      <c r="F36" t="s">
        <v>932</v>
      </c>
      <c r="G36" t="s">
        <v>932</v>
      </c>
      <c r="H36" t="s">
        <v>932</v>
      </c>
      <c r="I36" t="s">
        <v>932</v>
      </c>
      <c r="J36" t="s">
        <v>932</v>
      </c>
      <c r="K36" t="s">
        <v>932</v>
      </c>
      <c r="L36" t="s">
        <v>932</v>
      </c>
      <c r="M36" t="s">
        <v>1065</v>
      </c>
      <c r="N36" t="s">
        <v>1025</v>
      </c>
      <c r="O36" t="s">
        <v>1029</v>
      </c>
      <c r="P36" t="s">
        <v>1029</v>
      </c>
      <c r="Q36" t="s">
        <v>1029</v>
      </c>
      <c r="R36" t="s">
        <v>982</v>
      </c>
      <c r="S36" t="s">
        <v>1067</v>
      </c>
      <c r="T36" t="s">
        <v>932</v>
      </c>
      <c r="U36" t="s">
        <v>932</v>
      </c>
      <c r="V36" t="s">
        <v>932</v>
      </c>
      <c r="W36" t="s">
        <v>932</v>
      </c>
      <c r="X36" t="s">
        <v>932</v>
      </c>
      <c r="Y36" t="s">
        <v>1069</v>
      </c>
      <c r="Z36" t="s">
        <v>932</v>
      </c>
      <c r="AA36" t="s">
        <v>932</v>
      </c>
      <c r="AB36" t="s">
        <v>932</v>
      </c>
      <c r="AC36" t="s">
        <v>932</v>
      </c>
      <c r="AD36" t="s">
        <v>932</v>
      </c>
      <c r="AE36" s="12"/>
    </row>
    <row r="37" spans="5:31" ht="39" customHeight="1" x14ac:dyDescent="0.2">
      <c r="E37" s="11">
        <v>13</v>
      </c>
      <c r="F37" t="s">
        <v>932</v>
      </c>
      <c r="G37" t="s">
        <v>932</v>
      </c>
      <c r="H37" t="s">
        <v>932</v>
      </c>
      <c r="I37" t="s">
        <v>932</v>
      </c>
      <c r="J37" t="s">
        <v>932</v>
      </c>
      <c r="K37" t="s">
        <v>932</v>
      </c>
      <c r="L37" t="s">
        <v>932</v>
      </c>
      <c r="M37" t="s">
        <v>1066</v>
      </c>
      <c r="N37" t="s">
        <v>1025</v>
      </c>
      <c r="O37" t="s">
        <v>1029</v>
      </c>
      <c r="P37" t="s">
        <v>1029</v>
      </c>
      <c r="Q37" t="s">
        <v>1029</v>
      </c>
      <c r="R37" t="s">
        <v>983</v>
      </c>
      <c r="S37" t="s">
        <v>1068</v>
      </c>
      <c r="T37" t="s">
        <v>932</v>
      </c>
      <c r="U37" t="s">
        <v>932</v>
      </c>
      <c r="V37" t="s">
        <v>932</v>
      </c>
      <c r="W37" t="s">
        <v>932</v>
      </c>
      <c r="X37" t="s">
        <v>932</v>
      </c>
      <c r="Y37" t="s">
        <v>1069</v>
      </c>
      <c r="Z37" t="s">
        <v>932</v>
      </c>
      <c r="AA37" t="s">
        <v>932</v>
      </c>
      <c r="AB37" t="s">
        <v>932</v>
      </c>
      <c r="AC37" t="s">
        <v>932</v>
      </c>
      <c r="AD37" t="s">
        <v>932</v>
      </c>
      <c r="AE37" s="12"/>
    </row>
    <row r="38" spans="5:31" ht="39" customHeight="1" x14ac:dyDescent="0.2">
      <c r="E38" s="11">
        <v>14</v>
      </c>
      <c r="F38" t="s">
        <v>932</v>
      </c>
      <c r="G38" t="s">
        <v>982</v>
      </c>
      <c r="H38" t="s">
        <v>932</v>
      </c>
      <c r="I38" t="s">
        <v>932</v>
      </c>
      <c r="J38" t="s">
        <v>932</v>
      </c>
      <c r="K38" t="s">
        <v>1065</v>
      </c>
      <c r="L38" t="s">
        <v>1025</v>
      </c>
      <c r="M38" t="s">
        <v>1029</v>
      </c>
      <c r="N38" t="s">
        <v>1029</v>
      </c>
      <c r="O38" t="s">
        <v>1029</v>
      </c>
      <c r="P38" t="s">
        <v>1025</v>
      </c>
      <c r="Q38" t="s">
        <v>1029</v>
      </c>
      <c r="R38" t="s">
        <v>1029</v>
      </c>
      <c r="S38" t="s">
        <v>1029</v>
      </c>
      <c r="T38" t="s">
        <v>982</v>
      </c>
      <c r="U38" t="s">
        <v>1067</v>
      </c>
      <c r="V38" t="s">
        <v>932</v>
      </c>
      <c r="W38" t="s">
        <v>932</v>
      </c>
      <c r="X38" t="s">
        <v>1065</v>
      </c>
      <c r="Y38" t="s">
        <v>1027</v>
      </c>
      <c r="Z38" t="s">
        <v>1031</v>
      </c>
      <c r="AA38" t="s">
        <v>1031</v>
      </c>
      <c r="AB38" t="s">
        <v>932</v>
      </c>
      <c r="AC38" t="s">
        <v>932</v>
      </c>
      <c r="AD38" t="s">
        <v>932</v>
      </c>
      <c r="AE38" s="12"/>
    </row>
    <row r="39" spans="5:31" ht="39" customHeight="1" x14ac:dyDescent="0.2">
      <c r="E39" s="11">
        <v>15</v>
      </c>
      <c r="F39" t="s">
        <v>982</v>
      </c>
      <c r="G39" t="s">
        <v>983</v>
      </c>
      <c r="H39" t="s">
        <v>982</v>
      </c>
      <c r="I39" t="s">
        <v>932</v>
      </c>
      <c r="J39" t="s">
        <v>932</v>
      </c>
      <c r="K39" t="s">
        <v>1066</v>
      </c>
      <c r="L39" t="s">
        <v>1025</v>
      </c>
      <c r="M39" t="s">
        <v>1029</v>
      </c>
      <c r="N39" t="s">
        <v>1029</v>
      </c>
      <c r="O39" t="s">
        <v>1029</v>
      </c>
      <c r="P39" t="s">
        <v>1025</v>
      </c>
      <c r="Q39" t="s">
        <v>1029</v>
      </c>
      <c r="R39" t="s">
        <v>1029</v>
      </c>
      <c r="S39" t="s">
        <v>1029</v>
      </c>
      <c r="T39" t="s">
        <v>983</v>
      </c>
      <c r="U39" t="s">
        <v>1068</v>
      </c>
      <c r="V39" t="s">
        <v>932</v>
      </c>
      <c r="W39" t="s">
        <v>932</v>
      </c>
      <c r="X39" t="s">
        <v>1066</v>
      </c>
      <c r="Y39" t="s">
        <v>1027</v>
      </c>
      <c r="Z39" t="s">
        <v>1031</v>
      </c>
      <c r="AA39" t="s">
        <v>1031</v>
      </c>
      <c r="AB39" t="s">
        <v>932</v>
      </c>
      <c r="AC39" t="s">
        <v>932</v>
      </c>
      <c r="AD39" t="s">
        <v>932</v>
      </c>
      <c r="AE39" s="12"/>
    </row>
    <row r="40" spans="5:31" ht="39" customHeight="1" x14ac:dyDescent="0.2"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A31D-4C97-AD45-A228-2A94A1C41CE1}">
  <sheetPr codeName="Sheet1"/>
  <dimension ref="A1:Q1157"/>
  <sheetViews>
    <sheetView tabSelected="1" workbookViewId="0">
      <pane ySplit="1" topLeftCell="A1104" activePane="bottomLeft" state="frozen"/>
      <selection pane="bottomLeft" activeCell="B1160" sqref="B1160"/>
    </sheetView>
  </sheetViews>
  <sheetFormatPr baseColWidth="10" defaultRowHeight="16" x14ac:dyDescent="0.2"/>
  <cols>
    <col min="2" max="2" width="39.5" customWidth="1"/>
    <col min="9" max="9" width="25.83203125" customWidth="1"/>
  </cols>
  <sheetData>
    <row r="1" spans="1:16" x14ac:dyDescent="0.2">
      <c r="C1" t="s">
        <v>1</v>
      </c>
      <c r="D1" t="s">
        <v>199</v>
      </c>
      <c r="E1" t="s">
        <v>2</v>
      </c>
      <c r="F1" t="s">
        <v>3</v>
      </c>
      <c r="G1" t="s">
        <v>4</v>
      </c>
    </row>
    <row r="2" spans="1:16" x14ac:dyDescent="0.2">
      <c r="A2">
        <v>0</v>
      </c>
      <c r="B2" s="1" t="s">
        <v>43</v>
      </c>
      <c r="C2">
        <v>0</v>
      </c>
      <c r="D2">
        <v>0</v>
      </c>
      <c r="E2">
        <v>0</v>
      </c>
      <c r="F2">
        <v>0</v>
      </c>
      <c r="G2">
        <v>0</v>
      </c>
      <c r="H2">
        <f>_xlfn.XLOOKUP(I2,$B$2:$B$1096,$A$2:$A$1096,65535)</f>
        <v>65535</v>
      </c>
      <c r="P2" t="str">
        <f>_xlfn.CONCAT(D2,", ",E2,", ",F2,", ",G2)</f>
        <v>0, 0, 0, 0</v>
      </c>
    </row>
    <row r="3" spans="1:16" x14ac:dyDescent="0.2">
      <c r="A3">
        <f>A2+1</f>
        <v>1</v>
      </c>
      <c r="B3" s="1" t="s">
        <v>44</v>
      </c>
      <c r="C3">
        <v>1</v>
      </c>
      <c r="D3">
        <v>0</v>
      </c>
      <c r="E3">
        <v>0</v>
      </c>
      <c r="F3">
        <v>0</v>
      </c>
      <c r="G3">
        <v>0</v>
      </c>
      <c r="H3">
        <f>_xlfn.XLOOKUP(I3,$B$2:$B$1096,$A$2:$A$1096,65535)</f>
        <v>65535</v>
      </c>
      <c r="P3" t="str">
        <f t="shared" ref="P3:P66" si="0">_xlfn.CONCAT(D3,", ",E3,", ",F3,", ",G3)</f>
        <v>0, 0, 0, 0</v>
      </c>
    </row>
    <row r="4" spans="1:16" x14ac:dyDescent="0.2">
      <c r="A4">
        <f t="shared" ref="A4:A67" si="1">A3+1</f>
        <v>2</v>
      </c>
      <c r="B4" s="1" t="s">
        <v>45</v>
      </c>
      <c r="C4">
        <v>2</v>
      </c>
      <c r="D4">
        <v>0</v>
      </c>
      <c r="E4">
        <v>0</v>
      </c>
      <c r="F4">
        <v>0</v>
      </c>
      <c r="G4">
        <v>0</v>
      </c>
      <c r="H4">
        <f>_xlfn.XLOOKUP(I4,$B$2:$B$1096,$A$2:$A$1096,65535)</f>
        <v>65535</v>
      </c>
      <c r="P4" t="str">
        <f t="shared" si="0"/>
        <v>0, 0, 0, 0</v>
      </c>
    </row>
    <row r="5" spans="1:16" x14ac:dyDescent="0.2">
      <c r="A5">
        <f t="shared" si="1"/>
        <v>3</v>
      </c>
      <c r="B5" s="1" t="s">
        <v>46</v>
      </c>
      <c r="C5">
        <v>3</v>
      </c>
      <c r="D5">
        <v>0</v>
      </c>
      <c r="E5">
        <v>0</v>
      </c>
      <c r="F5">
        <v>0</v>
      </c>
      <c r="G5">
        <v>0</v>
      </c>
      <c r="H5">
        <f>_xlfn.XLOOKUP(I5,$B$2:$B$1096,$A$2:$A$1096,65535)</f>
        <v>65535</v>
      </c>
      <c r="P5" t="str">
        <f t="shared" si="0"/>
        <v>0, 0, 0, 0</v>
      </c>
    </row>
    <row r="6" spans="1:16" x14ac:dyDescent="0.2">
      <c r="A6">
        <f t="shared" si="1"/>
        <v>4</v>
      </c>
      <c r="B6" s="1" t="s">
        <v>47</v>
      </c>
      <c r="C6">
        <v>3</v>
      </c>
      <c r="D6">
        <v>0</v>
      </c>
      <c r="E6">
        <v>0</v>
      </c>
      <c r="F6">
        <v>0</v>
      </c>
      <c r="G6">
        <v>0</v>
      </c>
      <c r="H6">
        <f>_xlfn.XLOOKUP(I6,$B$2:$B$1096,$A$2:$A$1096,65535)</f>
        <v>65535</v>
      </c>
      <c r="P6" t="str">
        <f t="shared" si="0"/>
        <v>0, 0, 0, 0</v>
      </c>
    </row>
    <row r="7" spans="1:16" x14ac:dyDescent="0.2">
      <c r="A7">
        <f t="shared" si="1"/>
        <v>5</v>
      </c>
      <c r="B7" s="1" t="s">
        <v>48</v>
      </c>
      <c r="C7">
        <v>0</v>
      </c>
      <c r="D7">
        <v>4</v>
      </c>
      <c r="E7">
        <v>0</v>
      </c>
      <c r="F7">
        <v>0</v>
      </c>
      <c r="G7">
        <v>0</v>
      </c>
      <c r="H7">
        <f>_xlfn.XLOOKUP(I7,$B$2:$B$1096,$A$2:$A$1096,65535)</f>
        <v>65535</v>
      </c>
      <c r="P7" t="str">
        <f t="shared" si="0"/>
        <v>4, 0, 0, 0</v>
      </c>
    </row>
    <row r="8" spans="1:16" x14ac:dyDescent="0.2">
      <c r="A8">
        <f t="shared" si="1"/>
        <v>6</v>
      </c>
      <c r="B8" s="1" t="s">
        <v>49</v>
      </c>
      <c r="C8">
        <v>0</v>
      </c>
      <c r="D8">
        <v>3</v>
      </c>
      <c r="E8">
        <v>0</v>
      </c>
      <c r="F8">
        <v>0</v>
      </c>
      <c r="G8">
        <v>0</v>
      </c>
      <c r="H8">
        <f>_xlfn.XLOOKUP(I8,$B$2:$B$1096,$A$2:$A$1096,65535)</f>
        <v>65535</v>
      </c>
      <c r="P8" t="str">
        <f t="shared" si="0"/>
        <v>3, 0, 0, 0</v>
      </c>
    </row>
    <row r="9" spans="1:16" x14ac:dyDescent="0.2">
      <c r="A9">
        <f t="shared" si="1"/>
        <v>7</v>
      </c>
      <c r="B9" s="1" t="s">
        <v>50</v>
      </c>
      <c r="C9">
        <v>0</v>
      </c>
      <c r="D9">
        <v>2</v>
      </c>
      <c r="E9">
        <v>0</v>
      </c>
      <c r="F9">
        <v>0</v>
      </c>
      <c r="G9">
        <v>0</v>
      </c>
      <c r="H9">
        <f>_xlfn.XLOOKUP(I9,$B$2:$B$1096,$A$2:$A$1096,65535)</f>
        <v>65535</v>
      </c>
      <c r="P9" t="str">
        <f t="shared" si="0"/>
        <v>2, 0, 0, 0</v>
      </c>
    </row>
    <row r="10" spans="1:16" x14ac:dyDescent="0.2">
      <c r="A10">
        <f t="shared" si="1"/>
        <v>8</v>
      </c>
      <c r="B10" s="1" t="s">
        <v>51</v>
      </c>
      <c r="C10">
        <v>0</v>
      </c>
      <c r="D10">
        <v>-2</v>
      </c>
      <c r="E10">
        <v>0</v>
      </c>
      <c r="F10">
        <v>0</v>
      </c>
      <c r="G10">
        <v>0</v>
      </c>
      <c r="H10">
        <f>_xlfn.XLOOKUP(I10,$B$2:$B$1096,$A$2:$A$1096,65535)</f>
        <v>65535</v>
      </c>
      <c r="P10" t="str">
        <f t="shared" si="0"/>
        <v>-2, 0, 0, 0</v>
      </c>
    </row>
    <row r="11" spans="1:16" x14ac:dyDescent="0.2">
      <c r="A11">
        <f t="shared" si="1"/>
        <v>9</v>
      </c>
      <c r="B11" s="1" t="s">
        <v>52</v>
      </c>
      <c r="C11">
        <v>1</v>
      </c>
      <c r="D11">
        <v>-3</v>
      </c>
      <c r="E11">
        <v>0</v>
      </c>
      <c r="F11">
        <v>0</v>
      </c>
      <c r="G11">
        <v>0</v>
      </c>
      <c r="H11">
        <f>_xlfn.XLOOKUP(I11,$B$2:$B$1096,$A$2:$A$1096,65535)</f>
        <v>65535</v>
      </c>
      <c r="P11" t="str">
        <f t="shared" si="0"/>
        <v>-3, 0, 0, 0</v>
      </c>
    </row>
    <row r="12" spans="1:16" x14ac:dyDescent="0.2">
      <c r="A12">
        <f t="shared" si="1"/>
        <v>10</v>
      </c>
      <c r="B12" s="1" t="s">
        <v>53</v>
      </c>
      <c r="C12">
        <v>0</v>
      </c>
      <c r="D12">
        <v>-4</v>
      </c>
      <c r="E12">
        <v>0</v>
      </c>
      <c r="F12">
        <v>0</v>
      </c>
      <c r="G12">
        <v>0</v>
      </c>
      <c r="H12">
        <f>_xlfn.XLOOKUP(I12,$B$2:$B$1096,$A$2:$A$1096,65535)</f>
        <v>65535</v>
      </c>
      <c r="P12" t="str">
        <f t="shared" si="0"/>
        <v>-4, 0, 0, 0</v>
      </c>
    </row>
    <row r="13" spans="1:16" x14ac:dyDescent="0.2">
      <c r="A13">
        <f t="shared" si="1"/>
        <v>11</v>
      </c>
      <c r="B13" s="1" t="s">
        <v>158</v>
      </c>
      <c r="C13">
        <v>3</v>
      </c>
      <c r="D13">
        <v>0</v>
      </c>
      <c r="E13">
        <v>0</v>
      </c>
      <c r="F13">
        <v>0</v>
      </c>
      <c r="G13">
        <v>0</v>
      </c>
      <c r="H13">
        <f>_xlfn.XLOOKUP(I13,$B$2:$B$1096,$A$2:$A$1096,65535)</f>
        <v>65535</v>
      </c>
      <c r="P13" t="str">
        <f t="shared" si="0"/>
        <v>0, 0, 0, 0</v>
      </c>
    </row>
    <row r="14" spans="1:16" x14ac:dyDescent="0.2">
      <c r="A14">
        <f t="shared" si="1"/>
        <v>12</v>
      </c>
      <c r="B14" s="1" t="s">
        <v>54</v>
      </c>
      <c r="C14">
        <v>0</v>
      </c>
      <c r="D14">
        <v>4</v>
      </c>
      <c r="E14">
        <v>0</v>
      </c>
      <c r="F14">
        <v>0</v>
      </c>
      <c r="G14">
        <v>0</v>
      </c>
      <c r="H14">
        <f>_xlfn.XLOOKUP(I14,$B$2:$B$1096,$A$2:$A$1096,65535)</f>
        <v>65535</v>
      </c>
      <c r="P14" t="str">
        <f t="shared" si="0"/>
        <v>4, 0, 0, 0</v>
      </c>
    </row>
    <row r="15" spans="1:16" x14ac:dyDescent="0.2">
      <c r="A15">
        <f t="shared" si="1"/>
        <v>13</v>
      </c>
      <c r="B15" s="1" t="s">
        <v>55</v>
      </c>
      <c r="C15">
        <v>0</v>
      </c>
      <c r="D15">
        <v>3</v>
      </c>
      <c r="E15">
        <v>0</v>
      </c>
      <c r="F15">
        <v>0</v>
      </c>
      <c r="G15">
        <v>0</v>
      </c>
      <c r="H15">
        <f>_xlfn.XLOOKUP(I15,$B$2:$B$1096,$A$2:$A$1096,65535)</f>
        <v>65535</v>
      </c>
      <c r="P15" t="str">
        <f t="shared" si="0"/>
        <v>3, 0, 0, 0</v>
      </c>
    </row>
    <row r="16" spans="1:16" x14ac:dyDescent="0.2">
      <c r="A16">
        <f t="shared" si="1"/>
        <v>14</v>
      </c>
      <c r="B16" s="1" t="s">
        <v>56</v>
      </c>
      <c r="C16">
        <v>0</v>
      </c>
      <c r="D16">
        <v>2</v>
      </c>
      <c r="E16">
        <v>0</v>
      </c>
      <c r="F16">
        <v>0</v>
      </c>
      <c r="G16">
        <v>0</v>
      </c>
      <c r="H16">
        <f>_xlfn.XLOOKUP(I16,$B$2:$B$1096,$A$2:$A$1096,65535)</f>
        <v>65535</v>
      </c>
      <c r="P16" t="str">
        <f t="shared" si="0"/>
        <v>2, 0, 0, 0</v>
      </c>
    </row>
    <row r="17" spans="1:16" x14ac:dyDescent="0.2">
      <c r="A17">
        <f t="shared" si="1"/>
        <v>15</v>
      </c>
      <c r="B17" s="1" t="s">
        <v>57</v>
      </c>
      <c r="C17">
        <v>0</v>
      </c>
      <c r="D17">
        <v>-1</v>
      </c>
      <c r="E17">
        <v>0</v>
      </c>
      <c r="F17">
        <v>0</v>
      </c>
      <c r="G17">
        <v>0</v>
      </c>
      <c r="H17">
        <f>_xlfn.XLOOKUP(I17,$B$2:$B$1096,$A$2:$A$1096,65535)</f>
        <v>65535</v>
      </c>
      <c r="P17" t="str">
        <f t="shared" si="0"/>
        <v>-1, 0, 0, 0</v>
      </c>
    </row>
    <row r="18" spans="1:16" x14ac:dyDescent="0.2">
      <c r="A18">
        <f t="shared" si="1"/>
        <v>16</v>
      </c>
      <c r="B18" s="1" t="s">
        <v>58</v>
      </c>
      <c r="C18">
        <v>255</v>
      </c>
      <c r="D18">
        <v>255</v>
      </c>
      <c r="E18">
        <v>0</v>
      </c>
      <c r="F18">
        <v>0</v>
      </c>
      <c r="G18">
        <v>0</v>
      </c>
      <c r="H18">
        <f>_xlfn.XLOOKUP(I18,$B$2:$B$1096,$A$2:$A$1096,65535)</f>
        <v>65535</v>
      </c>
      <c r="P18" t="str">
        <f t="shared" si="0"/>
        <v>255, 0, 0, 0</v>
      </c>
    </row>
    <row r="19" spans="1:16" ht="38" customHeight="1" x14ac:dyDescent="0.2">
      <c r="A19">
        <f t="shared" si="1"/>
        <v>17</v>
      </c>
      <c r="B19" s="1" t="s">
        <v>200</v>
      </c>
      <c r="C19">
        <v>5</v>
      </c>
      <c r="D19">
        <v>0</v>
      </c>
      <c r="E19">
        <v>-5</v>
      </c>
      <c r="F19">
        <v>-2</v>
      </c>
      <c r="G19">
        <v>-1</v>
      </c>
      <c r="H19">
        <f>_xlfn.XLOOKUP(I19,$B$2:$B$1096,$A$2:$A$1096,65535)</f>
        <v>65535</v>
      </c>
      <c r="J19">
        <f>C19-C55</f>
        <v>-8</v>
      </c>
      <c r="K19">
        <f>D19-D55</f>
        <v>0</v>
      </c>
      <c r="L19">
        <f>E19+E55</f>
        <v>0</v>
      </c>
      <c r="M19">
        <f>F19+F55</f>
        <v>0</v>
      </c>
      <c r="N19">
        <f>G19+G55</f>
        <v>0</v>
      </c>
      <c r="P19" t="str">
        <f t="shared" si="0"/>
        <v>0, -5, -2, -1</v>
      </c>
    </row>
    <row r="20" spans="1:16" x14ac:dyDescent="0.2">
      <c r="A20">
        <f t="shared" si="1"/>
        <v>18</v>
      </c>
      <c r="B20" s="1" t="s">
        <v>201</v>
      </c>
      <c r="C20">
        <v>6</v>
      </c>
      <c r="D20">
        <v>0</v>
      </c>
      <c r="E20">
        <v>-5</v>
      </c>
      <c r="F20">
        <v>-2</v>
      </c>
      <c r="G20">
        <v>-1</v>
      </c>
      <c r="H20">
        <f>_xlfn.XLOOKUP(I20,$B$2:$B$1096,$A$2:$A$1096,65535)</f>
        <v>65535</v>
      </c>
      <c r="J20">
        <f t="shared" ref="J20:K20" si="2">C20-C56</f>
        <v>-8</v>
      </c>
      <c r="K20">
        <f t="shared" si="2"/>
        <v>0</v>
      </c>
      <c r="L20">
        <f t="shared" ref="L20:N20" si="3">E20+E56</f>
        <v>0</v>
      </c>
      <c r="M20">
        <f t="shared" si="3"/>
        <v>0</v>
      </c>
      <c r="N20">
        <f t="shared" si="3"/>
        <v>0</v>
      </c>
      <c r="P20" t="str">
        <f t="shared" si="0"/>
        <v>0, -5, -2, -1</v>
      </c>
    </row>
    <row r="21" spans="1:16" x14ac:dyDescent="0.2">
      <c r="A21">
        <f t="shared" si="1"/>
        <v>19</v>
      </c>
      <c r="B21" s="1" t="s">
        <v>202</v>
      </c>
      <c r="C21">
        <v>5</v>
      </c>
      <c r="D21">
        <v>0</v>
      </c>
      <c r="E21">
        <v>0</v>
      </c>
      <c r="F21">
        <v>0</v>
      </c>
      <c r="G21">
        <v>0</v>
      </c>
      <c r="H21">
        <f>_xlfn.XLOOKUP(I21,$B$2:$B$1096,$A$2:$A$1096,65535)</f>
        <v>65535</v>
      </c>
      <c r="J21">
        <f t="shared" ref="J21:K21" si="4">C21-C57</f>
        <v>-8</v>
      </c>
      <c r="K21">
        <f t="shared" si="4"/>
        <v>0</v>
      </c>
      <c r="L21">
        <f t="shared" ref="L21:N21" si="5">E21+E57</f>
        <v>0</v>
      </c>
      <c r="M21">
        <f t="shared" si="5"/>
        <v>0</v>
      </c>
      <c r="N21">
        <f t="shared" si="5"/>
        <v>0</v>
      </c>
      <c r="P21" t="str">
        <f t="shared" si="0"/>
        <v>0, 0, 0, 0</v>
      </c>
    </row>
    <row r="22" spans="1:16" x14ac:dyDescent="0.2">
      <c r="A22">
        <f t="shared" si="1"/>
        <v>20</v>
      </c>
      <c r="B22" s="1" t="s">
        <v>203</v>
      </c>
      <c r="C22">
        <v>6</v>
      </c>
      <c r="D22">
        <v>2</v>
      </c>
      <c r="E22">
        <v>0</v>
      </c>
      <c r="F22">
        <v>0</v>
      </c>
      <c r="G22">
        <v>0</v>
      </c>
      <c r="H22">
        <f>_xlfn.XLOOKUP(I22,$B$2:$B$1096,$A$2:$A$1096,65535)</f>
        <v>65535</v>
      </c>
      <c r="J22">
        <f t="shared" ref="J22:K22" si="6">C22-C58</f>
        <v>-8</v>
      </c>
      <c r="K22">
        <f t="shared" si="6"/>
        <v>0</v>
      </c>
      <c r="L22">
        <f t="shared" ref="L22:N22" si="7">E22+E58</f>
        <v>0</v>
      </c>
      <c r="M22">
        <f t="shared" si="7"/>
        <v>0</v>
      </c>
      <c r="N22">
        <f t="shared" si="7"/>
        <v>0</v>
      </c>
      <c r="P22" t="str">
        <f t="shared" si="0"/>
        <v>2, 0, 0, 0</v>
      </c>
    </row>
    <row r="23" spans="1:16" x14ac:dyDescent="0.2">
      <c r="A23">
        <f t="shared" si="1"/>
        <v>21</v>
      </c>
      <c r="B23" s="1" t="s">
        <v>204</v>
      </c>
      <c r="C23">
        <v>0</v>
      </c>
      <c r="D23">
        <v>2</v>
      </c>
      <c r="E23">
        <v>0</v>
      </c>
      <c r="F23">
        <v>0</v>
      </c>
      <c r="G23">
        <v>0</v>
      </c>
      <c r="H23">
        <f>_xlfn.XLOOKUP(I23,$B$2:$B$1096,$A$2:$A$1096,65535)</f>
        <v>65535</v>
      </c>
      <c r="J23">
        <f t="shared" ref="J23:K23" si="8">C23-C59</f>
        <v>0</v>
      </c>
      <c r="K23">
        <f t="shared" si="8"/>
        <v>0</v>
      </c>
      <c r="L23">
        <f t="shared" ref="L23:N23" si="9">E23+E59</f>
        <v>0</v>
      </c>
      <c r="M23">
        <f t="shared" si="9"/>
        <v>0</v>
      </c>
      <c r="N23">
        <f t="shared" si="9"/>
        <v>0</v>
      </c>
      <c r="P23" t="str">
        <f t="shared" si="0"/>
        <v>2, 0, 0, 0</v>
      </c>
    </row>
    <row r="24" spans="1:16" x14ac:dyDescent="0.2">
      <c r="A24">
        <f t="shared" si="1"/>
        <v>22</v>
      </c>
      <c r="B24" s="1" t="s">
        <v>205</v>
      </c>
      <c r="C24">
        <v>17</v>
      </c>
      <c r="D24">
        <v>2</v>
      </c>
      <c r="E24">
        <v>0</v>
      </c>
      <c r="F24">
        <v>0</v>
      </c>
      <c r="G24">
        <v>0</v>
      </c>
      <c r="H24">
        <f>_xlfn.XLOOKUP(I24,$B$2:$B$1096,$A$2:$A$1096,65535)</f>
        <v>65535</v>
      </c>
      <c r="J24">
        <f t="shared" ref="J24:K24" si="10">C24-C60</f>
        <v>0</v>
      </c>
      <c r="K24">
        <f t="shared" si="10"/>
        <v>0</v>
      </c>
      <c r="L24">
        <f t="shared" ref="L24:N24" si="11">E24+E60</f>
        <v>0</v>
      </c>
      <c r="M24">
        <f t="shared" si="11"/>
        <v>0</v>
      </c>
      <c r="N24">
        <f t="shared" si="11"/>
        <v>0</v>
      </c>
      <c r="P24" t="str">
        <f t="shared" si="0"/>
        <v>2, 0, 0, 0</v>
      </c>
    </row>
    <row r="25" spans="1:16" x14ac:dyDescent="0.2">
      <c r="A25">
        <f t="shared" si="1"/>
        <v>23</v>
      </c>
      <c r="B25" s="1" t="s">
        <v>206</v>
      </c>
      <c r="C25">
        <v>19</v>
      </c>
      <c r="D25">
        <v>2</v>
      </c>
      <c r="E25">
        <v>0</v>
      </c>
      <c r="F25">
        <v>0</v>
      </c>
      <c r="G25">
        <v>0</v>
      </c>
      <c r="H25">
        <f>_xlfn.XLOOKUP(I25,$B$2:$B$1096,$A$2:$A$1096,65535)</f>
        <v>65535</v>
      </c>
      <c r="J25">
        <f t="shared" ref="J25:K25" si="12">C25-C61</f>
        <v>0</v>
      </c>
      <c r="K25">
        <f t="shared" si="12"/>
        <v>0</v>
      </c>
      <c r="L25">
        <f t="shared" ref="L25:N25" si="13">E25+E61</f>
        <v>0</v>
      </c>
      <c r="M25">
        <f t="shared" si="13"/>
        <v>0</v>
      </c>
      <c r="N25">
        <f t="shared" si="13"/>
        <v>0</v>
      </c>
      <c r="P25" t="str">
        <f t="shared" si="0"/>
        <v>2, 0, 0, 0</v>
      </c>
    </row>
    <row r="26" spans="1:16" x14ac:dyDescent="0.2">
      <c r="A26">
        <f t="shared" si="1"/>
        <v>24</v>
      </c>
      <c r="B26" s="1" t="s">
        <v>207</v>
      </c>
      <c r="C26">
        <v>17</v>
      </c>
      <c r="D26">
        <v>2</v>
      </c>
      <c r="E26">
        <v>0</v>
      </c>
      <c r="F26">
        <v>0</v>
      </c>
      <c r="G26">
        <v>0</v>
      </c>
      <c r="H26">
        <f>_xlfn.XLOOKUP(I26,$B$2:$B$1096,$A$2:$A$1096,65535)</f>
        <v>65535</v>
      </c>
      <c r="J26">
        <f t="shared" ref="J26:K26" si="14">C26-C62</f>
        <v>0</v>
      </c>
      <c r="K26">
        <f t="shared" si="14"/>
        <v>0</v>
      </c>
      <c r="L26">
        <f t="shared" ref="L26:N26" si="15">E26+E62</f>
        <v>0</v>
      </c>
      <c r="M26">
        <f t="shared" si="15"/>
        <v>0</v>
      </c>
      <c r="N26">
        <f t="shared" si="15"/>
        <v>0</v>
      </c>
      <c r="P26" t="str">
        <f t="shared" si="0"/>
        <v>2, 0, 0, 0</v>
      </c>
    </row>
    <row r="27" spans="1:16" x14ac:dyDescent="0.2">
      <c r="A27">
        <f t="shared" si="1"/>
        <v>25</v>
      </c>
      <c r="B27" s="1" t="s">
        <v>208</v>
      </c>
      <c r="C27">
        <v>19</v>
      </c>
      <c r="D27">
        <v>2</v>
      </c>
      <c r="E27">
        <v>0</v>
      </c>
      <c r="F27">
        <v>0</v>
      </c>
      <c r="G27">
        <v>0</v>
      </c>
      <c r="H27">
        <f>_xlfn.XLOOKUP(I27,$B$2:$B$1096,$A$2:$A$1096,65535)</f>
        <v>65535</v>
      </c>
      <c r="J27">
        <f t="shared" ref="J27:K27" si="16">C27-C63</f>
        <v>0</v>
      </c>
      <c r="K27">
        <f t="shared" si="16"/>
        <v>0</v>
      </c>
      <c r="L27">
        <f t="shared" ref="L27:N27" si="17">E27+E63</f>
        <v>0</v>
      </c>
      <c r="M27">
        <f t="shared" si="17"/>
        <v>0</v>
      </c>
      <c r="N27">
        <f t="shared" si="17"/>
        <v>0</v>
      </c>
      <c r="P27" t="str">
        <f t="shared" si="0"/>
        <v>2, 0, 0, 0</v>
      </c>
    </row>
    <row r="28" spans="1:16" x14ac:dyDescent="0.2">
      <c r="A28">
        <f t="shared" si="1"/>
        <v>26</v>
      </c>
      <c r="B28" s="1" t="s">
        <v>209</v>
      </c>
      <c r="C28">
        <v>17</v>
      </c>
      <c r="D28">
        <v>2</v>
      </c>
      <c r="E28">
        <v>0</v>
      </c>
      <c r="F28">
        <v>0</v>
      </c>
      <c r="G28">
        <v>0</v>
      </c>
      <c r="H28">
        <f>_xlfn.XLOOKUP(I28,$B$2:$B$1096,$A$2:$A$1096,65535)</f>
        <v>65535</v>
      </c>
      <c r="J28">
        <f t="shared" ref="J28:K28" si="18">C28-C64</f>
        <v>0</v>
      </c>
      <c r="K28">
        <f t="shared" si="18"/>
        <v>0</v>
      </c>
      <c r="L28">
        <f t="shared" ref="L28:N28" si="19">E28+E64</f>
        <v>0</v>
      </c>
      <c r="M28">
        <f t="shared" si="19"/>
        <v>0</v>
      </c>
      <c r="N28">
        <f t="shared" si="19"/>
        <v>0</v>
      </c>
      <c r="P28" t="str">
        <f t="shared" si="0"/>
        <v>2, 0, 0, 0</v>
      </c>
    </row>
    <row r="29" spans="1:16" x14ac:dyDescent="0.2">
      <c r="A29">
        <f t="shared" si="1"/>
        <v>27</v>
      </c>
      <c r="B29" s="1" t="s">
        <v>210</v>
      </c>
      <c r="C29">
        <v>4</v>
      </c>
      <c r="D29">
        <v>2</v>
      </c>
      <c r="E29">
        <v>0</v>
      </c>
      <c r="F29">
        <v>0</v>
      </c>
      <c r="G29">
        <v>0</v>
      </c>
      <c r="H29">
        <f>_xlfn.XLOOKUP(I29,$B$2:$B$1096,$A$2:$A$1096,65535)</f>
        <v>65535</v>
      </c>
      <c r="J29">
        <f t="shared" ref="J29:K29" si="20">C29-C65</f>
        <v>-8</v>
      </c>
      <c r="K29">
        <f t="shared" si="20"/>
        <v>0</v>
      </c>
      <c r="L29">
        <f t="shared" ref="L29:N29" si="21">E29+E65</f>
        <v>0</v>
      </c>
      <c r="M29">
        <f t="shared" si="21"/>
        <v>0</v>
      </c>
      <c r="N29">
        <f t="shared" si="21"/>
        <v>0</v>
      </c>
      <c r="P29" t="str">
        <f t="shared" si="0"/>
        <v>2, 0, 0, 0</v>
      </c>
    </row>
    <row r="30" spans="1:16" x14ac:dyDescent="0.2">
      <c r="A30">
        <f t="shared" si="1"/>
        <v>28</v>
      </c>
      <c r="B30" s="1" t="s">
        <v>211</v>
      </c>
      <c r="C30">
        <v>5</v>
      </c>
      <c r="D30">
        <v>0</v>
      </c>
      <c r="E30">
        <v>-5</v>
      </c>
      <c r="F30">
        <v>-2</v>
      </c>
      <c r="G30">
        <v>-1</v>
      </c>
      <c r="H30">
        <f>_xlfn.XLOOKUP(I30,$B$2:$B$1096,$A$2:$A$1096,65535)</f>
        <v>65535</v>
      </c>
      <c r="J30">
        <f t="shared" ref="J30:K30" si="22">C30-C66</f>
        <v>-8</v>
      </c>
      <c r="K30">
        <f t="shared" si="22"/>
        <v>0</v>
      </c>
      <c r="L30">
        <f t="shared" ref="L30:N30" si="23">E30+E66</f>
        <v>0</v>
      </c>
      <c r="M30">
        <f t="shared" si="23"/>
        <v>0</v>
      </c>
      <c r="N30">
        <f t="shared" si="23"/>
        <v>0</v>
      </c>
      <c r="P30" t="str">
        <f t="shared" si="0"/>
        <v>0, -5, -2, -1</v>
      </c>
    </row>
    <row r="31" spans="1:16" x14ac:dyDescent="0.2">
      <c r="A31">
        <f t="shared" si="1"/>
        <v>29</v>
      </c>
      <c r="B31" s="1" t="s">
        <v>212</v>
      </c>
      <c r="C31">
        <v>6</v>
      </c>
      <c r="D31">
        <v>0</v>
      </c>
      <c r="E31">
        <v>-5</v>
      </c>
      <c r="F31">
        <v>-2</v>
      </c>
      <c r="G31">
        <v>-1</v>
      </c>
      <c r="H31">
        <f>_xlfn.XLOOKUP(I31,$B$2:$B$1096,$A$2:$A$1096,65535)</f>
        <v>65535</v>
      </c>
      <c r="J31">
        <f t="shared" ref="J31:K31" si="24">C31-C67</f>
        <v>-8</v>
      </c>
      <c r="K31">
        <f t="shared" si="24"/>
        <v>0</v>
      </c>
      <c r="L31">
        <f t="shared" ref="L31:N31" si="25">E31+E67</f>
        <v>0</v>
      </c>
      <c r="M31">
        <f t="shared" si="25"/>
        <v>0</v>
      </c>
      <c r="N31">
        <f t="shared" si="25"/>
        <v>0</v>
      </c>
      <c r="P31" t="str">
        <f t="shared" si="0"/>
        <v>0, -5, -2, -1</v>
      </c>
    </row>
    <row r="32" spans="1:16" x14ac:dyDescent="0.2">
      <c r="A32">
        <f t="shared" si="1"/>
        <v>30</v>
      </c>
      <c r="B32" s="1" t="s">
        <v>213</v>
      </c>
      <c r="C32">
        <v>5</v>
      </c>
      <c r="D32">
        <v>0</v>
      </c>
      <c r="E32">
        <v>-5</v>
      </c>
      <c r="F32">
        <v>0</v>
      </c>
      <c r="G32">
        <v>-1</v>
      </c>
      <c r="H32">
        <f>_xlfn.XLOOKUP(I32,$B$2:$B$1096,$A$2:$A$1096,65535)</f>
        <v>65535</v>
      </c>
      <c r="J32">
        <f t="shared" ref="J32:K32" si="26">C32-C68</f>
        <v>-8</v>
      </c>
      <c r="K32">
        <f t="shared" si="26"/>
        <v>0</v>
      </c>
      <c r="L32">
        <f t="shared" ref="L32:N32" si="27">E32+E68</f>
        <v>0</v>
      </c>
      <c r="M32">
        <f t="shared" si="27"/>
        <v>0</v>
      </c>
      <c r="N32">
        <f t="shared" si="27"/>
        <v>0</v>
      </c>
      <c r="P32" t="str">
        <f t="shared" si="0"/>
        <v>0, -5, 0, -1</v>
      </c>
    </row>
    <row r="33" spans="1:16" x14ac:dyDescent="0.2">
      <c r="A33">
        <f t="shared" si="1"/>
        <v>31</v>
      </c>
      <c r="B33" s="1" t="s">
        <v>1032</v>
      </c>
      <c r="C33">
        <v>17</v>
      </c>
      <c r="D33">
        <v>2</v>
      </c>
      <c r="E33">
        <v>0</v>
      </c>
      <c r="F33">
        <v>0</v>
      </c>
      <c r="G33">
        <v>0</v>
      </c>
      <c r="H33">
        <f>_xlfn.XLOOKUP(I33,$B$2:$B$1096,$A$2:$A$1096,65535)</f>
        <v>65535</v>
      </c>
      <c r="J33">
        <f t="shared" ref="J33:K33" si="28">C33-C69</f>
        <v>0</v>
      </c>
      <c r="K33">
        <f t="shared" si="28"/>
        <v>0</v>
      </c>
      <c r="L33">
        <f t="shared" ref="L33:N33" si="29">E33+E69</f>
        <v>0</v>
      </c>
      <c r="M33">
        <f t="shared" si="29"/>
        <v>0</v>
      </c>
      <c r="N33">
        <f t="shared" si="29"/>
        <v>0</v>
      </c>
      <c r="P33" t="str">
        <f t="shared" si="0"/>
        <v>2, 0, 0, 0</v>
      </c>
    </row>
    <row r="34" spans="1:16" x14ac:dyDescent="0.2">
      <c r="A34">
        <f t="shared" si="1"/>
        <v>32</v>
      </c>
      <c r="B34" s="1" t="s">
        <v>1035</v>
      </c>
      <c r="C34">
        <v>19</v>
      </c>
      <c r="D34">
        <v>2</v>
      </c>
      <c r="E34">
        <v>0</v>
      </c>
      <c r="F34">
        <v>0</v>
      </c>
      <c r="G34">
        <v>0</v>
      </c>
      <c r="H34">
        <f>_xlfn.XLOOKUP(I34,$B$2:$B$1096,$A$2:$A$1096,65535)</f>
        <v>65535</v>
      </c>
      <c r="J34">
        <f t="shared" ref="J34:K34" si="30">C34-C70</f>
        <v>0</v>
      </c>
      <c r="K34">
        <f t="shared" si="30"/>
        <v>0</v>
      </c>
      <c r="L34">
        <f t="shared" ref="L34:N34" si="31">E34+E70</f>
        <v>0</v>
      </c>
      <c r="M34">
        <f t="shared" si="31"/>
        <v>0</v>
      </c>
      <c r="N34">
        <f t="shared" si="31"/>
        <v>0</v>
      </c>
      <c r="P34" t="str">
        <f t="shared" si="0"/>
        <v>2, 0, 0, 0</v>
      </c>
    </row>
    <row r="35" spans="1:16" x14ac:dyDescent="0.2">
      <c r="A35">
        <f t="shared" si="1"/>
        <v>33</v>
      </c>
      <c r="B35" s="1" t="s">
        <v>1034</v>
      </c>
      <c r="C35">
        <v>17</v>
      </c>
      <c r="D35">
        <v>2</v>
      </c>
      <c r="E35">
        <v>0</v>
      </c>
      <c r="F35">
        <v>0</v>
      </c>
      <c r="G35">
        <v>0</v>
      </c>
      <c r="H35">
        <f>_xlfn.XLOOKUP(I35,$B$2:$B$1096,$A$2:$A$1096,65535)</f>
        <v>65535</v>
      </c>
      <c r="J35">
        <f t="shared" ref="J35:K35" si="32">C35-C71</f>
        <v>0</v>
      </c>
      <c r="K35">
        <f t="shared" si="32"/>
        <v>0</v>
      </c>
      <c r="L35">
        <f t="shared" ref="L35:N35" si="33">E35+E71</f>
        <v>0</v>
      </c>
      <c r="M35">
        <f t="shared" si="33"/>
        <v>0</v>
      </c>
      <c r="N35">
        <f t="shared" si="33"/>
        <v>0</v>
      </c>
      <c r="P35" t="str">
        <f t="shared" si="0"/>
        <v>2, 0, 0, 0</v>
      </c>
    </row>
    <row r="36" spans="1:16" x14ac:dyDescent="0.2">
      <c r="A36">
        <f t="shared" si="1"/>
        <v>34</v>
      </c>
      <c r="B36" s="1" t="s">
        <v>1033</v>
      </c>
      <c r="C36">
        <v>19</v>
      </c>
      <c r="D36">
        <v>2</v>
      </c>
      <c r="E36">
        <v>0</v>
      </c>
      <c r="F36">
        <v>0</v>
      </c>
      <c r="G36">
        <v>0</v>
      </c>
      <c r="H36">
        <f>_xlfn.XLOOKUP(I36,$B$2:$B$1096,$A$2:$A$1096,65535)</f>
        <v>65535</v>
      </c>
      <c r="J36">
        <f t="shared" ref="J36:K36" si="34">C36-C72</f>
        <v>0</v>
      </c>
      <c r="K36">
        <f t="shared" si="34"/>
        <v>0</v>
      </c>
      <c r="L36">
        <f t="shared" ref="L36:N36" si="35">E36+E72</f>
        <v>0</v>
      </c>
      <c r="M36">
        <f t="shared" si="35"/>
        <v>0</v>
      </c>
      <c r="N36">
        <f t="shared" si="35"/>
        <v>0</v>
      </c>
      <c r="P36" t="str">
        <f t="shared" si="0"/>
        <v>2, 0, 0, 0</v>
      </c>
    </row>
    <row r="37" spans="1:16" x14ac:dyDescent="0.2">
      <c r="A37">
        <f t="shared" si="1"/>
        <v>35</v>
      </c>
      <c r="B37" s="1" t="s">
        <v>214</v>
      </c>
      <c r="C37">
        <v>5</v>
      </c>
      <c r="D37">
        <v>0</v>
      </c>
      <c r="E37">
        <v>-5</v>
      </c>
      <c r="F37">
        <v>-2</v>
      </c>
      <c r="G37">
        <v>-1</v>
      </c>
      <c r="H37">
        <f>_xlfn.XLOOKUP(I37,$B$2:$B$1096,$A$2:$A$1096,65535)</f>
        <v>65535</v>
      </c>
      <c r="J37">
        <f t="shared" ref="J37:K37" si="36">C37-C73</f>
        <v>-8</v>
      </c>
      <c r="K37">
        <f t="shared" si="36"/>
        <v>0</v>
      </c>
      <c r="L37">
        <f t="shared" ref="L37:N37" si="37">E37+E73</f>
        <v>0</v>
      </c>
      <c r="M37">
        <f t="shared" si="37"/>
        <v>0</v>
      </c>
      <c r="N37">
        <f t="shared" si="37"/>
        <v>0</v>
      </c>
      <c r="P37" t="str">
        <f t="shared" si="0"/>
        <v>0, -5, -2, -1</v>
      </c>
    </row>
    <row r="38" spans="1:16" x14ac:dyDescent="0.2">
      <c r="A38">
        <f t="shared" si="1"/>
        <v>36</v>
      </c>
      <c r="B38" s="1" t="s">
        <v>215</v>
      </c>
      <c r="C38">
        <v>6</v>
      </c>
      <c r="D38">
        <v>0</v>
      </c>
      <c r="E38">
        <v>-5</v>
      </c>
      <c r="F38">
        <v>-2</v>
      </c>
      <c r="G38">
        <v>-1</v>
      </c>
      <c r="H38">
        <f>_xlfn.XLOOKUP(I38,$B$2:$B$1096,$A$2:$A$1096,65535)</f>
        <v>65535</v>
      </c>
      <c r="J38">
        <f t="shared" ref="J38:K38" si="38">C38-C74</f>
        <v>-8</v>
      </c>
      <c r="K38">
        <f t="shared" si="38"/>
        <v>0</v>
      </c>
      <c r="L38">
        <f t="shared" ref="L38:N38" si="39">E38+E74</f>
        <v>0</v>
      </c>
      <c r="M38">
        <f t="shared" si="39"/>
        <v>0</v>
      </c>
      <c r="N38">
        <f t="shared" si="39"/>
        <v>0</v>
      </c>
      <c r="P38" t="str">
        <f t="shared" si="0"/>
        <v>0, -5, -2, -1</v>
      </c>
    </row>
    <row r="39" spans="1:16" x14ac:dyDescent="0.2">
      <c r="A39">
        <f t="shared" si="1"/>
        <v>37</v>
      </c>
      <c r="B39" s="1" t="s">
        <v>216</v>
      </c>
      <c r="C39">
        <v>5</v>
      </c>
      <c r="D39">
        <v>0</v>
      </c>
      <c r="E39">
        <v>0</v>
      </c>
      <c r="F39">
        <v>0</v>
      </c>
      <c r="G39">
        <v>0</v>
      </c>
      <c r="H39">
        <f>_xlfn.XLOOKUP(I39,$B$2:$B$1096,$A$2:$A$1096,65535)</f>
        <v>65535</v>
      </c>
      <c r="J39">
        <f t="shared" ref="J39:K39" si="40">C39-C75</f>
        <v>-8</v>
      </c>
      <c r="K39">
        <f t="shared" si="40"/>
        <v>0</v>
      </c>
      <c r="L39">
        <f t="shared" ref="L39:N39" si="41">E39+E75</f>
        <v>0</v>
      </c>
      <c r="M39">
        <f t="shared" si="41"/>
        <v>0</v>
      </c>
      <c r="N39">
        <f t="shared" si="41"/>
        <v>0</v>
      </c>
      <c r="P39" t="str">
        <f t="shared" si="0"/>
        <v>0, 0, 0, 0</v>
      </c>
    </row>
    <row r="40" spans="1:16" x14ac:dyDescent="0.2">
      <c r="A40">
        <f t="shared" si="1"/>
        <v>38</v>
      </c>
      <c r="B40" s="1" t="s">
        <v>217</v>
      </c>
      <c r="C40">
        <v>4</v>
      </c>
      <c r="D40">
        <v>-2</v>
      </c>
      <c r="E40">
        <v>0</v>
      </c>
      <c r="F40">
        <v>0</v>
      </c>
      <c r="G40">
        <v>0</v>
      </c>
      <c r="H40">
        <f>_xlfn.XLOOKUP(I40,$B$2:$B$1096,$A$2:$A$1096,65535)</f>
        <v>65535</v>
      </c>
      <c r="J40">
        <f t="shared" ref="J40:K40" si="42">C40-C76</f>
        <v>-8</v>
      </c>
      <c r="K40">
        <f t="shared" si="42"/>
        <v>0</v>
      </c>
      <c r="L40">
        <f t="shared" ref="L40:N40" si="43">E40+E76</f>
        <v>0</v>
      </c>
      <c r="M40">
        <f t="shared" si="43"/>
        <v>0</v>
      </c>
      <c r="N40">
        <f t="shared" si="43"/>
        <v>0</v>
      </c>
      <c r="P40" t="str">
        <f t="shared" si="0"/>
        <v>-2, 0, 0, 0</v>
      </c>
    </row>
    <row r="41" spans="1:16" x14ac:dyDescent="0.2">
      <c r="A41">
        <f t="shared" si="1"/>
        <v>39</v>
      </c>
      <c r="B41" s="1" t="s">
        <v>218</v>
      </c>
      <c r="C41">
        <v>17</v>
      </c>
      <c r="D41">
        <v>-2</v>
      </c>
      <c r="E41">
        <v>0</v>
      </c>
      <c r="F41">
        <v>0</v>
      </c>
      <c r="G41">
        <v>0</v>
      </c>
      <c r="H41">
        <f>_xlfn.XLOOKUP(I41,$B$2:$B$1096,$A$2:$A$1096,65535)</f>
        <v>65535</v>
      </c>
      <c r="J41">
        <f t="shared" ref="J41:K41" si="44">C41-C77</f>
        <v>0</v>
      </c>
      <c r="K41">
        <f t="shared" si="44"/>
        <v>0</v>
      </c>
      <c r="L41">
        <f t="shared" ref="L41:N41" si="45">E41+E77</f>
        <v>0</v>
      </c>
      <c r="M41">
        <f t="shared" si="45"/>
        <v>0</v>
      </c>
      <c r="N41">
        <f t="shared" si="45"/>
        <v>0</v>
      </c>
      <c r="P41" t="str">
        <f t="shared" si="0"/>
        <v>-2, 0, 0, 0</v>
      </c>
    </row>
    <row r="42" spans="1:16" x14ac:dyDescent="0.2">
      <c r="A42">
        <f t="shared" si="1"/>
        <v>40</v>
      </c>
      <c r="B42" s="1" t="s">
        <v>219</v>
      </c>
      <c r="C42">
        <v>19</v>
      </c>
      <c r="D42">
        <v>-2</v>
      </c>
      <c r="E42">
        <v>0</v>
      </c>
      <c r="F42">
        <v>0</v>
      </c>
      <c r="G42">
        <v>0</v>
      </c>
      <c r="H42">
        <f>_xlfn.XLOOKUP(I42,$B$2:$B$1096,$A$2:$A$1096,65535)</f>
        <v>65535</v>
      </c>
      <c r="J42">
        <f t="shared" ref="J42:K42" si="46">C42-C78</f>
        <v>0</v>
      </c>
      <c r="K42">
        <f t="shared" si="46"/>
        <v>0</v>
      </c>
      <c r="L42">
        <f t="shared" ref="L42:N42" si="47">E42+E78</f>
        <v>0</v>
      </c>
      <c r="M42">
        <f t="shared" si="47"/>
        <v>0</v>
      </c>
      <c r="N42">
        <f t="shared" si="47"/>
        <v>0</v>
      </c>
      <c r="P42" t="str">
        <f t="shared" si="0"/>
        <v>-2, 0, 0, 0</v>
      </c>
    </row>
    <row r="43" spans="1:16" x14ac:dyDescent="0.2">
      <c r="A43">
        <f t="shared" si="1"/>
        <v>41</v>
      </c>
      <c r="B43" s="1" t="s">
        <v>220</v>
      </c>
      <c r="C43">
        <v>17</v>
      </c>
      <c r="D43">
        <v>-2</v>
      </c>
      <c r="E43">
        <v>0</v>
      </c>
      <c r="F43">
        <v>0</v>
      </c>
      <c r="G43">
        <v>0</v>
      </c>
      <c r="H43">
        <f>_xlfn.XLOOKUP(I43,$B$2:$B$1096,$A$2:$A$1096,65535)</f>
        <v>65535</v>
      </c>
      <c r="J43">
        <f t="shared" ref="J43:K43" si="48">C43-C79</f>
        <v>0</v>
      </c>
      <c r="K43">
        <f t="shared" si="48"/>
        <v>0</v>
      </c>
      <c r="L43">
        <f t="shared" ref="L43:N43" si="49">E43+E79</f>
        <v>0</v>
      </c>
      <c r="M43">
        <f t="shared" si="49"/>
        <v>0</v>
      </c>
      <c r="N43">
        <f t="shared" si="49"/>
        <v>0</v>
      </c>
      <c r="P43" t="str">
        <f t="shared" si="0"/>
        <v>-2, 0, 0, 0</v>
      </c>
    </row>
    <row r="44" spans="1:16" x14ac:dyDescent="0.2">
      <c r="A44">
        <f t="shared" si="1"/>
        <v>42</v>
      </c>
      <c r="B44" s="1" t="s">
        <v>221</v>
      </c>
      <c r="C44">
        <v>19</v>
      </c>
      <c r="D44">
        <v>-2</v>
      </c>
      <c r="E44">
        <v>0</v>
      </c>
      <c r="F44">
        <v>0</v>
      </c>
      <c r="G44">
        <v>0</v>
      </c>
      <c r="H44">
        <f>_xlfn.XLOOKUP(I44,$B$2:$B$1096,$A$2:$A$1096,65535)</f>
        <v>65535</v>
      </c>
      <c r="J44">
        <f t="shared" ref="J44:K44" si="50">C44-C80</f>
        <v>0</v>
      </c>
      <c r="K44">
        <f t="shared" si="50"/>
        <v>0</v>
      </c>
      <c r="L44">
        <f t="shared" ref="L44:N44" si="51">E44+E80</f>
        <v>0</v>
      </c>
      <c r="M44">
        <f t="shared" si="51"/>
        <v>0</v>
      </c>
      <c r="N44">
        <f t="shared" si="51"/>
        <v>0</v>
      </c>
      <c r="P44" t="str">
        <f t="shared" si="0"/>
        <v>-2, 0, 0, 0</v>
      </c>
    </row>
    <row r="45" spans="1:16" x14ac:dyDescent="0.2">
      <c r="A45">
        <f t="shared" si="1"/>
        <v>43</v>
      </c>
      <c r="B45" s="1" t="s">
        <v>222</v>
      </c>
      <c r="C45">
        <v>17</v>
      </c>
      <c r="D45">
        <v>-2</v>
      </c>
      <c r="E45">
        <v>0</v>
      </c>
      <c r="F45">
        <v>0</v>
      </c>
      <c r="G45">
        <v>0</v>
      </c>
      <c r="H45">
        <f>_xlfn.XLOOKUP(I45,$B$2:$B$1096,$A$2:$A$1096,65535)</f>
        <v>65535</v>
      </c>
      <c r="J45">
        <f t="shared" ref="J45:K45" si="52">C45-C81</f>
        <v>0</v>
      </c>
      <c r="K45">
        <f t="shared" si="52"/>
        <v>0</v>
      </c>
      <c r="L45">
        <f t="shared" ref="L45:N45" si="53">E45+E81</f>
        <v>0</v>
      </c>
      <c r="M45">
        <f t="shared" si="53"/>
        <v>0</v>
      </c>
      <c r="N45">
        <f t="shared" si="53"/>
        <v>0</v>
      </c>
      <c r="P45" t="str">
        <f t="shared" si="0"/>
        <v>-2, 0, 0, 0</v>
      </c>
    </row>
    <row r="46" spans="1:16" x14ac:dyDescent="0.2">
      <c r="A46">
        <f t="shared" si="1"/>
        <v>44</v>
      </c>
      <c r="B46" s="1" t="s">
        <v>223</v>
      </c>
      <c r="C46">
        <v>0</v>
      </c>
      <c r="D46">
        <v>-2</v>
      </c>
      <c r="E46">
        <v>0</v>
      </c>
      <c r="F46">
        <v>0</v>
      </c>
      <c r="G46">
        <v>0</v>
      </c>
      <c r="H46">
        <f>_xlfn.XLOOKUP(I46,$B$2:$B$1096,$A$2:$A$1096,65535)</f>
        <v>65535</v>
      </c>
      <c r="J46">
        <f t="shared" ref="J46:K46" si="54">C46-C82</f>
        <v>0</v>
      </c>
      <c r="K46">
        <f t="shared" si="54"/>
        <v>0</v>
      </c>
      <c r="L46">
        <f t="shared" ref="L46:N46" si="55">E46+E82</f>
        <v>0</v>
      </c>
      <c r="M46">
        <f t="shared" si="55"/>
        <v>0</v>
      </c>
      <c r="N46">
        <f t="shared" si="55"/>
        <v>0</v>
      </c>
      <c r="P46" t="str">
        <f t="shared" si="0"/>
        <v>-2, 0, 0, 0</v>
      </c>
    </row>
    <row r="47" spans="1:16" x14ac:dyDescent="0.2">
      <c r="A47">
        <f t="shared" si="1"/>
        <v>45</v>
      </c>
      <c r="B47" s="1" t="s">
        <v>224</v>
      </c>
      <c r="C47">
        <v>6</v>
      </c>
      <c r="D47">
        <v>-2</v>
      </c>
      <c r="E47">
        <v>0</v>
      </c>
      <c r="F47">
        <v>0</v>
      </c>
      <c r="G47">
        <v>0</v>
      </c>
      <c r="H47">
        <f>_xlfn.XLOOKUP(I47,$B$2:$B$1096,$A$2:$A$1096,65535)</f>
        <v>65535</v>
      </c>
      <c r="J47">
        <f t="shared" ref="J47:K47" si="56">C47-C83</f>
        <v>-8</v>
      </c>
      <c r="K47">
        <f t="shared" si="56"/>
        <v>0</v>
      </c>
      <c r="L47">
        <f t="shared" ref="L47:N47" si="57">E47+E83</f>
        <v>0</v>
      </c>
      <c r="M47">
        <f t="shared" si="57"/>
        <v>0</v>
      </c>
      <c r="N47">
        <f t="shared" si="57"/>
        <v>0</v>
      </c>
      <c r="P47" t="str">
        <f t="shared" si="0"/>
        <v>-2, 0, 0, 0</v>
      </c>
    </row>
    <row r="48" spans="1:16" x14ac:dyDescent="0.2">
      <c r="A48">
        <f t="shared" si="1"/>
        <v>46</v>
      </c>
      <c r="B48" s="1" t="s">
        <v>225</v>
      </c>
      <c r="C48">
        <v>5</v>
      </c>
      <c r="D48">
        <v>0</v>
      </c>
      <c r="E48">
        <v>0</v>
      </c>
      <c r="F48">
        <v>0</v>
      </c>
      <c r="G48">
        <v>0</v>
      </c>
      <c r="H48">
        <f>_xlfn.XLOOKUP(I48,$B$2:$B$1096,$A$2:$A$1096,65535)</f>
        <v>65535</v>
      </c>
      <c r="J48">
        <f t="shared" ref="J48:K48" si="58">C48-C84</f>
        <v>-8</v>
      </c>
      <c r="K48">
        <f t="shared" si="58"/>
        <v>0</v>
      </c>
      <c r="L48">
        <f t="shared" ref="L48:N48" si="59">E48+E84</f>
        <v>0</v>
      </c>
      <c r="M48">
        <f t="shared" si="59"/>
        <v>0</v>
      </c>
      <c r="N48">
        <f t="shared" si="59"/>
        <v>0</v>
      </c>
      <c r="P48" t="str">
        <f t="shared" si="0"/>
        <v>0, 0, 0, 0</v>
      </c>
    </row>
    <row r="49" spans="1:16" x14ac:dyDescent="0.2">
      <c r="A49">
        <f t="shared" si="1"/>
        <v>47</v>
      </c>
      <c r="B49" s="1" t="s">
        <v>226</v>
      </c>
      <c r="C49">
        <v>6</v>
      </c>
      <c r="D49">
        <v>0</v>
      </c>
      <c r="E49">
        <v>-5</v>
      </c>
      <c r="F49">
        <v>-2</v>
      </c>
      <c r="G49">
        <v>-1</v>
      </c>
      <c r="H49">
        <f>_xlfn.XLOOKUP(I49,$B$2:$B$1096,$A$2:$A$1096,65535)</f>
        <v>65535</v>
      </c>
      <c r="J49">
        <f t="shared" ref="J49:K49" si="60">C49-C85</f>
        <v>-8</v>
      </c>
      <c r="K49">
        <f t="shared" si="60"/>
        <v>0</v>
      </c>
      <c r="L49">
        <f t="shared" ref="L49:N49" si="61">E49+E85</f>
        <v>0</v>
      </c>
      <c r="M49">
        <f t="shared" si="61"/>
        <v>0</v>
      </c>
      <c r="N49">
        <f t="shared" si="61"/>
        <v>0</v>
      </c>
      <c r="P49" t="str">
        <f t="shared" si="0"/>
        <v>0, -5, -2, -1</v>
      </c>
    </row>
    <row r="50" spans="1:16" x14ac:dyDescent="0.2">
      <c r="A50">
        <f t="shared" si="1"/>
        <v>48</v>
      </c>
      <c r="B50" s="1" t="s">
        <v>227</v>
      </c>
      <c r="C50">
        <v>5</v>
      </c>
      <c r="D50">
        <v>0</v>
      </c>
      <c r="E50">
        <v>-5</v>
      </c>
      <c r="F50">
        <v>-2</v>
      </c>
      <c r="G50">
        <v>-1</v>
      </c>
      <c r="H50">
        <f>_xlfn.XLOOKUP(I50,$B$2:$B$1096,$A$2:$A$1096,65535)</f>
        <v>65535</v>
      </c>
      <c r="J50">
        <f t="shared" ref="J50:K50" si="62">C50-C86</f>
        <v>-8</v>
      </c>
      <c r="K50">
        <f t="shared" si="62"/>
        <v>0</v>
      </c>
      <c r="L50">
        <f t="shared" ref="L50:N50" si="63">E50+E86</f>
        <v>0</v>
      </c>
      <c r="M50">
        <f t="shared" si="63"/>
        <v>0</v>
      </c>
      <c r="N50">
        <f t="shared" si="63"/>
        <v>0</v>
      </c>
      <c r="P50" t="str">
        <f t="shared" si="0"/>
        <v>0, -5, -2, -1</v>
      </c>
    </row>
    <row r="51" spans="1:16" x14ac:dyDescent="0.2">
      <c r="A51">
        <f t="shared" si="1"/>
        <v>49</v>
      </c>
      <c r="B51" s="1" t="s">
        <v>1040</v>
      </c>
      <c r="C51">
        <v>19</v>
      </c>
      <c r="D51">
        <v>-2</v>
      </c>
      <c r="E51">
        <v>0</v>
      </c>
      <c r="F51">
        <v>0</v>
      </c>
      <c r="G51">
        <v>0</v>
      </c>
      <c r="H51">
        <f>_xlfn.XLOOKUP(I51,$B$2:$B$1096,$A$2:$A$1096,65535)</f>
        <v>65535</v>
      </c>
      <c r="J51">
        <f t="shared" ref="J51:K51" si="64">C51-C87</f>
        <v>0</v>
      </c>
      <c r="K51">
        <f t="shared" si="64"/>
        <v>0</v>
      </c>
      <c r="L51">
        <f t="shared" ref="L51:N51" si="65">E51+E87</f>
        <v>0</v>
      </c>
      <c r="M51">
        <f t="shared" si="65"/>
        <v>0</v>
      </c>
      <c r="N51">
        <f t="shared" si="65"/>
        <v>0</v>
      </c>
      <c r="P51" t="str">
        <f t="shared" si="0"/>
        <v>-2, 0, 0, 0</v>
      </c>
    </row>
    <row r="52" spans="1:16" x14ac:dyDescent="0.2">
      <c r="A52">
        <f t="shared" si="1"/>
        <v>50</v>
      </c>
      <c r="B52" s="1" t="s">
        <v>1041</v>
      </c>
      <c r="C52">
        <v>17</v>
      </c>
      <c r="D52">
        <v>-2</v>
      </c>
      <c r="E52">
        <v>0</v>
      </c>
      <c r="F52">
        <v>0</v>
      </c>
      <c r="G52">
        <v>0</v>
      </c>
      <c r="H52">
        <f>_xlfn.XLOOKUP(I52,$B$2:$B$1096,$A$2:$A$1096,65535)</f>
        <v>65535</v>
      </c>
      <c r="J52">
        <f t="shared" ref="J52:K52" si="66">C52-C88</f>
        <v>0</v>
      </c>
      <c r="K52">
        <f t="shared" si="66"/>
        <v>0</v>
      </c>
      <c r="L52">
        <f t="shared" ref="L52:N52" si="67">E52+E88</f>
        <v>0</v>
      </c>
      <c r="M52">
        <f t="shared" si="67"/>
        <v>0</v>
      </c>
      <c r="N52">
        <f t="shared" si="67"/>
        <v>0</v>
      </c>
      <c r="P52" t="str">
        <f t="shared" si="0"/>
        <v>-2, 0, 0, 0</v>
      </c>
    </row>
    <row r="53" spans="1:16" x14ac:dyDescent="0.2">
      <c r="A53">
        <f t="shared" si="1"/>
        <v>51</v>
      </c>
      <c r="B53" s="1" t="s">
        <v>1042</v>
      </c>
      <c r="C53">
        <v>19</v>
      </c>
      <c r="D53">
        <v>-2</v>
      </c>
      <c r="E53">
        <v>0</v>
      </c>
      <c r="F53">
        <v>0</v>
      </c>
      <c r="G53">
        <v>0</v>
      </c>
      <c r="H53">
        <f>_xlfn.XLOOKUP(I53,$B$2:$B$1096,$A$2:$A$1096,65535)</f>
        <v>65535</v>
      </c>
      <c r="J53">
        <f t="shared" ref="J53:K53" si="68">C53-C89</f>
        <v>0</v>
      </c>
      <c r="K53">
        <f t="shared" si="68"/>
        <v>0</v>
      </c>
      <c r="L53">
        <f t="shared" ref="L53:N53" si="69">E53+E89</f>
        <v>0</v>
      </c>
      <c r="M53">
        <f t="shared" si="69"/>
        <v>0</v>
      </c>
      <c r="N53">
        <f t="shared" si="69"/>
        <v>0</v>
      </c>
      <c r="P53" t="str">
        <f t="shared" si="0"/>
        <v>-2, 0, 0, 0</v>
      </c>
    </row>
    <row r="54" spans="1:16" x14ac:dyDescent="0.2">
      <c r="A54">
        <f t="shared" si="1"/>
        <v>52</v>
      </c>
      <c r="B54" s="1" t="s">
        <v>1043</v>
      </c>
      <c r="C54">
        <v>17</v>
      </c>
      <c r="D54">
        <v>-2</v>
      </c>
      <c r="E54">
        <v>0</v>
      </c>
      <c r="F54">
        <v>0</v>
      </c>
      <c r="G54">
        <v>0</v>
      </c>
      <c r="H54">
        <f>_xlfn.XLOOKUP(I54,$B$2:$B$1096,$A$2:$A$1096,65535)</f>
        <v>65535</v>
      </c>
      <c r="J54">
        <f t="shared" ref="J54:K54" si="70">C54-C90</f>
        <v>0</v>
      </c>
      <c r="K54">
        <f t="shared" si="70"/>
        <v>0</v>
      </c>
      <c r="L54">
        <f t="shared" ref="L54:N54" si="71">E54+E90</f>
        <v>0</v>
      </c>
      <c r="M54">
        <f t="shared" si="71"/>
        <v>0</v>
      </c>
      <c r="N54">
        <f t="shared" si="71"/>
        <v>0</v>
      </c>
      <c r="P54" t="str">
        <f t="shared" si="0"/>
        <v>-2, 0, 0, 0</v>
      </c>
    </row>
    <row r="55" spans="1:16" ht="29" customHeight="1" x14ac:dyDescent="0.2">
      <c r="A55">
        <f t="shared" si="1"/>
        <v>53</v>
      </c>
      <c r="B55" s="1" t="s">
        <v>228</v>
      </c>
      <c r="C55">
        <v>13</v>
      </c>
      <c r="D55">
        <v>0</v>
      </c>
      <c r="E55">
        <v>5</v>
      </c>
      <c r="F55">
        <v>2</v>
      </c>
      <c r="G55">
        <v>1</v>
      </c>
      <c r="H55">
        <f>_xlfn.XLOOKUP(I55,$B$2:$B$1096,$A$2:$A$1096,65535)</f>
        <v>65535</v>
      </c>
      <c r="J55">
        <f t="shared" ref="J55:K55" si="72">C55-C91</f>
        <v>-3</v>
      </c>
      <c r="K55">
        <f t="shared" si="72"/>
        <v>4</v>
      </c>
      <c r="L55">
        <f t="shared" ref="L55:N55" si="73">E55+E91</f>
        <v>5</v>
      </c>
      <c r="M55">
        <f t="shared" si="73"/>
        <v>2</v>
      </c>
      <c r="N55">
        <f t="shared" si="73"/>
        <v>1</v>
      </c>
      <c r="P55" t="str">
        <f t="shared" si="0"/>
        <v>0, 5, 2, 1</v>
      </c>
    </row>
    <row r="56" spans="1:16" x14ac:dyDescent="0.2">
      <c r="A56">
        <f t="shared" si="1"/>
        <v>54</v>
      </c>
      <c r="B56" s="1" t="s">
        <v>229</v>
      </c>
      <c r="C56">
        <v>14</v>
      </c>
      <c r="D56">
        <v>0</v>
      </c>
      <c r="E56">
        <v>5</v>
      </c>
      <c r="F56">
        <v>2</v>
      </c>
      <c r="G56">
        <v>1</v>
      </c>
      <c r="H56">
        <f>_xlfn.XLOOKUP(I56,$B$2:$B$1096,$A$2:$A$1096,65535)</f>
        <v>65535</v>
      </c>
      <c r="J56">
        <f t="shared" ref="J56:K56" si="74">C56-C92</f>
        <v>-2</v>
      </c>
      <c r="K56">
        <f t="shared" si="74"/>
        <v>4</v>
      </c>
      <c r="L56">
        <f t="shared" ref="L56:N56" si="75">E56+E92</f>
        <v>5</v>
      </c>
      <c r="M56">
        <f t="shared" si="75"/>
        <v>2</v>
      </c>
      <c r="N56">
        <f t="shared" si="75"/>
        <v>1</v>
      </c>
      <c r="P56" t="str">
        <f t="shared" si="0"/>
        <v>0, 5, 2, 1</v>
      </c>
    </row>
    <row r="57" spans="1:16" x14ac:dyDescent="0.2">
      <c r="A57">
        <f t="shared" si="1"/>
        <v>55</v>
      </c>
      <c r="B57" s="1" t="s">
        <v>230</v>
      </c>
      <c r="C57">
        <v>13</v>
      </c>
      <c r="D57">
        <v>0</v>
      </c>
      <c r="E57">
        <v>0</v>
      </c>
      <c r="F57">
        <v>0</v>
      </c>
      <c r="G57">
        <v>0</v>
      </c>
      <c r="H57">
        <f>_xlfn.XLOOKUP(I57,$B$2:$B$1096,$A$2:$A$1096,65535)</f>
        <v>65535</v>
      </c>
      <c r="J57">
        <f t="shared" ref="J57:K57" si="76">C57-C93</f>
        <v>13</v>
      </c>
      <c r="K57">
        <f t="shared" si="76"/>
        <v>4</v>
      </c>
      <c r="L57">
        <f t="shared" ref="L57:N57" si="77">E57+E93</f>
        <v>0</v>
      </c>
      <c r="M57">
        <f t="shared" si="77"/>
        <v>0</v>
      </c>
      <c r="N57">
        <f t="shared" si="77"/>
        <v>0</v>
      </c>
      <c r="P57" t="str">
        <f t="shared" si="0"/>
        <v>0, 0, 0, 0</v>
      </c>
    </row>
    <row r="58" spans="1:16" x14ac:dyDescent="0.2">
      <c r="A58">
        <f t="shared" si="1"/>
        <v>56</v>
      </c>
      <c r="B58" s="1" t="s">
        <v>231</v>
      </c>
      <c r="C58">
        <v>14</v>
      </c>
      <c r="D58">
        <v>2</v>
      </c>
      <c r="E58">
        <v>0</v>
      </c>
      <c r="F58">
        <v>0</v>
      </c>
      <c r="G58">
        <v>0</v>
      </c>
      <c r="H58">
        <f>_xlfn.XLOOKUP(I58,$B$2:$B$1096,$A$2:$A$1096,65535)</f>
        <v>65535</v>
      </c>
      <c r="J58">
        <f t="shared" ref="J58:K58" si="78">C58-C94</f>
        <v>14</v>
      </c>
      <c r="K58">
        <f t="shared" si="78"/>
        <v>6</v>
      </c>
      <c r="L58">
        <f t="shared" ref="L58:N58" si="79">E58+E94</f>
        <v>0</v>
      </c>
      <c r="M58">
        <f t="shared" si="79"/>
        <v>0</v>
      </c>
      <c r="N58">
        <f t="shared" si="79"/>
        <v>0</v>
      </c>
      <c r="P58" t="str">
        <f t="shared" si="0"/>
        <v>2, 0, 0, 0</v>
      </c>
    </row>
    <row r="59" spans="1:16" x14ac:dyDescent="0.2">
      <c r="A59">
        <f t="shared" si="1"/>
        <v>57</v>
      </c>
      <c r="B59" s="1" t="s">
        <v>232</v>
      </c>
      <c r="C59">
        <v>0</v>
      </c>
      <c r="D59">
        <v>2</v>
      </c>
      <c r="E59">
        <v>0</v>
      </c>
      <c r="F59">
        <v>0</v>
      </c>
      <c r="G59">
        <v>0</v>
      </c>
      <c r="H59">
        <f>_xlfn.XLOOKUP(I59,$B$2:$B$1096,$A$2:$A$1096,65535)</f>
        <v>65535</v>
      </c>
      <c r="J59">
        <f t="shared" ref="J59:K59" si="80">C59-C95</f>
        <v>-2</v>
      </c>
      <c r="K59">
        <f t="shared" si="80"/>
        <v>2</v>
      </c>
      <c r="L59">
        <f t="shared" ref="L59:N59" si="81">E59+E95</f>
        <v>0</v>
      </c>
      <c r="M59">
        <f t="shared" si="81"/>
        <v>0</v>
      </c>
      <c r="N59">
        <f t="shared" si="81"/>
        <v>0</v>
      </c>
      <c r="P59" t="str">
        <f t="shared" si="0"/>
        <v>2, 0, 0, 0</v>
      </c>
    </row>
    <row r="60" spans="1:16" x14ac:dyDescent="0.2">
      <c r="A60">
        <f t="shared" si="1"/>
        <v>58</v>
      </c>
      <c r="B60" s="1" t="s">
        <v>233</v>
      </c>
      <c r="C60">
        <v>17</v>
      </c>
      <c r="D60">
        <v>2</v>
      </c>
      <c r="E60">
        <v>0</v>
      </c>
      <c r="F60">
        <v>0</v>
      </c>
      <c r="G60">
        <v>0</v>
      </c>
      <c r="H60">
        <f>_xlfn.XLOOKUP(I60,$B$2:$B$1096,$A$2:$A$1096,65535)</f>
        <v>65535</v>
      </c>
      <c r="J60">
        <f t="shared" ref="J60:K60" si="82">C60-C96</f>
        <v>17</v>
      </c>
      <c r="K60">
        <f t="shared" si="82"/>
        <v>2</v>
      </c>
      <c r="L60">
        <f t="shared" ref="L60:N60" si="83">E60+E96</f>
        <v>0</v>
      </c>
      <c r="M60">
        <f t="shared" si="83"/>
        <v>0</v>
      </c>
      <c r="N60">
        <f t="shared" si="83"/>
        <v>0</v>
      </c>
      <c r="P60" t="str">
        <f t="shared" si="0"/>
        <v>2, 0, 0, 0</v>
      </c>
    </row>
    <row r="61" spans="1:16" x14ac:dyDescent="0.2">
      <c r="A61">
        <f t="shared" si="1"/>
        <v>59</v>
      </c>
      <c r="B61" s="1" t="s">
        <v>234</v>
      </c>
      <c r="C61">
        <v>19</v>
      </c>
      <c r="D61">
        <v>2</v>
      </c>
      <c r="E61">
        <v>0</v>
      </c>
      <c r="F61">
        <v>0</v>
      </c>
      <c r="G61">
        <v>0</v>
      </c>
      <c r="H61">
        <f>_xlfn.XLOOKUP(I61,$B$2:$B$1096,$A$2:$A$1096,65535)</f>
        <v>65535</v>
      </c>
      <c r="J61">
        <f t="shared" ref="J61:K61" si="84">C61-C101</f>
        <v>19</v>
      </c>
      <c r="K61">
        <f t="shared" si="84"/>
        <v>5</v>
      </c>
      <c r="L61">
        <f t="shared" ref="L61:N61" si="85">E61+E101</f>
        <v>0</v>
      </c>
      <c r="M61">
        <f t="shared" si="85"/>
        <v>0</v>
      </c>
      <c r="N61">
        <f t="shared" si="85"/>
        <v>0</v>
      </c>
      <c r="P61" t="str">
        <f t="shared" si="0"/>
        <v>2, 0, 0, 0</v>
      </c>
    </row>
    <row r="62" spans="1:16" x14ac:dyDescent="0.2">
      <c r="A62">
        <f t="shared" si="1"/>
        <v>60</v>
      </c>
      <c r="B62" s="1" t="s">
        <v>235</v>
      </c>
      <c r="C62">
        <v>17</v>
      </c>
      <c r="D62">
        <v>2</v>
      </c>
      <c r="E62">
        <v>0</v>
      </c>
      <c r="F62">
        <v>0</v>
      </c>
      <c r="G62">
        <v>0</v>
      </c>
      <c r="H62">
        <f>_xlfn.XLOOKUP(I62,$B$2:$B$1096,$A$2:$A$1096,65535)</f>
        <v>65535</v>
      </c>
      <c r="J62">
        <f t="shared" ref="J62:K62" si="86">C62-C102</f>
        <v>17</v>
      </c>
      <c r="K62">
        <f t="shared" si="86"/>
        <v>4</v>
      </c>
      <c r="L62">
        <f t="shared" ref="L62:N62" si="87">E62+E102</f>
        <v>0</v>
      </c>
      <c r="M62">
        <f t="shared" si="87"/>
        <v>0</v>
      </c>
      <c r="N62">
        <f t="shared" si="87"/>
        <v>0</v>
      </c>
      <c r="P62" t="str">
        <f t="shared" si="0"/>
        <v>2, 0, 0, 0</v>
      </c>
    </row>
    <row r="63" spans="1:16" x14ac:dyDescent="0.2">
      <c r="A63">
        <f t="shared" si="1"/>
        <v>61</v>
      </c>
      <c r="B63" s="1" t="s">
        <v>236</v>
      </c>
      <c r="C63">
        <v>19</v>
      </c>
      <c r="D63">
        <v>2</v>
      </c>
      <c r="E63">
        <v>0</v>
      </c>
      <c r="F63">
        <v>0</v>
      </c>
      <c r="G63">
        <v>0</v>
      </c>
      <c r="H63">
        <f>_xlfn.XLOOKUP(I63,$B$2:$B$1096,$A$2:$A$1096,65535)</f>
        <v>65535</v>
      </c>
      <c r="J63">
        <f t="shared" ref="J63:K63" si="88">C63-C103</f>
        <v>19</v>
      </c>
      <c r="K63">
        <f t="shared" si="88"/>
        <v>2</v>
      </c>
      <c r="L63">
        <f t="shared" ref="L63:N63" si="89">E63+E103</f>
        <v>0</v>
      </c>
      <c r="M63">
        <f t="shared" si="89"/>
        <v>0</v>
      </c>
      <c r="N63">
        <f t="shared" si="89"/>
        <v>0</v>
      </c>
      <c r="P63" t="str">
        <f t="shared" si="0"/>
        <v>2, 0, 0, 0</v>
      </c>
    </row>
    <row r="64" spans="1:16" x14ac:dyDescent="0.2">
      <c r="A64">
        <f t="shared" si="1"/>
        <v>62</v>
      </c>
      <c r="B64" s="1" t="s">
        <v>237</v>
      </c>
      <c r="C64">
        <v>17</v>
      </c>
      <c r="D64">
        <v>2</v>
      </c>
      <c r="E64">
        <v>0</v>
      </c>
      <c r="F64">
        <v>0</v>
      </c>
      <c r="G64">
        <v>0</v>
      </c>
      <c r="H64">
        <f>_xlfn.XLOOKUP(I64,$B$2:$B$1096,$A$2:$A$1096,65535)</f>
        <v>65535</v>
      </c>
      <c r="J64">
        <f t="shared" ref="J64:K64" si="90">C64-C104</f>
        <v>17</v>
      </c>
      <c r="K64">
        <f t="shared" si="90"/>
        <v>1</v>
      </c>
      <c r="L64">
        <f t="shared" ref="L64:N64" si="91">E64+E104</f>
        <v>0</v>
      </c>
      <c r="M64">
        <f t="shared" si="91"/>
        <v>0</v>
      </c>
      <c r="N64">
        <f t="shared" si="91"/>
        <v>0</v>
      </c>
      <c r="P64" t="str">
        <f t="shared" si="0"/>
        <v>2, 0, 0, 0</v>
      </c>
    </row>
    <row r="65" spans="1:16" x14ac:dyDescent="0.2">
      <c r="A65">
        <f t="shared" si="1"/>
        <v>63</v>
      </c>
      <c r="B65" s="1" t="s">
        <v>238</v>
      </c>
      <c r="C65">
        <v>12</v>
      </c>
      <c r="D65">
        <v>2</v>
      </c>
      <c r="E65">
        <v>0</v>
      </c>
      <c r="F65">
        <v>0</v>
      </c>
      <c r="G65">
        <v>0</v>
      </c>
      <c r="H65">
        <f>_xlfn.XLOOKUP(I65,$B$2:$B$1096,$A$2:$A$1096,65535)</f>
        <v>65535</v>
      </c>
      <c r="J65">
        <f t="shared" ref="J65:K65" si="92">C65-C105</f>
        <v>12</v>
      </c>
      <c r="K65">
        <f t="shared" si="92"/>
        <v>0</v>
      </c>
      <c r="L65">
        <f t="shared" ref="L65:N65" si="93">E65+E105</f>
        <v>0</v>
      </c>
      <c r="M65">
        <f t="shared" si="93"/>
        <v>0</v>
      </c>
      <c r="N65">
        <f t="shared" si="93"/>
        <v>0</v>
      </c>
      <c r="P65" t="str">
        <f t="shared" si="0"/>
        <v>2, 0, 0, 0</v>
      </c>
    </row>
    <row r="66" spans="1:16" x14ac:dyDescent="0.2">
      <c r="A66">
        <f t="shared" si="1"/>
        <v>64</v>
      </c>
      <c r="B66" s="1" t="s">
        <v>239</v>
      </c>
      <c r="C66">
        <v>13</v>
      </c>
      <c r="D66">
        <v>0</v>
      </c>
      <c r="E66">
        <v>5</v>
      </c>
      <c r="F66">
        <v>2</v>
      </c>
      <c r="G66">
        <v>1</v>
      </c>
      <c r="H66">
        <f>_xlfn.XLOOKUP(I66,$B$2:$B$1096,$A$2:$A$1096,65535)</f>
        <v>65535</v>
      </c>
      <c r="J66">
        <f t="shared" ref="J66:K66" si="94">C66-C106</f>
        <v>13</v>
      </c>
      <c r="K66">
        <f t="shared" si="94"/>
        <v>-3</v>
      </c>
      <c r="L66">
        <f t="shared" ref="L66:N66" si="95">E66+E106</f>
        <v>5</v>
      </c>
      <c r="M66">
        <f t="shared" si="95"/>
        <v>2</v>
      </c>
      <c r="N66">
        <f t="shared" si="95"/>
        <v>1</v>
      </c>
      <c r="P66" t="str">
        <f t="shared" si="0"/>
        <v>0, 5, 2, 1</v>
      </c>
    </row>
    <row r="67" spans="1:16" x14ac:dyDescent="0.2">
      <c r="A67">
        <f t="shared" si="1"/>
        <v>65</v>
      </c>
      <c r="B67" s="1" t="s">
        <v>240</v>
      </c>
      <c r="C67">
        <v>14</v>
      </c>
      <c r="D67">
        <v>0</v>
      </c>
      <c r="E67">
        <v>5</v>
      </c>
      <c r="F67">
        <v>2</v>
      </c>
      <c r="G67">
        <v>1</v>
      </c>
      <c r="H67">
        <f>_xlfn.XLOOKUP(I67,$B$2:$B$1096,$A$2:$A$1096,65535)</f>
        <v>65535</v>
      </c>
      <c r="J67">
        <f t="shared" ref="J67:K67" si="96">C67-C107</f>
        <v>14</v>
      </c>
      <c r="K67">
        <f t="shared" si="96"/>
        <v>-2</v>
      </c>
      <c r="L67">
        <f t="shared" ref="L67:N67" si="97">E67+E107</f>
        <v>5</v>
      </c>
      <c r="M67">
        <f t="shared" si="97"/>
        <v>2</v>
      </c>
      <c r="N67">
        <f t="shared" si="97"/>
        <v>1</v>
      </c>
      <c r="P67" t="str">
        <f t="shared" ref="P67:P134" si="98">_xlfn.CONCAT(D67,", ",E67,", ",F67,", ",G67)</f>
        <v>0, 5, 2, 1</v>
      </c>
    </row>
    <row r="68" spans="1:16" x14ac:dyDescent="0.2">
      <c r="A68">
        <f t="shared" ref="A68:A131" si="99">A67+1</f>
        <v>66</v>
      </c>
      <c r="B68" s="1" t="s">
        <v>241</v>
      </c>
      <c r="C68">
        <v>13</v>
      </c>
      <c r="D68">
        <v>0</v>
      </c>
      <c r="E68">
        <v>5</v>
      </c>
      <c r="F68">
        <v>0</v>
      </c>
      <c r="G68">
        <v>1</v>
      </c>
      <c r="H68">
        <f>_xlfn.XLOOKUP(I68,$B$2:$B$1096,$A$2:$A$1096,65535)</f>
        <v>65535</v>
      </c>
      <c r="J68">
        <f t="shared" ref="J68:K68" si="100">C68-C108</f>
        <v>13</v>
      </c>
      <c r="K68">
        <f t="shared" si="100"/>
        <v>-1</v>
      </c>
      <c r="L68">
        <f t="shared" ref="L68:N68" si="101">E68+E108</f>
        <v>5</v>
      </c>
      <c r="M68">
        <f t="shared" si="101"/>
        <v>0</v>
      </c>
      <c r="N68">
        <f t="shared" si="101"/>
        <v>1</v>
      </c>
      <c r="P68" t="str">
        <f t="shared" si="98"/>
        <v>0, 5, 0, 1</v>
      </c>
    </row>
    <row r="69" spans="1:16" x14ac:dyDescent="0.2">
      <c r="A69">
        <f t="shared" si="99"/>
        <v>67</v>
      </c>
      <c r="B69" s="1" t="s">
        <v>1036</v>
      </c>
      <c r="C69">
        <v>17</v>
      </c>
      <c r="D69">
        <v>2</v>
      </c>
      <c r="E69">
        <v>0</v>
      </c>
      <c r="F69">
        <v>0</v>
      </c>
      <c r="G69">
        <v>0</v>
      </c>
      <c r="H69">
        <f>_xlfn.XLOOKUP(I69,$B$2:$B$1096,$A$2:$A$1096,65535)</f>
        <v>65535</v>
      </c>
      <c r="J69">
        <f t="shared" ref="J69:K69" si="102">C69-C109</f>
        <v>17</v>
      </c>
      <c r="K69">
        <f t="shared" si="102"/>
        <v>2</v>
      </c>
      <c r="L69">
        <f t="shared" ref="L69:N69" si="103">E69+E109</f>
        <v>0</v>
      </c>
      <c r="M69">
        <f t="shared" si="103"/>
        <v>0</v>
      </c>
      <c r="N69">
        <f t="shared" si="103"/>
        <v>0</v>
      </c>
      <c r="P69" t="str">
        <f t="shared" si="98"/>
        <v>2, 0, 0, 0</v>
      </c>
    </row>
    <row r="70" spans="1:16" x14ac:dyDescent="0.2">
      <c r="A70">
        <f t="shared" si="99"/>
        <v>68</v>
      </c>
      <c r="B70" s="1" t="s">
        <v>1039</v>
      </c>
      <c r="C70">
        <v>19</v>
      </c>
      <c r="D70">
        <v>2</v>
      </c>
      <c r="E70">
        <v>0</v>
      </c>
      <c r="F70">
        <v>0</v>
      </c>
      <c r="G70">
        <v>0</v>
      </c>
      <c r="H70">
        <f>_xlfn.XLOOKUP(I70,$B$2:$B$1096,$A$2:$A$1096,65535)</f>
        <v>65535</v>
      </c>
      <c r="J70">
        <f t="shared" ref="J70:K70" si="104">C70-C110</f>
        <v>19</v>
      </c>
      <c r="K70">
        <f t="shared" si="104"/>
        <v>3</v>
      </c>
      <c r="L70">
        <f t="shared" ref="L70:N70" si="105">E70+E110</f>
        <v>0</v>
      </c>
      <c r="M70">
        <f t="shared" si="105"/>
        <v>0</v>
      </c>
      <c r="N70">
        <f t="shared" si="105"/>
        <v>0</v>
      </c>
      <c r="P70" t="str">
        <f t="shared" si="98"/>
        <v>2, 0, 0, 0</v>
      </c>
    </row>
    <row r="71" spans="1:16" x14ac:dyDescent="0.2">
      <c r="A71">
        <f t="shared" si="99"/>
        <v>69</v>
      </c>
      <c r="B71" s="1" t="s">
        <v>1038</v>
      </c>
      <c r="C71">
        <v>17</v>
      </c>
      <c r="D71">
        <v>2</v>
      </c>
      <c r="E71">
        <v>0</v>
      </c>
      <c r="F71">
        <v>0</v>
      </c>
      <c r="G71">
        <v>0</v>
      </c>
      <c r="H71">
        <f>_xlfn.XLOOKUP(I71,$B$2:$B$1096,$A$2:$A$1096,65535)</f>
        <v>65535</v>
      </c>
      <c r="J71">
        <f t="shared" ref="J71:K71" si="106">C71-C111</f>
        <v>17</v>
      </c>
      <c r="K71">
        <f t="shared" si="106"/>
        <v>4</v>
      </c>
      <c r="L71">
        <f t="shared" ref="L71:N71" si="107">E71+E111</f>
        <v>0</v>
      </c>
      <c r="M71">
        <f t="shared" si="107"/>
        <v>0</v>
      </c>
      <c r="N71">
        <f t="shared" si="107"/>
        <v>0</v>
      </c>
      <c r="P71" t="str">
        <f t="shared" si="98"/>
        <v>2, 0, 0, 0</v>
      </c>
    </row>
    <row r="72" spans="1:16" x14ac:dyDescent="0.2">
      <c r="A72">
        <f t="shared" si="99"/>
        <v>70</v>
      </c>
      <c r="B72" s="1" t="s">
        <v>1037</v>
      </c>
      <c r="C72">
        <v>19</v>
      </c>
      <c r="D72">
        <v>2</v>
      </c>
      <c r="E72">
        <v>0</v>
      </c>
      <c r="F72">
        <v>0</v>
      </c>
      <c r="G72">
        <v>0</v>
      </c>
      <c r="H72">
        <f>_xlfn.XLOOKUP(I72,$B$2:$B$1096,$A$2:$A$1096,65535)</f>
        <v>65535</v>
      </c>
      <c r="J72">
        <f t="shared" ref="J72:K72" si="108">C72-C112</f>
        <v>19</v>
      </c>
      <c r="K72">
        <f t="shared" si="108"/>
        <v>5</v>
      </c>
      <c r="L72">
        <f t="shared" ref="L72:N72" si="109">E72+E112</f>
        <v>0</v>
      </c>
      <c r="M72">
        <f t="shared" si="109"/>
        <v>0</v>
      </c>
      <c r="N72">
        <f t="shared" si="109"/>
        <v>0</v>
      </c>
      <c r="P72" t="str">
        <f t="shared" si="98"/>
        <v>2, 0, 0, 0</v>
      </c>
    </row>
    <row r="73" spans="1:16" x14ac:dyDescent="0.2">
      <c r="A73">
        <f t="shared" si="99"/>
        <v>71</v>
      </c>
      <c r="B73" s="1" t="s">
        <v>242</v>
      </c>
      <c r="C73">
        <v>13</v>
      </c>
      <c r="D73">
        <v>0</v>
      </c>
      <c r="E73">
        <v>5</v>
      </c>
      <c r="F73">
        <v>2</v>
      </c>
      <c r="G73">
        <v>1</v>
      </c>
      <c r="H73">
        <f>_xlfn.XLOOKUP(I73,$B$2:$B$1096,$A$2:$A$1096,65535)</f>
        <v>65535</v>
      </c>
      <c r="J73">
        <f t="shared" ref="J73:K73" si="110">C73-C113</f>
        <v>13</v>
      </c>
      <c r="K73">
        <f t="shared" si="110"/>
        <v>2</v>
      </c>
      <c r="L73">
        <f t="shared" ref="L73:N73" si="111">E73+E113</f>
        <v>5</v>
      </c>
      <c r="M73">
        <f t="shared" si="111"/>
        <v>2</v>
      </c>
      <c r="N73">
        <f t="shared" si="111"/>
        <v>1</v>
      </c>
      <c r="P73" t="str">
        <f t="shared" si="98"/>
        <v>0, 5, 2, 1</v>
      </c>
    </row>
    <row r="74" spans="1:16" x14ac:dyDescent="0.2">
      <c r="A74">
        <f t="shared" si="99"/>
        <v>72</v>
      </c>
      <c r="B74" s="1" t="s">
        <v>243</v>
      </c>
      <c r="C74">
        <v>14</v>
      </c>
      <c r="D74">
        <v>0</v>
      </c>
      <c r="E74">
        <v>5</v>
      </c>
      <c r="F74">
        <v>2</v>
      </c>
      <c r="G74">
        <v>1</v>
      </c>
      <c r="H74">
        <f>_xlfn.XLOOKUP(I74,$B$2:$B$1096,$A$2:$A$1096,65535)</f>
        <v>65535</v>
      </c>
      <c r="J74">
        <f t="shared" ref="J74:K74" si="112">C74-C114</f>
        <v>14</v>
      </c>
      <c r="K74">
        <f t="shared" si="112"/>
        <v>1</v>
      </c>
      <c r="L74">
        <f t="shared" ref="L74:N74" si="113">E74+E114</f>
        <v>5</v>
      </c>
      <c r="M74">
        <f t="shared" si="113"/>
        <v>2</v>
      </c>
      <c r="N74">
        <f t="shared" si="113"/>
        <v>1</v>
      </c>
      <c r="P74" t="str">
        <f t="shared" si="98"/>
        <v>0, 5, 2, 1</v>
      </c>
    </row>
    <row r="75" spans="1:16" x14ac:dyDescent="0.2">
      <c r="A75">
        <f t="shared" si="99"/>
        <v>73</v>
      </c>
      <c r="B75" s="1" t="s">
        <v>244</v>
      </c>
      <c r="C75">
        <v>13</v>
      </c>
      <c r="D75">
        <v>0</v>
      </c>
      <c r="E75">
        <v>0</v>
      </c>
      <c r="F75">
        <v>0</v>
      </c>
      <c r="G75">
        <v>0</v>
      </c>
      <c r="H75">
        <f>_xlfn.XLOOKUP(I75,$B$2:$B$1096,$A$2:$A$1096,65535)</f>
        <v>65535</v>
      </c>
      <c r="J75">
        <f t="shared" ref="J75:K75" si="114">C75-C115</f>
        <v>13</v>
      </c>
      <c r="K75">
        <f t="shared" si="114"/>
        <v>0</v>
      </c>
      <c r="L75">
        <f t="shared" ref="L75:N75" si="115">E75+E115</f>
        <v>0</v>
      </c>
      <c r="M75">
        <f t="shared" si="115"/>
        <v>0</v>
      </c>
      <c r="N75">
        <f t="shared" si="115"/>
        <v>0</v>
      </c>
      <c r="P75" t="str">
        <f t="shared" si="98"/>
        <v>0, 0, 0, 0</v>
      </c>
    </row>
    <row r="76" spans="1:16" x14ac:dyDescent="0.2">
      <c r="A76">
        <f t="shared" si="99"/>
        <v>74</v>
      </c>
      <c r="B76" s="1" t="s">
        <v>245</v>
      </c>
      <c r="C76">
        <v>12</v>
      </c>
      <c r="D76">
        <v>-2</v>
      </c>
      <c r="E76">
        <v>0</v>
      </c>
      <c r="F76">
        <v>0</v>
      </c>
      <c r="G76">
        <v>0</v>
      </c>
      <c r="H76">
        <f>_xlfn.XLOOKUP(I76,$B$2:$B$1096,$A$2:$A$1096,65535)</f>
        <v>65535</v>
      </c>
      <c r="J76">
        <f t="shared" ref="J76:K76" si="116">C76-C116</f>
        <v>12</v>
      </c>
      <c r="K76">
        <f t="shared" si="116"/>
        <v>-3</v>
      </c>
      <c r="L76">
        <f t="shared" ref="L76:N76" si="117">E76+E116</f>
        <v>0</v>
      </c>
      <c r="M76">
        <f t="shared" si="117"/>
        <v>0</v>
      </c>
      <c r="N76">
        <f t="shared" si="117"/>
        <v>0</v>
      </c>
      <c r="P76" t="str">
        <f t="shared" si="98"/>
        <v>-2, 0, 0, 0</v>
      </c>
    </row>
    <row r="77" spans="1:16" x14ac:dyDescent="0.2">
      <c r="A77">
        <f t="shared" si="99"/>
        <v>75</v>
      </c>
      <c r="B77" s="1" t="s">
        <v>246</v>
      </c>
      <c r="C77">
        <v>17</v>
      </c>
      <c r="D77">
        <v>-2</v>
      </c>
      <c r="E77">
        <v>0</v>
      </c>
      <c r="F77">
        <v>0</v>
      </c>
      <c r="G77">
        <v>0</v>
      </c>
      <c r="H77">
        <f>_xlfn.XLOOKUP(I77,$B$2:$B$1096,$A$2:$A$1096,65535)</f>
        <v>65535</v>
      </c>
      <c r="J77">
        <f t="shared" ref="J77:K77" si="118">C77-C117</f>
        <v>17</v>
      </c>
      <c r="K77">
        <f t="shared" si="118"/>
        <v>-4</v>
      </c>
      <c r="L77">
        <f t="shared" ref="L77:N77" si="119">E77+E117</f>
        <v>0</v>
      </c>
      <c r="M77">
        <f t="shared" si="119"/>
        <v>0</v>
      </c>
      <c r="N77">
        <f t="shared" si="119"/>
        <v>0</v>
      </c>
      <c r="P77" t="str">
        <f t="shared" si="98"/>
        <v>-2, 0, 0, 0</v>
      </c>
    </row>
    <row r="78" spans="1:16" x14ac:dyDescent="0.2">
      <c r="A78">
        <f t="shared" si="99"/>
        <v>76</v>
      </c>
      <c r="B78" s="1" t="s">
        <v>247</v>
      </c>
      <c r="C78">
        <v>19</v>
      </c>
      <c r="D78">
        <v>-2</v>
      </c>
      <c r="E78">
        <v>0</v>
      </c>
      <c r="F78">
        <v>0</v>
      </c>
      <c r="G78">
        <v>0</v>
      </c>
      <c r="H78">
        <f>_xlfn.XLOOKUP(I78,$B$2:$B$1096,$A$2:$A$1096,65535)</f>
        <v>65535</v>
      </c>
      <c r="J78">
        <f t="shared" ref="J78:K78" si="120">C78-C118</f>
        <v>19</v>
      </c>
      <c r="K78">
        <f t="shared" si="120"/>
        <v>-3</v>
      </c>
      <c r="L78">
        <f t="shared" ref="L78:N78" si="121">E78+E118</f>
        <v>0</v>
      </c>
      <c r="M78">
        <f t="shared" si="121"/>
        <v>0</v>
      </c>
      <c r="N78">
        <f t="shared" si="121"/>
        <v>0</v>
      </c>
      <c r="P78" t="str">
        <f t="shared" si="98"/>
        <v>-2, 0, 0, 0</v>
      </c>
    </row>
    <row r="79" spans="1:16" x14ac:dyDescent="0.2">
      <c r="A79">
        <f t="shared" si="99"/>
        <v>77</v>
      </c>
      <c r="B79" s="1" t="s">
        <v>248</v>
      </c>
      <c r="C79">
        <v>17</v>
      </c>
      <c r="D79">
        <v>-2</v>
      </c>
      <c r="E79">
        <v>0</v>
      </c>
      <c r="F79">
        <v>0</v>
      </c>
      <c r="G79">
        <v>0</v>
      </c>
      <c r="H79">
        <f>_xlfn.XLOOKUP(I79,$B$2:$B$1096,$A$2:$A$1096,65535)</f>
        <v>65535</v>
      </c>
      <c r="J79">
        <f t="shared" ref="J79:K79" si="122">C79-C119</f>
        <v>17</v>
      </c>
      <c r="K79">
        <f t="shared" si="122"/>
        <v>-2</v>
      </c>
      <c r="L79">
        <f t="shared" ref="L79:N79" si="123">E79+E119</f>
        <v>0</v>
      </c>
      <c r="M79">
        <f t="shared" si="123"/>
        <v>0</v>
      </c>
      <c r="N79">
        <f t="shared" si="123"/>
        <v>0</v>
      </c>
      <c r="P79" t="str">
        <f t="shared" si="98"/>
        <v>-2, 0, 0, 0</v>
      </c>
    </row>
    <row r="80" spans="1:16" x14ac:dyDescent="0.2">
      <c r="A80">
        <f t="shared" si="99"/>
        <v>78</v>
      </c>
      <c r="B80" s="1" t="s">
        <v>249</v>
      </c>
      <c r="C80">
        <v>19</v>
      </c>
      <c r="D80">
        <v>-2</v>
      </c>
      <c r="E80">
        <v>0</v>
      </c>
      <c r="F80">
        <v>0</v>
      </c>
      <c r="G80">
        <v>0</v>
      </c>
      <c r="H80">
        <f>_xlfn.XLOOKUP(I80,$B$2:$B$1096,$A$2:$A$1096,65535)</f>
        <v>65535</v>
      </c>
      <c r="J80">
        <f t="shared" ref="J80:K80" si="124">C80-C120</f>
        <v>19</v>
      </c>
      <c r="K80">
        <f t="shared" si="124"/>
        <v>-1</v>
      </c>
      <c r="L80">
        <f t="shared" ref="L80:N80" si="125">E80+E120</f>
        <v>0</v>
      </c>
      <c r="M80">
        <f t="shared" si="125"/>
        <v>0</v>
      </c>
      <c r="N80">
        <f t="shared" si="125"/>
        <v>0</v>
      </c>
      <c r="P80" t="str">
        <f t="shared" si="98"/>
        <v>-2, 0, 0, 0</v>
      </c>
    </row>
    <row r="81" spans="1:16" x14ac:dyDescent="0.2">
      <c r="A81">
        <f t="shared" si="99"/>
        <v>79</v>
      </c>
      <c r="B81" s="1" t="s">
        <v>250</v>
      </c>
      <c r="C81">
        <v>17</v>
      </c>
      <c r="D81">
        <v>-2</v>
      </c>
      <c r="E81">
        <v>0</v>
      </c>
      <c r="F81">
        <v>0</v>
      </c>
      <c r="G81">
        <v>0</v>
      </c>
      <c r="H81">
        <f>_xlfn.XLOOKUP(I81,$B$2:$B$1096,$A$2:$A$1096,65535)</f>
        <v>65535</v>
      </c>
      <c r="J81">
        <f t="shared" ref="J81:K81" si="126">C81-C121</f>
        <v>17</v>
      </c>
      <c r="K81">
        <f t="shared" si="126"/>
        <v>0</v>
      </c>
      <c r="L81">
        <f t="shared" ref="L81:N81" si="127">E81+E121</f>
        <v>0</v>
      </c>
      <c r="M81">
        <f t="shared" si="127"/>
        <v>0</v>
      </c>
      <c r="N81">
        <f t="shared" si="127"/>
        <v>0</v>
      </c>
      <c r="P81" t="str">
        <f t="shared" si="98"/>
        <v>-2, 0, 0, 0</v>
      </c>
    </row>
    <row r="82" spans="1:16" x14ac:dyDescent="0.2">
      <c r="A82">
        <f t="shared" si="99"/>
        <v>80</v>
      </c>
      <c r="B82" s="1" t="s">
        <v>251</v>
      </c>
      <c r="C82">
        <v>0</v>
      </c>
      <c r="D82">
        <v>-2</v>
      </c>
      <c r="E82">
        <v>0</v>
      </c>
      <c r="F82">
        <v>0</v>
      </c>
      <c r="G82">
        <v>0</v>
      </c>
      <c r="H82">
        <f>_xlfn.XLOOKUP(I82,$B$2:$B$1096,$A$2:$A$1096,65535)</f>
        <v>65535</v>
      </c>
      <c r="J82">
        <f t="shared" ref="J82:K82" si="128">C82-C122</f>
        <v>0</v>
      </c>
      <c r="K82">
        <f t="shared" si="128"/>
        <v>-1</v>
      </c>
      <c r="L82">
        <f t="shared" ref="L82:N82" si="129">E82+E122</f>
        <v>0</v>
      </c>
      <c r="M82">
        <f t="shared" si="129"/>
        <v>0</v>
      </c>
      <c r="N82">
        <f t="shared" si="129"/>
        <v>0</v>
      </c>
      <c r="P82" t="str">
        <f t="shared" si="98"/>
        <v>-2, 0, 0, 0</v>
      </c>
    </row>
    <row r="83" spans="1:16" x14ac:dyDescent="0.2">
      <c r="A83">
        <f t="shared" si="99"/>
        <v>81</v>
      </c>
      <c r="B83" s="1" t="s">
        <v>252</v>
      </c>
      <c r="C83">
        <v>14</v>
      </c>
      <c r="D83">
        <v>-2</v>
      </c>
      <c r="E83">
        <v>0</v>
      </c>
      <c r="F83">
        <v>0</v>
      </c>
      <c r="G83">
        <v>0</v>
      </c>
      <c r="H83">
        <f>_xlfn.XLOOKUP(I83,$B$2:$B$1096,$A$2:$A$1096,65535)</f>
        <v>65535</v>
      </c>
      <c r="J83">
        <f t="shared" ref="J83:K83" si="130">C83-C123</f>
        <v>14</v>
      </c>
      <c r="K83">
        <f t="shared" si="130"/>
        <v>-2</v>
      </c>
      <c r="L83">
        <f t="shared" ref="L83:N83" si="131">E83+E123</f>
        <v>0</v>
      </c>
      <c r="M83">
        <f t="shared" si="131"/>
        <v>0</v>
      </c>
      <c r="N83">
        <f t="shared" si="131"/>
        <v>0</v>
      </c>
      <c r="P83" t="str">
        <f t="shared" si="98"/>
        <v>-2, 0, 0, 0</v>
      </c>
    </row>
    <row r="84" spans="1:16" x14ac:dyDescent="0.2">
      <c r="A84">
        <f t="shared" si="99"/>
        <v>82</v>
      </c>
      <c r="B84" s="1" t="s">
        <v>253</v>
      </c>
      <c r="C84">
        <v>13</v>
      </c>
      <c r="D84">
        <v>0</v>
      </c>
      <c r="E84">
        <v>0</v>
      </c>
      <c r="F84">
        <v>0</v>
      </c>
      <c r="G84">
        <v>0</v>
      </c>
      <c r="H84">
        <f>_xlfn.XLOOKUP(I84,$B$2:$B$1096,$A$2:$A$1096,65535)</f>
        <v>65535</v>
      </c>
      <c r="J84">
        <f t="shared" ref="J84:K84" si="132">C84-C124</f>
        <v>13</v>
      </c>
      <c r="K84">
        <f t="shared" si="132"/>
        <v>0</v>
      </c>
      <c r="L84">
        <f t="shared" ref="L84:N84" si="133">E84+E124</f>
        <v>0</v>
      </c>
      <c r="M84">
        <f t="shared" si="133"/>
        <v>0</v>
      </c>
      <c r="N84">
        <f t="shared" si="133"/>
        <v>0</v>
      </c>
      <c r="P84" t="str">
        <f t="shared" si="98"/>
        <v>0, 0, 0, 0</v>
      </c>
    </row>
    <row r="85" spans="1:16" x14ac:dyDescent="0.2">
      <c r="A85">
        <f t="shared" si="99"/>
        <v>83</v>
      </c>
      <c r="B85" s="1" t="s">
        <v>254</v>
      </c>
      <c r="C85">
        <v>14</v>
      </c>
      <c r="D85">
        <v>0</v>
      </c>
      <c r="E85">
        <v>5</v>
      </c>
      <c r="F85">
        <v>2</v>
      </c>
      <c r="G85">
        <v>1</v>
      </c>
      <c r="H85">
        <f>_xlfn.XLOOKUP(I85,$B$2:$B$1096,$A$2:$A$1096,65535)</f>
        <v>65535</v>
      </c>
      <c r="J85">
        <f t="shared" ref="J85:K85" si="134">C85-C125</f>
        <v>13</v>
      </c>
      <c r="K85">
        <f t="shared" si="134"/>
        <v>2</v>
      </c>
      <c r="L85">
        <f t="shared" ref="L85:N85" si="135">E85+E125</f>
        <v>5</v>
      </c>
      <c r="M85">
        <f t="shared" si="135"/>
        <v>2</v>
      </c>
      <c r="N85">
        <f t="shared" si="135"/>
        <v>1</v>
      </c>
      <c r="P85" t="str">
        <f t="shared" si="98"/>
        <v>0, 5, 2, 1</v>
      </c>
    </row>
    <row r="86" spans="1:16" x14ac:dyDescent="0.2">
      <c r="A86">
        <f t="shared" si="99"/>
        <v>84</v>
      </c>
      <c r="B86" s="1" t="s">
        <v>255</v>
      </c>
      <c r="C86">
        <v>13</v>
      </c>
      <c r="D86">
        <v>0</v>
      </c>
      <c r="E86">
        <v>5</v>
      </c>
      <c r="F86">
        <v>2</v>
      </c>
      <c r="G86">
        <v>1</v>
      </c>
      <c r="H86">
        <f>_xlfn.XLOOKUP(I86,$B$2:$B$1096,$A$2:$A$1096,65535)</f>
        <v>65535</v>
      </c>
      <c r="J86">
        <f t="shared" ref="J86:K86" si="136">C86-C126</f>
        <v>11</v>
      </c>
      <c r="K86">
        <f t="shared" si="136"/>
        <v>0</v>
      </c>
      <c r="L86">
        <f t="shared" ref="L86:N86" si="137">E86+E126</f>
        <v>5</v>
      </c>
      <c r="M86">
        <f t="shared" si="137"/>
        <v>2</v>
      </c>
      <c r="N86">
        <f t="shared" si="137"/>
        <v>1</v>
      </c>
      <c r="P86" t="str">
        <f t="shared" si="98"/>
        <v>0, 5, 2, 1</v>
      </c>
    </row>
    <row r="87" spans="1:16" x14ac:dyDescent="0.2">
      <c r="A87">
        <f t="shared" si="99"/>
        <v>85</v>
      </c>
      <c r="B87" s="1" t="s">
        <v>1044</v>
      </c>
      <c r="C87">
        <v>19</v>
      </c>
      <c r="D87">
        <v>-2</v>
      </c>
      <c r="E87">
        <v>0</v>
      </c>
      <c r="F87">
        <v>0</v>
      </c>
      <c r="G87">
        <v>0</v>
      </c>
      <c r="H87">
        <f>_xlfn.XLOOKUP(I87,$B$2:$B$1096,$A$2:$A$1096,65535)</f>
        <v>65535</v>
      </c>
      <c r="J87">
        <f t="shared" ref="J87:K87" si="138">C87-C127</f>
        <v>18</v>
      </c>
      <c r="K87">
        <f t="shared" si="138"/>
        <v>-1</v>
      </c>
      <c r="L87">
        <f t="shared" ref="L87:N87" si="139">E87+E127</f>
        <v>0</v>
      </c>
      <c r="M87">
        <f t="shared" si="139"/>
        <v>0</v>
      </c>
      <c r="N87">
        <f t="shared" si="139"/>
        <v>0</v>
      </c>
      <c r="P87" t="str">
        <f t="shared" si="98"/>
        <v>-2, 0, 0, 0</v>
      </c>
    </row>
    <row r="88" spans="1:16" x14ac:dyDescent="0.2">
      <c r="A88">
        <f t="shared" si="99"/>
        <v>86</v>
      </c>
      <c r="B88" s="1" t="s">
        <v>1045</v>
      </c>
      <c r="C88">
        <v>17</v>
      </c>
      <c r="D88">
        <v>-2</v>
      </c>
      <c r="E88">
        <v>0</v>
      </c>
      <c r="F88">
        <v>0</v>
      </c>
      <c r="G88">
        <v>0</v>
      </c>
      <c r="H88">
        <f>_xlfn.XLOOKUP(I88,$B$2:$B$1096,$A$2:$A$1096,65535)</f>
        <v>65535</v>
      </c>
      <c r="J88">
        <f t="shared" ref="J88:K88" si="140">C88-C128</f>
        <v>10</v>
      </c>
      <c r="K88">
        <f t="shared" si="140"/>
        <v>-2</v>
      </c>
      <c r="L88">
        <f t="shared" ref="L88:N88" si="141">E88+E128</f>
        <v>0</v>
      </c>
      <c r="M88">
        <f t="shared" si="141"/>
        <v>0</v>
      </c>
      <c r="N88">
        <f t="shared" si="141"/>
        <v>0</v>
      </c>
      <c r="P88" t="str">
        <f t="shared" si="98"/>
        <v>-2, 0, 0, 0</v>
      </c>
    </row>
    <row r="89" spans="1:16" x14ac:dyDescent="0.2">
      <c r="A89">
        <f t="shared" si="99"/>
        <v>87</v>
      </c>
      <c r="B89" s="1" t="s">
        <v>1046</v>
      </c>
      <c r="C89">
        <v>19</v>
      </c>
      <c r="D89">
        <v>-2</v>
      </c>
      <c r="E89">
        <v>0</v>
      </c>
      <c r="F89">
        <v>0</v>
      </c>
      <c r="G89">
        <v>0</v>
      </c>
      <c r="H89">
        <f>_xlfn.XLOOKUP(I89,$B$2:$B$1096,$A$2:$A$1096,65535)</f>
        <v>65535</v>
      </c>
      <c r="J89">
        <f t="shared" ref="J89:K89" si="142">C89-C129</f>
        <v>14</v>
      </c>
      <c r="K89">
        <f t="shared" si="142"/>
        <v>-2</v>
      </c>
      <c r="L89">
        <f t="shared" ref="L89:N89" si="143">E89+E129</f>
        <v>0</v>
      </c>
      <c r="M89">
        <f t="shared" si="143"/>
        <v>0</v>
      </c>
      <c r="N89">
        <f t="shared" si="143"/>
        <v>0</v>
      </c>
      <c r="P89" t="str">
        <f t="shared" si="98"/>
        <v>-2, 0, 0, 0</v>
      </c>
    </row>
    <row r="90" spans="1:16" x14ac:dyDescent="0.2">
      <c r="A90">
        <f t="shared" si="99"/>
        <v>88</v>
      </c>
      <c r="B90" s="1" t="s">
        <v>1047</v>
      </c>
      <c r="C90">
        <v>17</v>
      </c>
      <c r="D90">
        <v>-2</v>
      </c>
      <c r="E90">
        <v>0</v>
      </c>
      <c r="F90">
        <v>0</v>
      </c>
      <c r="G90">
        <v>0</v>
      </c>
      <c r="H90">
        <f>_xlfn.XLOOKUP(I90,$B$2:$B$1096,$A$2:$A$1096,65535)</f>
        <v>65535</v>
      </c>
      <c r="J90">
        <f t="shared" ref="J90:K90" si="144">C90-C130</f>
        <v>13</v>
      </c>
      <c r="K90">
        <f t="shared" si="144"/>
        <v>-2</v>
      </c>
      <c r="L90">
        <f t="shared" ref="L90:N90" si="145">E90+E130</f>
        <v>-5</v>
      </c>
      <c r="M90">
        <f t="shared" si="145"/>
        <v>-2</v>
      </c>
      <c r="N90">
        <f t="shared" si="145"/>
        <v>-1</v>
      </c>
      <c r="P90" t="str">
        <f t="shared" si="98"/>
        <v>-2, 0, 0, 0</v>
      </c>
    </row>
    <row r="91" spans="1:16" x14ac:dyDescent="0.2">
      <c r="A91">
        <f t="shared" si="99"/>
        <v>89</v>
      </c>
      <c r="B91" s="5" t="s">
        <v>326</v>
      </c>
      <c r="C91">
        <v>16</v>
      </c>
      <c r="D91">
        <v>-4</v>
      </c>
      <c r="E91">
        <v>0</v>
      </c>
      <c r="F91">
        <v>0</v>
      </c>
      <c r="G91">
        <v>0</v>
      </c>
      <c r="H91">
        <f>_xlfn.XLOOKUP(I91,$B$2:$B$1096,$A$2:$A$1096,65535)</f>
        <v>65535</v>
      </c>
      <c r="J91">
        <f t="shared" ref="J91:K91" si="146">C91-C131</f>
        <v>11</v>
      </c>
      <c r="K91">
        <f t="shared" si="146"/>
        <v>-4</v>
      </c>
      <c r="L91">
        <f t="shared" ref="L91:N91" si="147">E91+E131</f>
        <v>-5</v>
      </c>
      <c r="M91">
        <f t="shared" si="147"/>
        <v>-2</v>
      </c>
      <c r="N91">
        <f t="shared" si="147"/>
        <v>0</v>
      </c>
      <c r="P91" t="str">
        <f t="shared" si="98"/>
        <v>-4, 0, 0, 0</v>
      </c>
    </row>
    <row r="92" spans="1:16" x14ac:dyDescent="0.2">
      <c r="A92">
        <f t="shared" si="99"/>
        <v>90</v>
      </c>
      <c r="B92" s="5" t="s">
        <v>327</v>
      </c>
      <c r="C92">
        <v>16</v>
      </c>
      <c r="D92">
        <v>-4</v>
      </c>
      <c r="E92">
        <v>0</v>
      </c>
      <c r="F92">
        <v>0</v>
      </c>
      <c r="G92">
        <v>0</v>
      </c>
      <c r="H92">
        <f>_xlfn.XLOOKUP(I92,$B$2:$B$1096,$A$2:$A$1096,65535)</f>
        <v>65535</v>
      </c>
      <c r="J92">
        <f t="shared" ref="J92:K92" si="148">C92-C132</f>
        <v>10</v>
      </c>
      <c r="K92">
        <f t="shared" si="148"/>
        <v>-4</v>
      </c>
      <c r="L92">
        <f t="shared" ref="L92:N92" si="149">E92+E132</f>
        <v>-5</v>
      </c>
      <c r="M92">
        <f t="shared" si="149"/>
        <v>-2</v>
      </c>
      <c r="N92">
        <f t="shared" si="149"/>
        <v>-1</v>
      </c>
      <c r="P92" t="str">
        <f t="shared" si="98"/>
        <v>-4, 0, 0, 0</v>
      </c>
    </row>
    <row r="93" spans="1:16" s="4" customFormat="1" x14ac:dyDescent="0.2">
      <c r="A93">
        <f t="shared" si="99"/>
        <v>91</v>
      </c>
      <c r="B93" s="5" t="s">
        <v>329</v>
      </c>
      <c r="C93" s="4">
        <v>0</v>
      </c>
      <c r="D93" s="4">
        <v>-4</v>
      </c>
      <c r="E93" s="4">
        <v>0</v>
      </c>
      <c r="F93" s="4">
        <v>0</v>
      </c>
      <c r="G93" s="4">
        <v>0</v>
      </c>
      <c r="H93">
        <f>_xlfn.XLOOKUP(I93,$B$2:$B$1096,$A$2:$A$1096,65535)</f>
        <v>65535</v>
      </c>
      <c r="J93">
        <f t="shared" ref="J93:K93" si="150">C93-C133</f>
        <v>-5</v>
      </c>
      <c r="K93">
        <f t="shared" si="150"/>
        <v>-4</v>
      </c>
      <c r="L93">
        <f t="shared" ref="L93:N93" si="151">E93+E133</f>
        <v>-5</v>
      </c>
      <c r="M93">
        <f t="shared" si="151"/>
        <v>-2</v>
      </c>
      <c r="N93">
        <f t="shared" si="151"/>
        <v>0</v>
      </c>
      <c r="O93"/>
      <c r="P93" t="str">
        <f t="shared" si="98"/>
        <v>-4, 0, 0, 0</v>
      </c>
    </row>
    <row r="94" spans="1:16" s="4" customFormat="1" x14ac:dyDescent="0.2">
      <c r="A94">
        <f t="shared" si="99"/>
        <v>92</v>
      </c>
      <c r="B94" s="5" t="s">
        <v>328</v>
      </c>
      <c r="C94" s="4">
        <v>0</v>
      </c>
      <c r="D94" s="4">
        <v>-4</v>
      </c>
      <c r="E94" s="4">
        <v>0</v>
      </c>
      <c r="F94" s="4">
        <v>0</v>
      </c>
      <c r="G94" s="4">
        <v>0</v>
      </c>
      <c r="H94">
        <f>_xlfn.XLOOKUP(I94,$B$2:$B$1096,$A$2:$A$1096,65535)</f>
        <v>65535</v>
      </c>
      <c r="J94">
        <f t="shared" ref="J94:K94" si="152">C94-C134</f>
        <v>-4</v>
      </c>
      <c r="K94">
        <f t="shared" si="152"/>
        <v>-4</v>
      </c>
      <c r="L94">
        <f t="shared" ref="L94:N94" si="153">E94+E134</f>
        <v>-5</v>
      </c>
      <c r="M94">
        <f t="shared" si="153"/>
        <v>-2</v>
      </c>
      <c r="N94">
        <f t="shared" si="153"/>
        <v>-1</v>
      </c>
      <c r="O94"/>
      <c r="P94" t="str">
        <f t="shared" si="98"/>
        <v>-4, 0, 0, 0</v>
      </c>
    </row>
    <row r="95" spans="1:16" s="4" customFormat="1" x14ac:dyDescent="0.2">
      <c r="A95">
        <f t="shared" si="99"/>
        <v>93</v>
      </c>
      <c r="B95" s="5" t="s">
        <v>330</v>
      </c>
      <c r="C95" s="4">
        <v>2</v>
      </c>
      <c r="D95" s="4">
        <v>0</v>
      </c>
      <c r="E95" s="4">
        <v>0</v>
      </c>
      <c r="F95" s="4">
        <v>0</v>
      </c>
      <c r="G95" s="4">
        <v>0</v>
      </c>
      <c r="H95">
        <f>_xlfn.XLOOKUP(I95,$B$2:$B$1096,$A$2:$A$1096,65535)</f>
        <v>65535</v>
      </c>
      <c r="J95">
        <f t="shared" ref="J95:K95" si="154">C95-C135</f>
        <v>-3</v>
      </c>
      <c r="K95">
        <f t="shared" si="154"/>
        <v>0</v>
      </c>
      <c r="L95">
        <f t="shared" ref="L95:N95" si="155">E95+E135</f>
        <v>-5</v>
      </c>
      <c r="M95">
        <f t="shared" si="155"/>
        <v>-2</v>
      </c>
      <c r="N95">
        <f t="shared" si="155"/>
        <v>0</v>
      </c>
      <c r="O95"/>
      <c r="P95" t="str">
        <f t="shared" si="98"/>
        <v>0, 0, 0, 0</v>
      </c>
    </row>
    <row r="96" spans="1:16" s="4" customFormat="1" x14ac:dyDescent="0.2">
      <c r="A96">
        <f t="shared" si="99"/>
        <v>94</v>
      </c>
      <c r="B96" s="5" t="s">
        <v>331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>
        <f>_xlfn.XLOOKUP(I96,$B$2:$B$1096,$A$2:$A$1096,65535)</f>
        <v>65535</v>
      </c>
      <c r="J96">
        <f t="shared" ref="J96:K99" si="156">C96-C136</f>
        <v>-6</v>
      </c>
      <c r="K96">
        <f t="shared" si="156"/>
        <v>0</v>
      </c>
      <c r="L96">
        <f t="shared" ref="L96:N99" si="157">E96+E136</f>
        <v>-5</v>
      </c>
      <c r="M96">
        <f t="shared" si="157"/>
        <v>-2</v>
      </c>
      <c r="N96">
        <f t="shared" si="157"/>
        <v>-1</v>
      </c>
      <c r="O96"/>
      <c r="P96" t="str">
        <f t="shared" si="98"/>
        <v>0, 0, 0, 0</v>
      </c>
    </row>
    <row r="97" spans="1:16" s="4" customFormat="1" x14ac:dyDescent="0.2">
      <c r="A97">
        <f t="shared" si="99"/>
        <v>95</v>
      </c>
      <c r="B97" s="5" t="s">
        <v>1078</v>
      </c>
      <c r="C97" s="4">
        <v>0</v>
      </c>
      <c r="D97" s="4">
        <v>-4</v>
      </c>
      <c r="E97" s="4">
        <v>0</v>
      </c>
      <c r="F97" s="4">
        <v>0</v>
      </c>
      <c r="G97" s="4">
        <v>0</v>
      </c>
      <c r="H97">
        <f>_xlfn.XLOOKUP(I97,$B$2:$B$1096,$A$2:$A$1096,65535)</f>
        <v>65535</v>
      </c>
      <c r="J97">
        <f t="shared" si="156"/>
        <v>-5</v>
      </c>
      <c r="K97">
        <f t="shared" si="156"/>
        <v>-4</v>
      </c>
      <c r="L97">
        <f t="shared" si="157"/>
        <v>-5</v>
      </c>
      <c r="M97">
        <f t="shared" si="157"/>
        <v>-2</v>
      </c>
      <c r="N97">
        <f t="shared" si="157"/>
        <v>0</v>
      </c>
      <c r="O97"/>
      <c r="P97" t="str">
        <f t="shared" ref="P97:P100" si="158">_xlfn.CONCAT(D97,", ",E97,", ",F97,", ",G97)</f>
        <v>-4, 0, 0, 0</v>
      </c>
    </row>
    <row r="98" spans="1:16" s="4" customFormat="1" x14ac:dyDescent="0.2">
      <c r="A98">
        <f t="shared" si="99"/>
        <v>96</v>
      </c>
      <c r="B98" s="5" t="s">
        <v>1079</v>
      </c>
      <c r="C98" s="4">
        <v>0</v>
      </c>
      <c r="D98" s="4">
        <v>-4</v>
      </c>
      <c r="E98" s="4">
        <v>0</v>
      </c>
      <c r="F98" s="4">
        <v>0</v>
      </c>
      <c r="G98" s="4">
        <v>0</v>
      </c>
      <c r="H98">
        <f>_xlfn.XLOOKUP(I98,$B$2:$B$1096,$A$2:$A$1096,65535)</f>
        <v>65535</v>
      </c>
      <c r="J98">
        <f t="shared" si="156"/>
        <v>-4</v>
      </c>
      <c r="K98">
        <f t="shared" si="156"/>
        <v>-4</v>
      </c>
      <c r="L98">
        <f t="shared" si="157"/>
        <v>-5</v>
      </c>
      <c r="M98">
        <f t="shared" si="157"/>
        <v>-2</v>
      </c>
      <c r="N98">
        <f t="shared" si="157"/>
        <v>-1</v>
      </c>
      <c r="O98"/>
      <c r="P98" t="str">
        <f t="shared" si="158"/>
        <v>-4, 0, 0, 0</v>
      </c>
    </row>
    <row r="99" spans="1:16" s="4" customFormat="1" x14ac:dyDescent="0.2">
      <c r="A99">
        <f t="shared" si="99"/>
        <v>97</v>
      </c>
      <c r="B99" s="5" t="s">
        <v>1080</v>
      </c>
      <c r="C99" s="4">
        <v>2</v>
      </c>
      <c r="D99" s="4">
        <v>0</v>
      </c>
      <c r="E99" s="4">
        <v>0</v>
      </c>
      <c r="F99" s="4">
        <v>0</v>
      </c>
      <c r="G99" s="4">
        <v>0</v>
      </c>
      <c r="H99">
        <f>_xlfn.XLOOKUP(I99,$B$2:$B$1096,$A$2:$A$1096,65535)</f>
        <v>65535</v>
      </c>
      <c r="J99">
        <f t="shared" si="156"/>
        <v>-3</v>
      </c>
      <c r="K99">
        <f t="shared" si="156"/>
        <v>0</v>
      </c>
      <c r="L99">
        <f t="shared" si="157"/>
        <v>-5</v>
      </c>
      <c r="M99">
        <f t="shared" si="157"/>
        <v>-2</v>
      </c>
      <c r="N99">
        <f t="shared" si="157"/>
        <v>0</v>
      </c>
      <c r="O99"/>
      <c r="P99" t="str">
        <f t="shared" si="158"/>
        <v>0, 0, 0, 0</v>
      </c>
    </row>
    <row r="100" spans="1:16" s="4" customFormat="1" x14ac:dyDescent="0.2">
      <c r="A100">
        <f t="shared" si="99"/>
        <v>98</v>
      </c>
      <c r="B100" s="5" t="s">
        <v>1081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>
        <f>_xlfn.XLOOKUP(I100,$B$2:$B$1096,$A$2:$A$1096,65535)</f>
        <v>65535</v>
      </c>
      <c r="J100">
        <f t="shared" ref="J100" si="159">C100-C140</f>
        <v>-6</v>
      </c>
      <c r="K100">
        <f t="shared" ref="K100" si="160">D100-D140</f>
        <v>0</v>
      </c>
      <c r="L100">
        <f t="shared" ref="L100" si="161">E100+E140</f>
        <v>-5</v>
      </c>
      <c r="M100">
        <f t="shared" ref="M100" si="162">F100+F140</f>
        <v>-2</v>
      </c>
      <c r="N100">
        <f t="shared" ref="N100" si="163">G100+G140</f>
        <v>-1</v>
      </c>
      <c r="O100"/>
      <c r="P100" t="str">
        <f t="shared" si="158"/>
        <v>0, 0, 0, 0</v>
      </c>
    </row>
    <row r="101" spans="1:16" x14ac:dyDescent="0.2">
      <c r="A101">
        <f t="shared" si="99"/>
        <v>99</v>
      </c>
      <c r="B101" s="1" t="s">
        <v>332</v>
      </c>
      <c r="C101">
        <v>0</v>
      </c>
      <c r="D101">
        <v>-3</v>
      </c>
      <c r="E101">
        <v>0</v>
      </c>
      <c r="F101">
        <v>0</v>
      </c>
      <c r="G101">
        <v>0</v>
      </c>
      <c r="H101">
        <f>_xlfn.XLOOKUP(I101,$B$2:$B$1096,$A$2:$A$1096,65535)</f>
        <v>65535</v>
      </c>
      <c r="J101">
        <f t="shared" ref="J101:K101" si="164">C101-C137</f>
        <v>-5</v>
      </c>
      <c r="K101">
        <f t="shared" si="164"/>
        <v>-3</v>
      </c>
      <c r="L101">
        <f t="shared" ref="L101:N101" si="165">E101+E137</f>
        <v>-5</v>
      </c>
      <c r="M101">
        <f t="shared" si="165"/>
        <v>-2</v>
      </c>
      <c r="N101">
        <f t="shared" si="165"/>
        <v>0</v>
      </c>
      <c r="P101" t="str">
        <f t="shared" si="98"/>
        <v>-3, 0, 0, 0</v>
      </c>
    </row>
    <row r="102" spans="1:16" x14ac:dyDescent="0.2">
      <c r="A102">
        <f t="shared" si="99"/>
        <v>100</v>
      </c>
      <c r="B102" s="1" t="s">
        <v>333</v>
      </c>
      <c r="C102">
        <v>0</v>
      </c>
      <c r="D102">
        <v>-2</v>
      </c>
      <c r="E102">
        <v>0</v>
      </c>
      <c r="F102">
        <v>0</v>
      </c>
      <c r="G102">
        <v>0</v>
      </c>
      <c r="H102">
        <f>_xlfn.XLOOKUP(I102,$B$2:$B$1096,$A$2:$A$1096,65535)</f>
        <v>65535</v>
      </c>
      <c r="J102">
        <f t="shared" ref="J102:K102" si="166">C102-C138</f>
        <v>-4</v>
      </c>
      <c r="K102">
        <f t="shared" si="166"/>
        <v>-2</v>
      </c>
      <c r="L102">
        <f t="shared" ref="L102:N102" si="167">E102+E138</f>
        <v>-5</v>
      </c>
      <c r="M102">
        <f t="shared" si="167"/>
        <v>-2</v>
      </c>
      <c r="N102">
        <f t="shared" si="167"/>
        <v>-1</v>
      </c>
      <c r="P102" t="str">
        <f t="shared" si="98"/>
        <v>-2, 0, 0, 0</v>
      </c>
    </row>
    <row r="103" spans="1:16" x14ac:dyDescent="0.2">
      <c r="A103">
        <f t="shared" si="99"/>
        <v>101</v>
      </c>
      <c r="B103" s="1" t="s">
        <v>334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f>_xlfn.XLOOKUP(I103,$B$2:$B$1096,$A$2:$A$1096,65535)</f>
        <v>65535</v>
      </c>
      <c r="J103">
        <f t="shared" ref="J103:K103" si="168">C103-C139</f>
        <v>-5</v>
      </c>
      <c r="K103">
        <f t="shared" si="168"/>
        <v>0</v>
      </c>
      <c r="L103">
        <f t="shared" ref="L103:N103" si="169">E103+E139</f>
        <v>-5</v>
      </c>
      <c r="M103">
        <f t="shared" si="169"/>
        <v>-2</v>
      </c>
      <c r="N103">
        <f t="shared" si="169"/>
        <v>0</v>
      </c>
      <c r="P103" t="str">
        <f t="shared" si="98"/>
        <v>0, 0, 0, 0</v>
      </c>
    </row>
    <row r="104" spans="1:16" x14ac:dyDescent="0.2">
      <c r="A104">
        <f t="shared" si="99"/>
        <v>102</v>
      </c>
      <c r="B104" s="1" t="s">
        <v>335</v>
      </c>
      <c r="C104">
        <v>0</v>
      </c>
      <c r="D104">
        <v>1</v>
      </c>
      <c r="E104">
        <v>0</v>
      </c>
      <c r="F104">
        <v>0</v>
      </c>
      <c r="G104">
        <v>0</v>
      </c>
      <c r="H104">
        <f>_xlfn.XLOOKUP(I104,$B$2:$B$1096,$A$2:$A$1096,65535)</f>
        <v>65535</v>
      </c>
      <c r="J104">
        <f t="shared" ref="J104:K104" si="170">C104-C140</f>
        <v>-6</v>
      </c>
      <c r="K104">
        <f t="shared" si="170"/>
        <v>1</v>
      </c>
      <c r="L104">
        <f t="shared" ref="L104:N104" si="171">E104+E140</f>
        <v>-5</v>
      </c>
      <c r="M104">
        <f t="shared" si="171"/>
        <v>-2</v>
      </c>
      <c r="N104">
        <f t="shared" si="171"/>
        <v>-1</v>
      </c>
      <c r="P104" t="str">
        <f t="shared" si="98"/>
        <v>1, 0, 0, 0</v>
      </c>
    </row>
    <row r="105" spans="1:16" x14ac:dyDescent="0.2">
      <c r="A105">
        <f t="shared" si="99"/>
        <v>103</v>
      </c>
      <c r="B105" s="1" t="s">
        <v>336</v>
      </c>
      <c r="C105">
        <v>0</v>
      </c>
      <c r="D105">
        <v>2</v>
      </c>
      <c r="E105">
        <v>0</v>
      </c>
      <c r="F105">
        <v>0</v>
      </c>
      <c r="G105">
        <v>0</v>
      </c>
      <c r="H105">
        <f>_xlfn.XLOOKUP(I105,$B$2:$B$1096,$A$2:$A$1096,65535)</f>
        <v>65535</v>
      </c>
      <c r="J105">
        <f t="shared" ref="J105:K105" si="172">C105-C141</f>
        <v>-5</v>
      </c>
      <c r="K105">
        <f t="shared" si="172"/>
        <v>2</v>
      </c>
      <c r="L105">
        <f t="shared" ref="L105:N105" si="173">E105+E141</f>
        <v>-5</v>
      </c>
      <c r="M105">
        <f t="shared" si="173"/>
        <v>-2</v>
      </c>
      <c r="N105">
        <f t="shared" si="173"/>
        <v>0</v>
      </c>
      <c r="P105" t="str">
        <f t="shared" si="98"/>
        <v>2, 0, 0, 0</v>
      </c>
    </row>
    <row r="106" spans="1:16" x14ac:dyDescent="0.2">
      <c r="A106">
        <f t="shared" si="99"/>
        <v>104</v>
      </c>
      <c r="B106" s="1" t="s">
        <v>337</v>
      </c>
      <c r="C106">
        <v>0</v>
      </c>
      <c r="D106">
        <v>3</v>
      </c>
      <c r="E106">
        <v>0</v>
      </c>
      <c r="F106">
        <v>0</v>
      </c>
      <c r="G106">
        <v>0</v>
      </c>
      <c r="H106">
        <f>_xlfn.XLOOKUP(I106,$B$2:$B$1096,$A$2:$A$1096,65535)</f>
        <v>65535</v>
      </c>
      <c r="J106">
        <f t="shared" ref="J106:K106" si="174">C106-C142</f>
        <v>-4</v>
      </c>
      <c r="K106">
        <f t="shared" si="174"/>
        <v>1</v>
      </c>
      <c r="L106">
        <f t="shared" ref="L106:N106" si="175">E106+E142</f>
        <v>-5</v>
      </c>
      <c r="M106">
        <f t="shared" si="175"/>
        <v>-2</v>
      </c>
      <c r="N106">
        <f t="shared" si="175"/>
        <v>-1</v>
      </c>
      <c r="P106" t="str">
        <f t="shared" si="98"/>
        <v>3, 0, 0, 0</v>
      </c>
    </row>
    <row r="107" spans="1:16" x14ac:dyDescent="0.2">
      <c r="A107">
        <f t="shared" si="99"/>
        <v>105</v>
      </c>
      <c r="B107" s="1" t="s">
        <v>338</v>
      </c>
      <c r="C107">
        <v>0</v>
      </c>
      <c r="D107">
        <v>2</v>
      </c>
      <c r="E107">
        <v>0</v>
      </c>
      <c r="F107">
        <v>0</v>
      </c>
      <c r="G107">
        <v>0</v>
      </c>
      <c r="H107">
        <f>_xlfn.XLOOKUP(I107,$B$2:$B$1096,$A$2:$A$1096,65535)</f>
        <v>65535</v>
      </c>
      <c r="J107">
        <f t="shared" ref="J107:K107" si="176">C107-C143</f>
        <v>-5</v>
      </c>
      <c r="K107">
        <f t="shared" si="176"/>
        <v>0</v>
      </c>
      <c r="L107">
        <f t="shared" ref="L107:N107" si="177">E107+E143</f>
        <v>-5</v>
      </c>
      <c r="M107">
        <f t="shared" si="177"/>
        <v>-2</v>
      </c>
      <c r="N107">
        <f t="shared" si="177"/>
        <v>0</v>
      </c>
      <c r="P107" t="str">
        <f t="shared" si="98"/>
        <v>2, 0, 0, 0</v>
      </c>
    </row>
    <row r="108" spans="1:16" x14ac:dyDescent="0.2">
      <c r="A108">
        <f t="shared" si="99"/>
        <v>106</v>
      </c>
      <c r="B108" s="1" t="s">
        <v>339</v>
      </c>
      <c r="C108">
        <v>0</v>
      </c>
      <c r="D108">
        <v>1</v>
      </c>
      <c r="E108">
        <v>0</v>
      </c>
      <c r="F108">
        <v>0</v>
      </c>
      <c r="G108">
        <v>0</v>
      </c>
      <c r="H108">
        <f>_xlfn.XLOOKUP(I108,$B$2:$B$1096,$A$2:$A$1096,65535)</f>
        <v>65535</v>
      </c>
      <c r="J108">
        <f t="shared" ref="J108:K108" si="178">C108-C144</f>
        <v>-6</v>
      </c>
      <c r="K108">
        <f t="shared" si="178"/>
        <v>-1</v>
      </c>
      <c r="L108">
        <f t="shared" ref="L108:N108" si="179">E108+E144</f>
        <v>-5</v>
      </c>
      <c r="M108">
        <f t="shared" si="179"/>
        <v>-2</v>
      </c>
      <c r="N108">
        <f t="shared" si="179"/>
        <v>-1</v>
      </c>
      <c r="P108" t="str">
        <f t="shared" si="98"/>
        <v>1, 0, 0, 0</v>
      </c>
    </row>
    <row r="109" spans="1:16" x14ac:dyDescent="0.2">
      <c r="A109">
        <f t="shared" si="99"/>
        <v>107</v>
      </c>
      <c r="B109" s="1" t="s">
        <v>340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f>_xlfn.XLOOKUP(I109,$B$2:$B$1096,$A$2:$A$1096,65535)</f>
        <v>65535</v>
      </c>
      <c r="J109">
        <f t="shared" ref="J109:K109" si="180">C109-C145</f>
        <v>-5</v>
      </c>
      <c r="K109">
        <f t="shared" si="180"/>
        <v>-2</v>
      </c>
      <c r="L109">
        <f t="shared" ref="L109:N109" si="181">E109+E145</f>
        <v>-5</v>
      </c>
      <c r="M109">
        <f t="shared" si="181"/>
        <v>-2</v>
      </c>
      <c r="N109">
        <f t="shared" si="181"/>
        <v>0</v>
      </c>
      <c r="P109" t="str">
        <f t="shared" si="98"/>
        <v>0, 0, 0, 0</v>
      </c>
    </row>
    <row r="110" spans="1:16" x14ac:dyDescent="0.2">
      <c r="A110">
        <f t="shared" si="99"/>
        <v>108</v>
      </c>
      <c r="B110" s="1" t="s">
        <v>341</v>
      </c>
      <c r="C110">
        <v>0</v>
      </c>
      <c r="D110">
        <v>-1</v>
      </c>
      <c r="E110">
        <v>0</v>
      </c>
      <c r="F110">
        <v>0</v>
      </c>
      <c r="G110">
        <v>0</v>
      </c>
      <c r="H110">
        <f>_xlfn.XLOOKUP(I110,$B$2:$B$1096,$A$2:$A$1096,65535)</f>
        <v>65535</v>
      </c>
      <c r="J110">
        <f t="shared" ref="J110:K110" si="182">C110-C146</f>
        <v>-4</v>
      </c>
      <c r="K110">
        <f t="shared" si="182"/>
        <v>-5</v>
      </c>
      <c r="L110">
        <f t="shared" ref="L110:N110" si="183">E110+E146</f>
        <v>-5</v>
      </c>
      <c r="M110">
        <f t="shared" si="183"/>
        <v>-2</v>
      </c>
      <c r="N110">
        <f t="shared" si="183"/>
        <v>-1</v>
      </c>
      <c r="P110" t="str">
        <f t="shared" si="98"/>
        <v>-1, 0, 0, 0</v>
      </c>
    </row>
    <row r="111" spans="1:16" x14ac:dyDescent="0.2">
      <c r="A111">
        <f t="shared" si="99"/>
        <v>109</v>
      </c>
      <c r="B111" s="1" t="s">
        <v>342</v>
      </c>
      <c r="C111">
        <v>0</v>
      </c>
      <c r="D111">
        <v>-2</v>
      </c>
      <c r="E111">
        <v>0</v>
      </c>
      <c r="F111">
        <v>0</v>
      </c>
      <c r="G111">
        <v>0</v>
      </c>
      <c r="H111">
        <f>_xlfn.XLOOKUP(I111,$B$2:$B$1096,$A$2:$A$1096,65535)</f>
        <v>65535</v>
      </c>
      <c r="J111">
        <f t="shared" ref="J111:K111" si="184">C111-C147</f>
        <v>-5</v>
      </c>
      <c r="K111">
        <f t="shared" si="184"/>
        <v>-4</v>
      </c>
      <c r="L111">
        <f t="shared" ref="L111:N111" si="185">E111+E147</f>
        <v>-5</v>
      </c>
      <c r="M111">
        <f t="shared" si="185"/>
        <v>-2</v>
      </c>
      <c r="N111">
        <f t="shared" si="185"/>
        <v>0</v>
      </c>
      <c r="P111" t="str">
        <f t="shared" si="98"/>
        <v>-2, 0, 0, 0</v>
      </c>
    </row>
    <row r="112" spans="1:16" x14ac:dyDescent="0.2">
      <c r="A112">
        <f t="shared" si="99"/>
        <v>110</v>
      </c>
      <c r="B112" s="1" t="s">
        <v>343</v>
      </c>
      <c r="C112">
        <v>0</v>
      </c>
      <c r="D112">
        <v>-3</v>
      </c>
      <c r="E112">
        <v>0</v>
      </c>
      <c r="F112">
        <v>0</v>
      </c>
      <c r="G112">
        <v>0</v>
      </c>
      <c r="H112">
        <f>_xlfn.XLOOKUP(I112,$B$2:$B$1096,$A$2:$A$1096,65535)</f>
        <v>65535</v>
      </c>
      <c r="J112">
        <f t="shared" ref="J112:K112" si="186">C112-C148</f>
        <v>-6</v>
      </c>
      <c r="K112">
        <f t="shared" si="186"/>
        <v>-5</v>
      </c>
      <c r="L112">
        <f t="shared" ref="L112:N112" si="187">E112+E148</f>
        <v>-5</v>
      </c>
      <c r="M112">
        <f t="shared" si="187"/>
        <v>-2</v>
      </c>
      <c r="N112">
        <f t="shared" si="187"/>
        <v>-1</v>
      </c>
      <c r="P112" t="str">
        <f t="shared" si="98"/>
        <v>-3, 0, 0, 0</v>
      </c>
    </row>
    <row r="113" spans="1:16" x14ac:dyDescent="0.2">
      <c r="A113">
        <f t="shared" si="99"/>
        <v>111</v>
      </c>
      <c r="B113" s="1" t="s">
        <v>344</v>
      </c>
      <c r="C113">
        <v>0</v>
      </c>
      <c r="D113">
        <v>-2</v>
      </c>
      <c r="E113">
        <v>0</v>
      </c>
      <c r="F113">
        <v>0</v>
      </c>
      <c r="G113">
        <v>0</v>
      </c>
      <c r="H113">
        <f>_xlfn.XLOOKUP(I113,$B$2:$B$1096,$A$2:$A$1096,65535)</f>
        <v>65535</v>
      </c>
      <c r="J113">
        <f t="shared" ref="J113:K113" si="188">C113-C149</f>
        <v>-5</v>
      </c>
      <c r="K113">
        <f t="shared" si="188"/>
        <v>-2</v>
      </c>
      <c r="L113">
        <f t="shared" ref="L113:N113" si="189">E113+E149</f>
        <v>-5</v>
      </c>
      <c r="M113">
        <f t="shared" si="189"/>
        <v>-2</v>
      </c>
      <c r="N113">
        <f t="shared" si="189"/>
        <v>0</v>
      </c>
      <c r="P113" t="str">
        <f t="shared" si="98"/>
        <v>-2, 0, 0, 0</v>
      </c>
    </row>
    <row r="114" spans="1:16" x14ac:dyDescent="0.2">
      <c r="A114">
        <f t="shared" si="99"/>
        <v>112</v>
      </c>
      <c r="B114" s="1" t="s">
        <v>345</v>
      </c>
      <c r="C114">
        <v>0</v>
      </c>
      <c r="D114">
        <v>-1</v>
      </c>
      <c r="E114">
        <v>0</v>
      </c>
      <c r="F114">
        <v>0</v>
      </c>
      <c r="G114">
        <v>0</v>
      </c>
      <c r="H114">
        <f>_xlfn.XLOOKUP(I114,$B$2:$B$1096,$A$2:$A$1096,65535)</f>
        <v>65535</v>
      </c>
      <c r="J114">
        <f t="shared" ref="J114:K114" si="190">C114-C150</f>
        <v>-4</v>
      </c>
      <c r="K114">
        <f t="shared" si="190"/>
        <v>-1</v>
      </c>
      <c r="L114">
        <f t="shared" ref="L114:N114" si="191">E114+E150</f>
        <v>-5</v>
      </c>
      <c r="M114">
        <f t="shared" si="191"/>
        <v>-2</v>
      </c>
      <c r="N114">
        <f t="shared" si="191"/>
        <v>-1</v>
      </c>
      <c r="P114" t="str">
        <f t="shared" si="98"/>
        <v>-1, 0, 0, 0</v>
      </c>
    </row>
    <row r="115" spans="1:16" x14ac:dyDescent="0.2">
      <c r="A115">
        <f t="shared" si="99"/>
        <v>113</v>
      </c>
      <c r="B115" s="1" t="s">
        <v>346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f>_xlfn.XLOOKUP(I115,$B$2:$B$1096,$A$2:$A$1096,65535)</f>
        <v>65535</v>
      </c>
      <c r="J115">
        <f t="shared" ref="J115:K115" si="192">C115-C151</f>
        <v>-5</v>
      </c>
      <c r="K115">
        <f t="shared" si="192"/>
        <v>0</v>
      </c>
      <c r="L115">
        <f t="shared" ref="L115:N115" si="193">E115+E151</f>
        <v>-5</v>
      </c>
      <c r="M115">
        <f t="shared" si="193"/>
        <v>-2</v>
      </c>
      <c r="N115">
        <f t="shared" si="193"/>
        <v>0</v>
      </c>
      <c r="P115" t="str">
        <f t="shared" si="98"/>
        <v>0, 0, 0, 0</v>
      </c>
    </row>
    <row r="116" spans="1:16" x14ac:dyDescent="0.2">
      <c r="A116">
        <f t="shared" si="99"/>
        <v>114</v>
      </c>
      <c r="B116" s="1" t="s">
        <v>347</v>
      </c>
      <c r="C116">
        <v>0</v>
      </c>
      <c r="D116">
        <v>1</v>
      </c>
      <c r="E116">
        <v>0</v>
      </c>
      <c r="F116">
        <v>0</v>
      </c>
      <c r="G116">
        <v>0</v>
      </c>
      <c r="H116">
        <f>_xlfn.XLOOKUP(I116,$B$2:$B$1096,$A$2:$A$1096,65535)</f>
        <v>65535</v>
      </c>
      <c r="J116">
        <f t="shared" ref="J116:K116" si="194">C116-C152</f>
        <v>-6</v>
      </c>
      <c r="K116">
        <f t="shared" si="194"/>
        <v>1</v>
      </c>
      <c r="L116">
        <f t="shared" ref="L116:N116" si="195">E116+E152</f>
        <v>-5</v>
      </c>
      <c r="M116">
        <f t="shared" si="195"/>
        <v>-2</v>
      </c>
      <c r="N116">
        <f t="shared" si="195"/>
        <v>-1</v>
      </c>
      <c r="P116" t="str">
        <f t="shared" si="98"/>
        <v>1, 0, 0, 0</v>
      </c>
    </row>
    <row r="117" spans="1:16" x14ac:dyDescent="0.2">
      <c r="A117">
        <f t="shared" si="99"/>
        <v>115</v>
      </c>
      <c r="B117" s="1" t="s">
        <v>348</v>
      </c>
      <c r="C117">
        <v>0</v>
      </c>
      <c r="D117">
        <v>2</v>
      </c>
      <c r="E117">
        <v>0</v>
      </c>
      <c r="F117">
        <v>0</v>
      </c>
      <c r="G117">
        <v>0</v>
      </c>
      <c r="H117">
        <f>_xlfn.XLOOKUP(I117,$B$2:$B$1096,$A$2:$A$1096,65535)</f>
        <v>65535</v>
      </c>
      <c r="J117">
        <f t="shared" ref="J117:K117" si="196">C117-C153</f>
        <v>-5</v>
      </c>
      <c r="K117">
        <f t="shared" si="196"/>
        <v>2</v>
      </c>
      <c r="L117">
        <f t="shared" ref="L117:N117" si="197">E117+E153</f>
        <v>-5</v>
      </c>
      <c r="M117">
        <f t="shared" si="197"/>
        <v>-2</v>
      </c>
      <c r="N117">
        <f t="shared" si="197"/>
        <v>0</v>
      </c>
      <c r="P117" t="str">
        <f t="shared" si="98"/>
        <v>2, 0, 0, 0</v>
      </c>
    </row>
    <row r="118" spans="1:16" x14ac:dyDescent="0.2">
      <c r="A118">
        <f t="shared" si="99"/>
        <v>116</v>
      </c>
      <c r="B118" s="1" t="s">
        <v>349</v>
      </c>
      <c r="C118">
        <v>0</v>
      </c>
      <c r="D118">
        <v>1</v>
      </c>
      <c r="E118">
        <v>0</v>
      </c>
      <c r="F118">
        <v>0</v>
      </c>
      <c r="G118">
        <v>0</v>
      </c>
      <c r="H118">
        <f>_xlfn.XLOOKUP(I118,$B$2:$B$1096,$A$2:$A$1096,65535)</f>
        <v>65535</v>
      </c>
      <c r="J118">
        <f t="shared" ref="J118:K118" si="198">C118-C154</f>
        <v>-4</v>
      </c>
      <c r="K118">
        <f t="shared" si="198"/>
        <v>3</v>
      </c>
      <c r="L118">
        <f t="shared" ref="L118:N118" si="199">E118+E154</f>
        <v>-5</v>
      </c>
      <c r="M118">
        <f t="shared" si="199"/>
        <v>-2</v>
      </c>
      <c r="N118">
        <f t="shared" si="199"/>
        <v>-1</v>
      </c>
      <c r="P118" t="str">
        <f t="shared" si="98"/>
        <v>1, 0, 0, 0</v>
      </c>
    </row>
    <row r="119" spans="1:16" x14ac:dyDescent="0.2">
      <c r="A119">
        <f t="shared" si="99"/>
        <v>117</v>
      </c>
      <c r="B119" s="1" t="s">
        <v>350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f>_xlfn.XLOOKUP(I119,$B$2:$B$1096,$A$2:$A$1096,65535)</f>
        <v>65535</v>
      </c>
      <c r="J119">
        <f t="shared" ref="J119:K119" si="200">C119-C155</f>
        <v>-5</v>
      </c>
      <c r="K119">
        <f t="shared" si="200"/>
        <v>2</v>
      </c>
      <c r="L119">
        <f t="shared" ref="L119:N119" si="201">E119+E155</f>
        <v>-5</v>
      </c>
      <c r="M119">
        <f t="shared" si="201"/>
        <v>-2</v>
      </c>
      <c r="N119">
        <f t="shared" si="201"/>
        <v>0</v>
      </c>
      <c r="P119" t="str">
        <f t="shared" si="98"/>
        <v>0, 0, 0, 0</v>
      </c>
    </row>
    <row r="120" spans="1:16" x14ac:dyDescent="0.2">
      <c r="A120">
        <f t="shared" si="99"/>
        <v>118</v>
      </c>
      <c r="B120" s="1" t="s">
        <v>351</v>
      </c>
      <c r="C120">
        <v>0</v>
      </c>
      <c r="D120">
        <v>-1</v>
      </c>
      <c r="E120">
        <v>0</v>
      </c>
      <c r="F120">
        <v>0</v>
      </c>
      <c r="G120">
        <v>0</v>
      </c>
      <c r="H120">
        <f>_xlfn.XLOOKUP(I120,$B$2:$B$1096,$A$2:$A$1096,65535)</f>
        <v>65535</v>
      </c>
      <c r="J120">
        <f t="shared" ref="J120:K120" si="202">C120-C156</f>
        <v>-6</v>
      </c>
      <c r="K120">
        <f t="shared" si="202"/>
        <v>1</v>
      </c>
      <c r="L120">
        <f t="shared" ref="L120:N120" si="203">E120+E156</f>
        <v>-5</v>
      </c>
      <c r="M120">
        <f t="shared" si="203"/>
        <v>-2</v>
      </c>
      <c r="N120">
        <f t="shared" si="203"/>
        <v>-1</v>
      </c>
      <c r="P120" t="str">
        <f t="shared" si="98"/>
        <v>-1, 0, 0, 0</v>
      </c>
    </row>
    <row r="121" spans="1:16" x14ac:dyDescent="0.2">
      <c r="A121">
        <f t="shared" si="99"/>
        <v>119</v>
      </c>
      <c r="B121" s="1" t="s">
        <v>352</v>
      </c>
      <c r="C121">
        <v>0</v>
      </c>
      <c r="D121">
        <v>-2</v>
      </c>
      <c r="E121">
        <v>0</v>
      </c>
      <c r="F121">
        <v>0</v>
      </c>
      <c r="G121">
        <v>0</v>
      </c>
      <c r="H121">
        <f>_xlfn.XLOOKUP(I121,$B$2:$B$1096,$A$2:$A$1096,65535)</f>
        <v>65535</v>
      </c>
      <c r="J121">
        <f t="shared" ref="J121:K121" si="204">C121-C157</f>
        <v>-5</v>
      </c>
      <c r="K121">
        <f t="shared" si="204"/>
        <v>0</v>
      </c>
      <c r="L121">
        <f t="shared" ref="L121:N121" si="205">E121+E157</f>
        <v>-5</v>
      </c>
      <c r="M121">
        <f t="shared" si="205"/>
        <v>-2</v>
      </c>
      <c r="N121">
        <f t="shared" si="205"/>
        <v>0</v>
      </c>
      <c r="P121" t="str">
        <f t="shared" si="98"/>
        <v>-2, 0, 0, 0</v>
      </c>
    </row>
    <row r="122" spans="1:16" x14ac:dyDescent="0.2">
      <c r="A122">
        <f t="shared" si="99"/>
        <v>120</v>
      </c>
      <c r="B122" s="1" t="s">
        <v>353</v>
      </c>
      <c r="C122">
        <v>0</v>
      </c>
      <c r="D122">
        <v>-1</v>
      </c>
      <c r="E122">
        <v>0</v>
      </c>
      <c r="F122">
        <v>0</v>
      </c>
      <c r="G122">
        <v>0</v>
      </c>
      <c r="H122">
        <f>_xlfn.XLOOKUP(I122,$B$2:$B$1096,$A$2:$A$1096,65535)</f>
        <v>65535</v>
      </c>
      <c r="J122">
        <f t="shared" ref="J122:K122" si="206">C122-C158</f>
        <v>-4</v>
      </c>
      <c r="K122">
        <f t="shared" si="206"/>
        <v>-1</v>
      </c>
      <c r="L122">
        <f t="shared" ref="L122:N122" si="207">E122+E158</f>
        <v>-5</v>
      </c>
      <c r="M122">
        <f t="shared" si="207"/>
        <v>-2</v>
      </c>
      <c r="N122">
        <f t="shared" si="207"/>
        <v>-1</v>
      </c>
      <c r="P122" t="str">
        <f t="shared" si="98"/>
        <v>-1, 0, 0, 0</v>
      </c>
    </row>
    <row r="123" spans="1:16" x14ac:dyDescent="0.2">
      <c r="A123">
        <f t="shared" si="99"/>
        <v>121</v>
      </c>
      <c r="B123" s="1" t="s">
        <v>354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f>_xlfn.XLOOKUP(I123,$B$2:$B$1096,$A$2:$A$1096,65535)</f>
        <v>65535</v>
      </c>
      <c r="J123">
        <f t="shared" ref="J123:K123" si="208">C123-C159</f>
        <v>-5</v>
      </c>
      <c r="K123">
        <f t="shared" si="208"/>
        <v>2</v>
      </c>
      <c r="L123">
        <f t="shared" ref="L123:N123" si="209">E123+E159</f>
        <v>-5</v>
      </c>
      <c r="M123">
        <f t="shared" si="209"/>
        <v>-2</v>
      </c>
      <c r="N123">
        <f t="shared" si="209"/>
        <v>0</v>
      </c>
      <c r="P123" t="str">
        <f t="shared" si="98"/>
        <v>0, 0, 0, 0</v>
      </c>
    </row>
    <row r="124" spans="1:16" x14ac:dyDescent="0.2">
      <c r="A124">
        <f t="shared" si="99"/>
        <v>122</v>
      </c>
      <c r="B124" s="1" t="s">
        <v>355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f>_xlfn.XLOOKUP(I124,$B$2:$B$1096,$A$2:$A$1096,65535)</f>
        <v>65535</v>
      </c>
      <c r="J124">
        <f t="shared" ref="J124:K124" si="210">C124-C160</f>
        <v>-6</v>
      </c>
      <c r="K124">
        <f t="shared" si="210"/>
        <v>2</v>
      </c>
      <c r="L124">
        <f t="shared" ref="L124:N124" si="211">E124+E160</f>
        <v>-5</v>
      </c>
      <c r="M124">
        <f t="shared" si="211"/>
        <v>-2</v>
      </c>
      <c r="N124">
        <f t="shared" si="211"/>
        <v>-1</v>
      </c>
      <c r="P124" t="str">
        <f t="shared" si="98"/>
        <v>0, 0, 0, 0</v>
      </c>
    </row>
    <row r="125" spans="1:16" x14ac:dyDescent="0.2">
      <c r="A125">
        <f t="shared" si="99"/>
        <v>123</v>
      </c>
      <c r="B125" s="1" t="s">
        <v>356</v>
      </c>
      <c r="C125">
        <v>1</v>
      </c>
      <c r="D125">
        <v>-2</v>
      </c>
      <c r="E125">
        <v>0</v>
      </c>
      <c r="F125">
        <v>0</v>
      </c>
      <c r="G125">
        <v>0</v>
      </c>
      <c r="H125">
        <f>_xlfn.XLOOKUP(I125,$B$2:$B$1096,$A$2:$A$1096,65535)</f>
        <v>65535</v>
      </c>
      <c r="J125">
        <f t="shared" ref="J125:K125" si="212">C125-C161</f>
        <v>-4</v>
      </c>
      <c r="K125">
        <f t="shared" si="212"/>
        <v>2</v>
      </c>
      <c r="L125">
        <f t="shared" ref="L125:N125" si="213">E125+E161</f>
        <v>-5</v>
      </c>
      <c r="M125">
        <f t="shared" si="213"/>
        <v>-2</v>
      </c>
      <c r="N125">
        <f t="shared" si="213"/>
        <v>0</v>
      </c>
      <c r="P125" t="str">
        <f t="shared" si="98"/>
        <v>-2, 0, 0, 0</v>
      </c>
    </row>
    <row r="126" spans="1:16" x14ac:dyDescent="0.2">
      <c r="A126">
        <f t="shared" si="99"/>
        <v>124</v>
      </c>
      <c r="B126" s="1" t="s">
        <v>357</v>
      </c>
      <c r="C126">
        <v>2</v>
      </c>
      <c r="D126">
        <v>0</v>
      </c>
      <c r="E126">
        <v>0</v>
      </c>
      <c r="F126">
        <v>0</v>
      </c>
      <c r="G126">
        <v>0</v>
      </c>
      <c r="H126">
        <f>_xlfn.XLOOKUP(I126,$B$2:$B$1096,$A$2:$A$1096,65535)</f>
        <v>65535</v>
      </c>
      <c r="J126">
        <f t="shared" ref="J126:K126" si="214">C126-C162</f>
        <v>-3</v>
      </c>
      <c r="K126">
        <f t="shared" si="214"/>
        <v>0</v>
      </c>
      <c r="L126">
        <f t="shared" ref="L126:N126" si="215">E126+E162</f>
        <v>-5</v>
      </c>
      <c r="M126">
        <f t="shared" si="215"/>
        <v>-2</v>
      </c>
      <c r="N126">
        <f t="shared" si="215"/>
        <v>0</v>
      </c>
      <c r="P126" t="str">
        <f t="shared" si="98"/>
        <v>0, 0, 0, 0</v>
      </c>
    </row>
    <row r="127" spans="1:16" x14ac:dyDescent="0.2">
      <c r="A127">
        <f t="shared" si="99"/>
        <v>125</v>
      </c>
      <c r="B127" s="1" t="s">
        <v>358</v>
      </c>
      <c r="C127">
        <v>1</v>
      </c>
      <c r="D127">
        <v>-1</v>
      </c>
      <c r="E127">
        <v>0</v>
      </c>
      <c r="F127">
        <v>0</v>
      </c>
      <c r="G127">
        <v>0</v>
      </c>
      <c r="H127">
        <f>_xlfn.XLOOKUP(I127,$B$2:$B$1096,$A$2:$A$1096,65535)</f>
        <v>65535</v>
      </c>
      <c r="J127">
        <f t="shared" ref="J127:K127" si="216">C127-C163</f>
        <v>-3</v>
      </c>
      <c r="K127">
        <f t="shared" si="216"/>
        <v>-1</v>
      </c>
      <c r="L127">
        <f t="shared" ref="L127:N127" si="217">E127+E163</f>
        <v>-5</v>
      </c>
      <c r="M127">
        <f t="shared" si="217"/>
        <v>-2</v>
      </c>
      <c r="N127">
        <f t="shared" si="217"/>
        <v>-1</v>
      </c>
      <c r="P127" t="str">
        <f t="shared" si="98"/>
        <v>-1, 0, 0, 0</v>
      </c>
    </row>
    <row r="128" spans="1:16" x14ac:dyDescent="0.2">
      <c r="A128">
        <f t="shared" si="99"/>
        <v>126</v>
      </c>
      <c r="B128" s="1" t="s">
        <v>359</v>
      </c>
      <c r="C128">
        <v>7</v>
      </c>
      <c r="D128">
        <v>0</v>
      </c>
      <c r="E128">
        <v>0</v>
      </c>
      <c r="F128">
        <v>0</v>
      </c>
      <c r="G128">
        <v>0</v>
      </c>
      <c r="H128">
        <f>_xlfn.XLOOKUP(I128,$B$2:$B$1096,$A$2:$A$1096,65535)</f>
        <v>65535</v>
      </c>
      <c r="J128">
        <f t="shared" ref="J128:K128" si="218">C128-C164</f>
        <v>2</v>
      </c>
      <c r="K128">
        <f t="shared" si="218"/>
        <v>1</v>
      </c>
      <c r="L128">
        <f t="shared" ref="L128:N128" si="219">E128+E164</f>
        <v>-5</v>
      </c>
      <c r="M128">
        <f t="shared" si="219"/>
        <v>-2</v>
      </c>
      <c r="N128">
        <f t="shared" si="219"/>
        <v>0</v>
      </c>
      <c r="P128" t="str">
        <f t="shared" si="98"/>
        <v>0, 0, 0, 0</v>
      </c>
    </row>
    <row r="129" spans="1:17" ht="27" customHeight="1" x14ac:dyDescent="0.2">
      <c r="A129">
        <f t="shared" si="99"/>
        <v>127</v>
      </c>
      <c r="B129" s="1" t="s">
        <v>159</v>
      </c>
      <c r="C129">
        <v>5</v>
      </c>
      <c r="D129">
        <v>0</v>
      </c>
      <c r="E129">
        <v>0</v>
      </c>
      <c r="F129">
        <v>0</v>
      </c>
      <c r="G129">
        <v>0</v>
      </c>
      <c r="H129">
        <f>_xlfn.XLOOKUP(I129,$B$2:$B$1096,$A$2:$A$1096,65535)</f>
        <v>65535</v>
      </c>
      <c r="J129">
        <f t="shared" ref="J129:K129" si="220">C129-C165</f>
        <v>0</v>
      </c>
      <c r="K129">
        <f t="shared" si="220"/>
        <v>1</v>
      </c>
      <c r="L129">
        <f t="shared" ref="L129:N129" si="221">E129+E165</f>
        <v>-5</v>
      </c>
      <c r="M129">
        <f t="shared" si="221"/>
        <v>-1</v>
      </c>
      <c r="N129">
        <f t="shared" si="221"/>
        <v>-1</v>
      </c>
      <c r="P129" t="str">
        <f t="shared" si="98"/>
        <v>0, 0, 0, 0</v>
      </c>
    </row>
    <row r="130" spans="1:17" x14ac:dyDescent="0.2">
      <c r="A130">
        <f t="shared" si="99"/>
        <v>128</v>
      </c>
      <c r="B130" s="1" t="s">
        <v>59</v>
      </c>
      <c r="C130">
        <v>4</v>
      </c>
      <c r="D130">
        <v>0</v>
      </c>
      <c r="E130">
        <v>-5</v>
      </c>
      <c r="F130">
        <v>-2</v>
      </c>
      <c r="G130">
        <v>-1</v>
      </c>
      <c r="H130">
        <f>_xlfn.XLOOKUP(I130,$B$2:$B$1096,$A$2:$A$1096,65535)</f>
        <v>65535</v>
      </c>
      <c r="J130">
        <f t="shared" ref="J130:K130" si="222">C130-C166</f>
        <v>-1</v>
      </c>
      <c r="K130">
        <f t="shared" si="222"/>
        <v>2</v>
      </c>
      <c r="L130">
        <f t="shared" ref="L130:N130" si="223">E130+E166</f>
        <v>-10</v>
      </c>
      <c r="M130">
        <f t="shared" si="223"/>
        <v>-3</v>
      </c>
      <c r="N130">
        <f t="shared" si="223"/>
        <v>-1</v>
      </c>
      <c r="P130" t="str">
        <f t="shared" si="98"/>
        <v>0, -5, -2, -1</v>
      </c>
    </row>
    <row r="131" spans="1:17" x14ac:dyDescent="0.2">
      <c r="A131">
        <f t="shared" si="99"/>
        <v>129</v>
      </c>
      <c r="B131" s="1" t="s">
        <v>60</v>
      </c>
      <c r="C131">
        <v>5</v>
      </c>
      <c r="D131">
        <v>0</v>
      </c>
      <c r="E131">
        <v>-5</v>
      </c>
      <c r="F131">
        <v>-2</v>
      </c>
      <c r="G131">
        <v>0</v>
      </c>
      <c r="H131">
        <f>_xlfn.XLOOKUP(I131,$B$2:$B$1096,$A$2:$A$1096,65535)</f>
        <v>65535</v>
      </c>
      <c r="J131">
        <f t="shared" ref="J131:K131" si="224">C131-C167</f>
        <v>0</v>
      </c>
      <c r="K131">
        <f t="shared" si="224"/>
        <v>4</v>
      </c>
      <c r="L131">
        <f t="shared" ref="L131:N131" si="225">E131+E167</f>
        <v>-5</v>
      </c>
      <c r="M131">
        <f t="shared" si="225"/>
        <v>-2</v>
      </c>
      <c r="N131">
        <f t="shared" si="225"/>
        <v>0</v>
      </c>
      <c r="P131" t="str">
        <f t="shared" si="98"/>
        <v>0, -5, -2, 0</v>
      </c>
    </row>
    <row r="132" spans="1:17" x14ac:dyDescent="0.2">
      <c r="A132">
        <f t="shared" ref="A132:A195" si="226">A131+1</f>
        <v>130</v>
      </c>
      <c r="B132" s="1" t="s">
        <v>61</v>
      </c>
      <c r="C132">
        <v>6</v>
      </c>
      <c r="D132">
        <v>0</v>
      </c>
      <c r="E132">
        <v>-5</v>
      </c>
      <c r="F132">
        <v>-2</v>
      </c>
      <c r="G132">
        <v>-1</v>
      </c>
      <c r="H132">
        <f>_xlfn.XLOOKUP(I132,$B$2:$B$1096,$A$2:$A$1096,65535)</f>
        <v>65535</v>
      </c>
      <c r="J132">
        <f t="shared" ref="J132:K132" si="227">C132-C168</f>
        <v>1</v>
      </c>
      <c r="K132">
        <f t="shared" si="227"/>
        <v>4</v>
      </c>
      <c r="L132">
        <f t="shared" ref="L132:N132" si="228">E132+E168</f>
        <v>-5</v>
      </c>
      <c r="M132">
        <f t="shared" si="228"/>
        <v>-2</v>
      </c>
      <c r="N132">
        <f t="shared" si="228"/>
        <v>-1</v>
      </c>
      <c r="P132" t="str">
        <f t="shared" si="98"/>
        <v>0, -5, -2, -1</v>
      </c>
    </row>
    <row r="133" spans="1:17" x14ac:dyDescent="0.2">
      <c r="A133">
        <f t="shared" si="226"/>
        <v>131</v>
      </c>
      <c r="B133" s="1" t="s">
        <v>62</v>
      </c>
      <c r="C133">
        <v>5</v>
      </c>
      <c r="D133">
        <v>0</v>
      </c>
      <c r="E133">
        <v>-5</v>
      </c>
      <c r="F133">
        <v>-2</v>
      </c>
      <c r="G133">
        <v>0</v>
      </c>
      <c r="H133">
        <f>_xlfn.XLOOKUP(I133,$B$2:$B$1096,$A$2:$A$1096,65535)</f>
        <v>65535</v>
      </c>
      <c r="J133">
        <f t="shared" ref="J133:K133" si="229">C133-C169</f>
        <v>0</v>
      </c>
      <c r="K133">
        <f t="shared" si="229"/>
        <v>4</v>
      </c>
      <c r="L133">
        <f t="shared" ref="L133:N133" si="230">E133+E169</f>
        <v>-5</v>
      </c>
      <c r="M133">
        <f t="shared" si="230"/>
        <v>-2</v>
      </c>
      <c r="N133">
        <f t="shared" si="230"/>
        <v>0</v>
      </c>
      <c r="P133" t="str">
        <f t="shared" si="98"/>
        <v>0, -5, -2, 0</v>
      </c>
    </row>
    <row r="134" spans="1:17" x14ac:dyDescent="0.2">
      <c r="A134">
        <f t="shared" si="226"/>
        <v>132</v>
      </c>
      <c r="B134" s="1" t="s">
        <v>604</v>
      </c>
      <c r="C134">
        <v>4</v>
      </c>
      <c r="D134">
        <v>0</v>
      </c>
      <c r="E134">
        <v>-5</v>
      </c>
      <c r="F134">
        <v>-2</v>
      </c>
      <c r="G134">
        <v>-1</v>
      </c>
      <c r="H134">
        <f>_xlfn.XLOOKUP(I134,$B$2:$B$1096,$A$2:$A$1096,65535)</f>
        <v>65535</v>
      </c>
      <c r="J134">
        <f t="shared" ref="J134:K134" si="231">C134-C170</f>
        <v>-1</v>
      </c>
      <c r="K134">
        <f t="shared" si="231"/>
        <v>4</v>
      </c>
      <c r="L134">
        <f t="shared" ref="L134:N134" si="232">E134+E170</f>
        <v>-5</v>
      </c>
      <c r="M134">
        <f t="shared" si="232"/>
        <v>-2</v>
      </c>
      <c r="N134">
        <f t="shared" si="232"/>
        <v>-1</v>
      </c>
      <c r="P134" t="str">
        <f t="shared" si="98"/>
        <v>0, -5, -2, -1</v>
      </c>
    </row>
    <row r="135" spans="1:17" x14ac:dyDescent="0.2">
      <c r="A135">
        <f t="shared" si="226"/>
        <v>133</v>
      </c>
      <c r="B135" s="1" t="s">
        <v>605</v>
      </c>
      <c r="C135">
        <v>5</v>
      </c>
      <c r="D135">
        <v>0</v>
      </c>
      <c r="E135">
        <v>-5</v>
      </c>
      <c r="F135">
        <v>-2</v>
      </c>
      <c r="G135">
        <v>0</v>
      </c>
      <c r="H135">
        <f>_xlfn.XLOOKUP(I135,$B$2:$B$1096,$A$2:$A$1096,65535)</f>
        <v>65535</v>
      </c>
      <c r="J135">
        <f t="shared" ref="J135:K135" si="233">C135-C171</f>
        <v>0</v>
      </c>
      <c r="K135">
        <f t="shared" si="233"/>
        <v>4</v>
      </c>
      <c r="L135">
        <f t="shared" ref="L135:N135" si="234">E135+E171</f>
        <v>-5</v>
      </c>
      <c r="M135">
        <f t="shared" si="234"/>
        <v>-2</v>
      </c>
      <c r="N135">
        <f t="shared" si="234"/>
        <v>0</v>
      </c>
      <c r="P135" t="str">
        <f t="shared" ref="P135:P198" si="235">_xlfn.CONCAT(D135,", ",E135,", ",F135,", ",G135)</f>
        <v>0, -5, -2, 0</v>
      </c>
    </row>
    <row r="136" spans="1:17" x14ac:dyDescent="0.2">
      <c r="A136">
        <f t="shared" si="226"/>
        <v>134</v>
      </c>
      <c r="B136" s="1" t="s">
        <v>602</v>
      </c>
      <c r="C136">
        <v>6</v>
      </c>
      <c r="D136">
        <v>0</v>
      </c>
      <c r="E136">
        <v>-5</v>
      </c>
      <c r="F136">
        <v>-2</v>
      </c>
      <c r="G136">
        <v>-1</v>
      </c>
      <c r="H136">
        <f>_xlfn.XLOOKUP(I136,$B$2:$B$1096,$A$2:$A$1096,65535)</f>
        <v>65535</v>
      </c>
      <c r="J136">
        <f t="shared" ref="J136:K136" si="236">C136-C172</f>
        <v>-1</v>
      </c>
      <c r="K136">
        <f t="shared" si="236"/>
        <v>0</v>
      </c>
      <c r="L136">
        <f t="shared" ref="L136:N136" si="237">E136+E172</f>
        <v>-5</v>
      </c>
      <c r="M136">
        <f t="shared" si="237"/>
        <v>-2</v>
      </c>
      <c r="N136">
        <f t="shared" si="237"/>
        <v>-1</v>
      </c>
      <c r="P136" t="str">
        <f t="shared" si="235"/>
        <v>0, -5, -2, -1</v>
      </c>
    </row>
    <row r="137" spans="1:17" x14ac:dyDescent="0.2">
      <c r="A137">
        <f t="shared" si="226"/>
        <v>135</v>
      </c>
      <c r="B137" s="1" t="s">
        <v>603</v>
      </c>
      <c r="C137">
        <v>5</v>
      </c>
      <c r="D137">
        <v>0</v>
      </c>
      <c r="E137">
        <v>-5</v>
      </c>
      <c r="F137">
        <v>-2</v>
      </c>
      <c r="G137">
        <v>0</v>
      </c>
      <c r="H137">
        <f>_xlfn.XLOOKUP(I137,$B$2:$B$1096,$A$2:$A$1096,65535)</f>
        <v>65535</v>
      </c>
      <c r="J137">
        <f t="shared" ref="J137:K137" si="238">C137-C173</f>
        <v>0</v>
      </c>
      <c r="K137">
        <f t="shared" si="238"/>
        <v>0</v>
      </c>
      <c r="L137">
        <f t="shared" ref="L137:N137" si="239">E137+E173</f>
        <v>-5</v>
      </c>
      <c r="M137">
        <f t="shared" si="239"/>
        <v>-2</v>
      </c>
      <c r="N137">
        <f t="shared" si="239"/>
        <v>0</v>
      </c>
      <c r="P137" t="str">
        <f t="shared" si="235"/>
        <v>0, -5, -2, 0</v>
      </c>
    </row>
    <row r="138" spans="1:17" s="4" customFormat="1" x14ac:dyDescent="0.2">
      <c r="A138">
        <f t="shared" si="226"/>
        <v>136</v>
      </c>
      <c r="B138" s="5" t="s">
        <v>161</v>
      </c>
      <c r="C138" s="4">
        <v>4</v>
      </c>
      <c r="D138" s="4">
        <v>0</v>
      </c>
      <c r="E138" s="4">
        <v>-5</v>
      </c>
      <c r="F138">
        <v>-2</v>
      </c>
      <c r="G138" s="4">
        <v>-1</v>
      </c>
      <c r="H138">
        <f>_xlfn.XLOOKUP(I138,$B$2:$B$1096,$A$2:$A$1096,65535)</f>
        <v>65535</v>
      </c>
      <c r="J138">
        <f t="shared" ref="J138:K138" si="240">C138-C178</f>
        <v>0</v>
      </c>
      <c r="K138">
        <f t="shared" si="240"/>
        <v>0</v>
      </c>
      <c r="L138">
        <f t="shared" ref="L138:N138" si="241">E138+E178</f>
        <v>-5</v>
      </c>
      <c r="M138">
        <f t="shared" si="241"/>
        <v>-2</v>
      </c>
      <c r="N138">
        <f t="shared" si="241"/>
        <v>-1</v>
      </c>
      <c r="O138"/>
      <c r="P138" t="str">
        <f t="shared" si="235"/>
        <v>0, -5, -2, -1</v>
      </c>
      <c r="Q138" s="4">
        <v>0</v>
      </c>
    </row>
    <row r="139" spans="1:17" s="4" customFormat="1" x14ac:dyDescent="0.2">
      <c r="A139">
        <f t="shared" si="226"/>
        <v>137</v>
      </c>
      <c r="B139" s="5" t="s">
        <v>162</v>
      </c>
      <c r="C139" s="4">
        <v>5</v>
      </c>
      <c r="D139" s="4">
        <v>0</v>
      </c>
      <c r="E139" s="4">
        <v>-5</v>
      </c>
      <c r="F139">
        <v>-2</v>
      </c>
      <c r="G139" s="4">
        <v>0</v>
      </c>
      <c r="H139">
        <f>_xlfn.XLOOKUP(I139,$B$2:$B$1096,$A$2:$A$1096,65535)</f>
        <v>65535</v>
      </c>
      <c r="J139">
        <f t="shared" ref="J139:K139" si="242">C139-C179</f>
        <v>0</v>
      </c>
      <c r="K139">
        <f t="shared" si="242"/>
        <v>-4</v>
      </c>
      <c r="L139">
        <f t="shared" ref="L139:N139" si="243">E139+E179</f>
        <v>-5</v>
      </c>
      <c r="M139">
        <f t="shared" si="243"/>
        <v>-2</v>
      </c>
      <c r="N139">
        <f t="shared" si="243"/>
        <v>0</v>
      </c>
      <c r="O139"/>
      <c r="P139" t="str">
        <f t="shared" si="235"/>
        <v>0, -5, -2, 0</v>
      </c>
      <c r="Q139" s="4">
        <v>0</v>
      </c>
    </row>
    <row r="140" spans="1:17" s="4" customFormat="1" x14ac:dyDescent="0.2">
      <c r="A140">
        <f t="shared" si="226"/>
        <v>138</v>
      </c>
      <c r="B140" s="5" t="s">
        <v>163</v>
      </c>
      <c r="C140" s="4">
        <v>6</v>
      </c>
      <c r="D140" s="4">
        <v>0</v>
      </c>
      <c r="E140" s="4">
        <v>-5</v>
      </c>
      <c r="F140">
        <v>-2</v>
      </c>
      <c r="G140" s="4">
        <v>-1</v>
      </c>
      <c r="H140">
        <f>_xlfn.XLOOKUP(I140,$B$2:$B$1096,$A$2:$A$1096,65535)</f>
        <v>65535</v>
      </c>
      <c r="J140">
        <f t="shared" ref="J140:K140" si="244">C140-C180</f>
        <v>1</v>
      </c>
      <c r="K140">
        <f t="shared" si="244"/>
        <v>-3</v>
      </c>
      <c r="L140">
        <f t="shared" ref="L140:N140" si="245">E140+E180</f>
        <v>-5</v>
      </c>
      <c r="M140">
        <f t="shared" si="245"/>
        <v>-2</v>
      </c>
      <c r="N140">
        <f t="shared" si="245"/>
        <v>-1</v>
      </c>
      <c r="O140"/>
      <c r="P140" t="str">
        <f t="shared" si="235"/>
        <v>0, -5, -2, -1</v>
      </c>
      <c r="Q140" s="4">
        <v>2</v>
      </c>
    </row>
    <row r="141" spans="1:17" s="4" customFormat="1" x14ac:dyDescent="0.2">
      <c r="A141">
        <f t="shared" si="226"/>
        <v>139</v>
      </c>
      <c r="B141" s="5" t="s">
        <v>164</v>
      </c>
      <c r="C141" s="4">
        <v>5</v>
      </c>
      <c r="D141" s="4">
        <v>0</v>
      </c>
      <c r="E141" s="4">
        <v>-5</v>
      </c>
      <c r="F141">
        <v>-2</v>
      </c>
      <c r="G141" s="4">
        <v>0</v>
      </c>
      <c r="H141">
        <f>_xlfn.XLOOKUP(I141,$B$2:$B$1096,$A$2:$A$1096,65535)</f>
        <v>65535</v>
      </c>
      <c r="J141">
        <f t="shared" ref="J141:K141" si="246">C141-C181</f>
        <v>0</v>
      </c>
      <c r="K141">
        <f t="shared" si="246"/>
        <v>-2</v>
      </c>
      <c r="L141">
        <f t="shared" ref="L141:N141" si="247">E141+E181</f>
        <v>-5</v>
      </c>
      <c r="M141">
        <f t="shared" si="247"/>
        <v>-2</v>
      </c>
      <c r="N141">
        <f t="shared" si="247"/>
        <v>0</v>
      </c>
      <c r="O141"/>
      <c r="P141" t="str">
        <f t="shared" si="235"/>
        <v>0, -5, -2, 0</v>
      </c>
      <c r="Q141" s="4">
        <v>0</v>
      </c>
    </row>
    <row r="142" spans="1:17" s="4" customFormat="1" x14ac:dyDescent="0.2">
      <c r="A142">
        <f t="shared" si="226"/>
        <v>140</v>
      </c>
      <c r="B142" s="5" t="s">
        <v>165</v>
      </c>
      <c r="C142" s="4">
        <v>4</v>
      </c>
      <c r="D142" s="4">
        <v>2</v>
      </c>
      <c r="E142" s="4">
        <v>-5</v>
      </c>
      <c r="F142">
        <v>-2</v>
      </c>
      <c r="G142" s="4">
        <v>-1</v>
      </c>
      <c r="H142">
        <f>_xlfn.XLOOKUP(I142,$B$2:$B$1096,$A$2:$A$1096,65535)</f>
        <v>65535</v>
      </c>
      <c r="J142">
        <f t="shared" ref="J142:K142" si="248">C142-C182</f>
        <v>-1</v>
      </c>
      <c r="K142">
        <f t="shared" si="248"/>
        <v>4</v>
      </c>
      <c r="L142">
        <f t="shared" ref="L142:N142" si="249">E142+E182</f>
        <v>-5</v>
      </c>
      <c r="M142">
        <f t="shared" si="249"/>
        <v>-2</v>
      </c>
      <c r="N142">
        <f t="shared" si="249"/>
        <v>-1</v>
      </c>
      <c r="O142"/>
      <c r="P142" t="str">
        <f t="shared" si="235"/>
        <v>2, -5, -2, -1</v>
      </c>
      <c r="Q142" s="4">
        <v>2</v>
      </c>
    </row>
    <row r="143" spans="1:17" s="4" customFormat="1" x14ac:dyDescent="0.2">
      <c r="A143">
        <f t="shared" si="226"/>
        <v>141</v>
      </c>
      <c r="B143" s="5" t="s">
        <v>166</v>
      </c>
      <c r="C143" s="4">
        <v>5</v>
      </c>
      <c r="D143" s="4">
        <v>2</v>
      </c>
      <c r="E143" s="4">
        <v>-5</v>
      </c>
      <c r="F143">
        <v>-2</v>
      </c>
      <c r="G143" s="4">
        <v>0</v>
      </c>
      <c r="H143">
        <f>_xlfn.XLOOKUP(I143,$B$2:$B$1096,$A$2:$A$1096,65535)</f>
        <v>65535</v>
      </c>
      <c r="J143">
        <f t="shared" ref="J143:K143" si="250">C143-C183</f>
        <v>-1</v>
      </c>
      <c r="K143">
        <f t="shared" si="250"/>
        <v>5</v>
      </c>
      <c r="L143">
        <f t="shared" ref="L143:N143" si="251">E143+E183</f>
        <v>-5</v>
      </c>
      <c r="M143">
        <f t="shared" si="251"/>
        <v>-2</v>
      </c>
      <c r="N143">
        <f t="shared" si="251"/>
        <v>0</v>
      </c>
      <c r="O143"/>
      <c r="P143" t="str">
        <f t="shared" si="235"/>
        <v>2, -5, -2, 0</v>
      </c>
      <c r="Q143" s="4">
        <v>2</v>
      </c>
    </row>
    <row r="144" spans="1:17" s="4" customFormat="1" x14ac:dyDescent="0.2">
      <c r="A144">
        <f t="shared" si="226"/>
        <v>142</v>
      </c>
      <c r="B144" s="5" t="s">
        <v>167</v>
      </c>
      <c r="C144" s="4">
        <v>6</v>
      </c>
      <c r="D144" s="4">
        <v>2</v>
      </c>
      <c r="E144" s="4">
        <v>-5</v>
      </c>
      <c r="F144">
        <v>-2</v>
      </c>
      <c r="G144" s="4">
        <v>-1</v>
      </c>
      <c r="H144">
        <f>_xlfn.XLOOKUP(I144,$B$2:$B$1096,$A$2:$A$1096,65535)</f>
        <v>65535</v>
      </c>
      <c r="J144">
        <f t="shared" ref="J144:K144" si="252">C144-C184</f>
        <v>1</v>
      </c>
      <c r="K144">
        <f t="shared" si="252"/>
        <v>6</v>
      </c>
      <c r="L144">
        <f t="shared" ref="L144:N144" si="253">E144+E184</f>
        <v>-5</v>
      </c>
      <c r="M144">
        <f t="shared" si="253"/>
        <v>-2</v>
      </c>
      <c r="N144">
        <f t="shared" si="253"/>
        <v>-1</v>
      </c>
      <c r="O144"/>
      <c r="P144" t="str">
        <f t="shared" si="235"/>
        <v>2, -5, -2, -1</v>
      </c>
      <c r="Q144" s="4">
        <v>2</v>
      </c>
    </row>
    <row r="145" spans="1:17" s="4" customFormat="1" x14ac:dyDescent="0.2">
      <c r="A145">
        <f t="shared" si="226"/>
        <v>143</v>
      </c>
      <c r="B145" s="5" t="s">
        <v>168</v>
      </c>
      <c r="C145" s="4">
        <v>5</v>
      </c>
      <c r="D145" s="4">
        <v>2</v>
      </c>
      <c r="E145" s="4">
        <v>-5</v>
      </c>
      <c r="F145">
        <v>-2</v>
      </c>
      <c r="G145" s="4">
        <v>0</v>
      </c>
      <c r="H145">
        <f>_xlfn.XLOOKUP(I145,$B$2:$B$1096,$A$2:$A$1096,65535)</f>
        <v>65535</v>
      </c>
      <c r="J145">
        <f t="shared" ref="J145:K145" si="254">C145-C185</f>
        <v>0</v>
      </c>
      <c r="K145">
        <f t="shared" si="254"/>
        <v>1</v>
      </c>
      <c r="L145">
        <f t="shared" ref="L145:N145" si="255">E145+E185</f>
        <v>-5</v>
      </c>
      <c r="M145">
        <f t="shared" si="255"/>
        <v>-2</v>
      </c>
      <c r="N145">
        <f t="shared" si="255"/>
        <v>0</v>
      </c>
      <c r="O145"/>
      <c r="P145" t="str">
        <f t="shared" si="235"/>
        <v>2, -5, -2, 0</v>
      </c>
      <c r="Q145" s="4">
        <v>0</v>
      </c>
    </row>
    <row r="146" spans="1:17" x14ac:dyDescent="0.2">
      <c r="A146">
        <f t="shared" si="226"/>
        <v>144</v>
      </c>
      <c r="B146" s="1" t="s">
        <v>368</v>
      </c>
      <c r="C146">
        <v>4</v>
      </c>
      <c r="D146">
        <v>4</v>
      </c>
      <c r="E146" s="4">
        <v>-5</v>
      </c>
      <c r="F146">
        <v>-2</v>
      </c>
      <c r="G146">
        <v>-1</v>
      </c>
      <c r="H146">
        <f>_xlfn.XLOOKUP(I146,$B$2:$B$1096,$A$2:$A$1096,65535)</f>
        <v>65535</v>
      </c>
      <c r="J146">
        <f t="shared" ref="J146:K146" si="256">C146-C186</f>
        <v>-3</v>
      </c>
      <c r="K146">
        <f t="shared" si="256"/>
        <v>4</v>
      </c>
      <c r="L146">
        <f t="shared" ref="L146:N146" si="257">E146+E186</f>
        <v>-5</v>
      </c>
      <c r="M146">
        <f t="shared" si="257"/>
        <v>-2</v>
      </c>
      <c r="N146">
        <f t="shared" si="257"/>
        <v>-1</v>
      </c>
      <c r="P146" t="str">
        <f t="shared" si="235"/>
        <v>4, -5, -2, -1</v>
      </c>
    </row>
    <row r="147" spans="1:17" x14ac:dyDescent="0.2">
      <c r="A147">
        <f t="shared" si="226"/>
        <v>145</v>
      </c>
      <c r="B147" s="1" t="s">
        <v>369</v>
      </c>
      <c r="C147">
        <v>5</v>
      </c>
      <c r="D147">
        <v>2</v>
      </c>
      <c r="E147" s="4">
        <v>-5</v>
      </c>
      <c r="F147">
        <v>-2</v>
      </c>
      <c r="G147">
        <v>0</v>
      </c>
      <c r="H147">
        <f>_xlfn.XLOOKUP(I147,$B$2:$B$1096,$A$2:$A$1096,65535)</f>
        <v>65535</v>
      </c>
      <c r="J147">
        <f t="shared" ref="J147:K147" si="258">C147-C187</f>
        <v>0</v>
      </c>
      <c r="K147">
        <f t="shared" si="258"/>
        <v>3</v>
      </c>
      <c r="L147">
        <f t="shared" ref="L147:N147" si="259">E147+E187</f>
        <v>-5</v>
      </c>
      <c r="M147">
        <f t="shared" si="259"/>
        <v>-2</v>
      </c>
      <c r="N147">
        <f t="shared" si="259"/>
        <v>0</v>
      </c>
      <c r="P147" t="str">
        <f t="shared" si="235"/>
        <v>2, -5, -2, 0</v>
      </c>
    </row>
    <row r="148" spans="1:17" x14ac:dyDescent="0.2">
      <c r="A148">
        <f t="shared" si="226"/>
        <v>146</v>
      </c>
      <c r="B148" s="1" t="s">
        <v>370</v>
      </c>
      <c r="C148">
        <v>6</v>
      </c>
      <c r="D148">
        <v>2</v>
      </c>
      <c r="E148" s="4">
        <v>-5</v>
      </c>
      <c r="F148">
        <v>-2</v>
      </c>
      <c r="G148">
        <v>-1</v>
      </c>
      <c r="H148">
        <f>_xlfn.XLOOKUP(I148,$B$2:$B$1096,$A$2:$A$1096,65535)</f>
        <v>65535</v>
      </c>
      <c r="J148">
        <f t="shared" ref="J148:K148" si="260">C148-C188</f>
        <v>2</v>
      </c>
      <c r="K148">
        <f t="shared" si="260"/>
        <v>-2</v>
      </c>
      <c r="L148">
        <f t="shared" ref="L148:N148" si="261">E148+E188</f>
        <v>-5</v>
      </c>
      <c r="M148">
        <f t="shared" si="261"/>
        <v>-2</v>
      </c>
      <c r="N148">
        <f t="shared" si="261"/>
        <v>-1</v>
      </c>
      <c r="P148" t="str">
        <f t="shared" si="235"/>
        <v>2, -5, -2, -1</v>
      </c>
    </row>
    <row r="149" spans="1:17" x14ac:dyDescent="0.2">
      <c r="A149">
        <f t="shared" si="226"/>
        <v>147</v>
      </c>
      <c r="B149" s="1" t="s">
        <v>371</v>
      </c>
      <c r="C149">
        <v>5</v>
      </c>
      <c r="D149">
        <v>0</v>
      </c>
      <c r="E149" s="4">
        <v>-5</v>
      </c>
      <c r="F149">
        <v>-2</v>
      </c>
      <c r="G149">
        <v>0</v>
      </c>
      <c r="H149">
        <f>_xlfn.XLOOKUP(I149,$B$2:$B$1096,$A$2:$A$1096,65535)</f>
        <v>65535</v>
      </c>
      <c r="J149">
        <f t="shared" ref="J149:K149" si="262">C149-C189</f>
        <v>1</v>
      </c>
      <c r="K149">
        <f t="shared" si="262"/>
        <v>-3</v>
      </c>
      <c r="L149">
        <f t="shared" ref="L149:N149" si="263">E149+E189</f>
        <v>-5</v>
      </c>
      <c r="M149">
        <f t="shared" si="263"/>
        <v>-2</v>
      </c>
      <c r="N149">
        <f t="shared" si="263"/>
        <v>0</v>
      </c>
      <c r="P149" t="str">
        <f t="shared" si="235"/>
        <v>0, -5, -2, 0</v>
      </c>
    </row>
    <row r="150" spans="1:17" x14ac:dyDescent="0.2">
      <c r="A150">
        <f t="shared" si="226"/>
        <v>148</v>
      </c>
      <c r="B150" s="1" t="s">
        <v>169</v>
      </c>
      <c r="C150">
        <v>4</v>
      </c>
      <c r="D150">
        <v>0</v>
      </c>
      <c r="E150">
        <v>-5</v>
      </c>
      <c r="F150">
        <v>-2</v>
      </c>
      <c r="G150">
        <v>-1</v>
      </c>
      <c r="H150">
        <f>_xlfn.XLOOKUP(I150,$B$2:$B$1096,$A$2:$A$1096,65535)</f>
        <v>65535</v>
      </c>
      <c r="J150">
        <f t="shared" ref="J150:K150" si="264">C150-C190</f>
        <v>0</v>
      </c>
      <c r="K150">
        <f t="shared" si="264"/>
        <v>-2</v>
      </c>
      <c r="L150">
        <f t="shared" ref="L150:N150" si="265">E150+E190</f>
        <v>-5</v>
      </c>
      <c r="M150">
        <f t="shared" si="265"/>
        <v>-2</v>
      </c>
      <c r="N150">
        <f t="shared" si="265"/>
        <v>-1</v>
      </c>
      <c r="P150" t="str">
        <f t="shared" si="235"/>
        <v>0, -5, -2, -1</v>
      </c>
    </row>
    <row r="151" spans="1:17" x14ac:dyDescent="0.2">
      <c r="A151">
        <f t="shared" si="226"/>
        <v>149</v>
      </c>
      <c r="B151" s="1" t="s">
        <v>170</v>
      </c>
      <c r="C151">
        <v>5</v>
      </c>
      <c r="D151">
        <v>0</v>
      </c>
      <c r="E151">
        <v>-5</v>
      </c>
      <c r="F151">
        <v>-2</v>
      </c>
      <c r="G151">
        <v>0</v>
      </c>
      <c r="H151">
        <f>_xlfn.XLOOKUP(I151,$B$2:$B$1096,$A$2:$A$1096,65535)</f>
        <v>65535</v>
      </c>
      <c r="J151">
        <f t="shared" ref="J151:K151" si="266">C151-C191</f>
        <v>1</v>
      </c>
      <c r="K151">
        <f t="shared" si="266"/>
        <v>-1</v>
      </c>
      <c r="L151">
        <f t="shared" ref="L151:N151" si="267">E151+E191</f>
        <v>-5</v>
      </c>
      <c r="M151">
        <f t="shared" si="267"/>
        <v>-2</v>
      </c>
      <c r="N151">
        <f t="shared" si="267"/>
        <v>0</v>
      </c>
      <c r="P151" t="str">
        <f t="shared" si="235"/>
        <v>0, -5, -2, 0</v>
      </c>
    </row>
    <row r="152" spans="1:17" x14ac:dyDescent="0.2">
      <c r="A152">
        <f t="shared" si="226"/>
        <v>150</v>
      </c>
      <c r="B152" s="1" t="s">
        <v>171</v>
      </c>
      <c r="C152">
        <v>6</v>
      </c>
      <c r="D152">
        <v>0</v>
      </c>
      <c r="E152">
        <v>-5</v>
      </c>
      <c r="F152">
        <v>-2</v>
      </c>
      <c r="G152">
        <v>-1</v>
      </c>
      <c r="H152">
        <f>_xlfn.XLOOKUP(I152,$B$2:$B$1096,$A$2:$A$1096,65535)</f>
        <v>65535</v>
      </c>
      <c r="J152">
        <f t="shared" ref="J152:K152" si="268">C152-C192</f>
        <v>1</v>
      </c>
      <c r="K152">
        <f t="shared" si="268"/>
        <v>1</v>
      </c>
      <c r="L152">
        <f t="shared" ref="L152:N152" si="269">E152+E192</f>
        <v>-5</v>
      </c>
      <c r="M152">
        <f t="shared" si="269"/>
        <v>-2</v>
      </c>
      <c r="N152">
        <f t="shared" si="269"/>
        <v>-1</v>
      </c>
      <c r="P152" t="str">
        <f t="shared" si="235"/>
        <v>0, -5, -2, -1</v>
      </c>
    </row>
    <row r="153" spans="1:17" x14ac:dyDescent="0.2">
      <c r="A153">
        <f t="shared" si="226"/>
        <v>151</v>
      </c>
      <c r="B153" s="1" t="s">
        <v>172</v>
      </c>
      <c r="C153">
        <v>5</v>
      </c>
      <c r="D153">
        <v>0</v>
      </c>
      <c r="E153">
        <v>-5</v>
      </c>
      <c r="F153">
        <v>-2</v>
      </c>
      <c r="G153">
        <v>0</v>
      </c>
      <c r="H153">
        <f>_xlfn.XLOOKUP(I153,$B$2:$B$1096,$A$2:$A$1096,65535)</f>
        <v>65535</v>
      </c>
      <c r="J153">
        <f t="shared" ref="J153:K153" si="270">C153-C193</f>
        <v>0</v>
      </c>
      <c r="K153">
        <f t="shared" si="270"/>
        <v>1</v>
      </c>
      <c r="L153">
        <f t="shared" ref="L153:N153" si="271">E153+E193</f>
        <v>-5</v>
      </c>
      <c r="M153">
        <f t="shared" si="271"/>
        <v>-2</v>
      </c>
      <c r="N153">
        <f t="shared" si="271"/>
        <v>0</v>
      </c>
      <c r="P153" t="str">
        <f t="shared" si="235"/>
        <v>0, -5, -2, 0</v>
      </c>
    </row>
    <row r="154" spans="1:17" x14ac:dyDescent="0.2">
      <c r="A154">
        <f t="shared" si="226"/>
        <v>152</v>
      </c>
      <c r="B154" s="1" t="s">
        <v>173</v>
      </c>
      <c r="C154">
        <v>4</v>
      </c>
      <c r="D154">
        <v>-2</v>
      </c>
      <c r="E154">
        <v>-5</v>
      </c>
      <c r="F154">
        <v>-2</v>
      </c>
      <c r="G154">
        <v>-1</v>
      </c>
      <c r="H154">
        <f>_xlfn.XLOOKUP(I154,$B$2:$B$1096,$A$2:$A$1096,65535)</f>
        <v>65535</v>
      </c>
      <c r="J154">
        <f t="shared" ref="J154:K154" si="272">C154-C194</f>
        <v>0</v>
      </c>
      <c r="K154">
        <f t="shared" si="272"/>
        <v>-5</v>
      </c>
      <c r="L154">
        <f t="shared" ref="L154:N154" si="273">E154+E194</f>
        <v>-5</v>
      </c>
      <c r="M154">
        <f t="shared" si="273"/>
        <v>-2</v>
      </c>
      <c r="N154">
        <f t="shared" si="273"/>
        <v>-1</v>
      </c>
      <c r="P154" t="str">
        <f t="shared" si="235"/>
        <v>-2, -5, -2, -1</v>
      </c>
    </row>
    <row r="155" spans="1:17" x14ac:dyDescent="0.2">
      <c r="A155">
        <f t="shared" si="226"/>
        <v>153</v>
      </c>
      <c r="B155" s="1" t="s">
        <v>174</v>
      </c>
      <c r="C155">
        <v>5</v>
      </c>
      <c r="D155">
        <v>-2</v>
      </c>
      <c r="E155">
        <v>-5</v>
      </c>
      <c r="F155">
        <v>-2</v>
      </c>
      <c r="G155">
        <v>0</v>
      </c>
      <c r="H155">
        <f>_xlfn.XLOOKUP(I155,$B$2:$B$1096,$A$2:$A$1096,65535)</f>
        <v>65535</v>
      </c>
      <c r="J155">
        <f t="shared" ref="J155:K155" si="274">C155-C195</f>
        <v>1</v>
      </c>
      <c r="K155">
        <f t="shared" si="274"/>
        <v>-5</v>
      </c>
      <c r="L155">
        <f t="shared" ref="L155:N155" si="275">E155+E195</f>
        <v>-5</v>
      </c>
      <c r="M155">
        <f t="shared" si="275"/>
        <v>-2</v>
      </c>
      <c r="N155">
        <f t="shared" si="275"/>
        <v>0</v>
      </c>
      <c r="P155" t="str">
        <f t="shared" si="235"/>
        <v>-2, -5, -2, 0</v>
      </c>
    </row>
    <row r="156" spans="1:17" x14ac:dyDescent="0.2">
      <c r="A156">
        <f t="shared" si="226"/>
        <v>154</v>
      </c>
      <c r="B156" s="1" t="s">
        <v>175</v>
      </c>
      <c r="C156">
        <v>6</v>
      </c>
      <c r="D156">
        <v>-2</v>
      </c>
      <c r="E156">
        <v>-5</v>
      </c>
      <c r="F156">
        <v>-2</v>
      </c>
      <c r="G156">
        <v>-1</v>
      </c>
      <c r="H156">
        <f>_xlfn.XLOOKUP(I156,$B$2:$B$1096,$A$2:$A$1096,65535)</f>
        <v>65535</v>
      </c>
      <c r="J156">
        <f t="shared" ref="J156:K156" si="276">C156-C196</f>
        <v>2</v>
      </c>
      <c r="K156">
        <f t="shared" si="276"/>
        <v>-4</v>
      </c>
      <c r="L156">
        <f t="shared" ref="L156:N156" si="277">E156+E196</f>
        <v>-10</v>
      </c>
      <c r="M156">
        <f t="shared" si="277"/>
        <v>-4</v>
      </c>
      <c r="N156">
        <f t="shared" si="277"/>
        <v>-1</v>
      </c>
      <c r="P156" t="str">
        <f t="shared" si="235"/>
        <v>-2, -5, -2, -1</v>
      </c>
    </row>
    <row r="157" spans="1:17" x14ac:dyDescent="0.2">
      <c r="A157">
        <f t="shared" si="226"/>
        <v>155</v>
      </c>
      <c r="B157" s="1" t="s">
        <v>176</v>
      </c>
      <c r="C157">
        <v>5</v>
      </c>
      <c r="D157">
        <v>-2</v>
      </c>
      <c r="E157">
        <v>-5</v>
      </c>
      <c r="F157">
        <v>-2</v>
      </c>
      <c r="G157">
        <v>0</v>
      </c>
      <c r="H157">
        <f>_xlfn.XLOOKUP(I157,$B$2:$B$1096,$A$2:$A$1096,65535)</f>
        <v>65535</v>
      </c>
      <c r="J157">
        <f t="shared" ref="J157:K157" si="278">C157-C197</f>
        <v>1</v>
      </c>
      <c r="K157">
        <f t="shared" si="278"/>
        <v>-3</v>
      </c>
      <c r="L157">
        <f t="shared" ref="L157:N157" si="279">E157+E197</f>
        <v>-10</v>
      </c>
      <c r="M157">
        <f t="shared" si="279"/>
        <v>-4</v>
      </c>
      <c r="N157">
        <f t="shared" si="279"/>
        <v>-1</v>
      </c>
      <c r="P157" t="str">
        <f t="shared" si="235"/>
        <v>-2, -5, -2, 0</v>
      </c>
    </row>
    <row r="158" spans="1:17" x14ac:dyDescent="0.2">
      <c r="A158">
        <f t="shared" si="226"/>
        <v>156</v>
      </c>
      <c r="B158" s="1" t="s">
        <v>372</v>
      </c>
      <c r="C158">
        <v>4</v>
      </c>
      <c r="D158">
        <v>0</v>
      </c>
      <c r="E158" s="4">
        <v>-5</v>
      </c>
      <c r="F158">
        <v>-2</v>
      </c>
      <c r="G158">
        <v>-1</v>
      </c>
      <c r="H158">
        <f>_xlfn.XLOOKUP(I158,$B$2:$B$1096,$A$2:$A$1096,65535)</f>
        <v>65535</v>
      </c>
      <c r="J158">
        <f t="shared" ref="J158:K158" si="280">C158-C198</f>
        <v>0</v>
      </c>
      <c r="K158">
        <f t="shared" si="280"/>
        <v>0</v>
      </c>
      <c r="L158">
        <f t="shared" ref="L158:N158" si="281">E158+E198</f>
        <v>-10</v>
      </c>
      <c r="M158">
        <f t="shared" si="281"/>
        <v>-4</v>
      </c>
      <c r="N158">
        <f t="shared" si="281"/>
        <v>-1</v>
      </c>
      <c r="P158" t="str">
        <f t="shared" si="235"/>
        <v>0, -5, -2, -1</v>
      </c>
    </row>
    <row r="159" spans="1:17" x14ac:dyDescent="0.2">
      <c r="A159">
        <f t="shared" si="226"/>
        <v>157</v>
      </c>
      <c r="B159" s="1" t="s">
        <v>373</v>
      </c>
      <c r="C159">
        <v>5</v>
      </c>
      <c r="D159">
        <v>-2</v>
      </c>
      <c r="E159" s="4">
        <v>-5</v>
      </c>
      <c r="F159">
        <v>-2</v>
      </c>
      <c r="G159">
        <v>0</v>
      </c>
      <c r="H159">
        <f>_xlfn.XLOOKUP(I159,$B$2:$B$1096,$A$2:$A$1096,65535)</f>
        <v>65535</v>
      </c>
      <c r="J159">
        <f t="shared" ref="J159:K159" si="282">C159-C199</f>
        <v>0</v>
      </c>
      <c r="K159">
        <f t="shared" si="282"/>
        <v>-1</v>
      </c>
      <c r="L159">
        <f t="shared" ref="L159:N159" si="283">E159+E199</f>
        <v>-10</v>
      </c>
      <c r="M159">
        <f t="shared" si="283"/>
        <v>-4</v>
      </c>
      <c r="N159">
        <f t="shared" si="283"/>
        <v>-1</v>
      </c>
      <c r="P159" t="str">
        <f t="shared" si="235"/>
        <v>-2, -5, -2, 0</v>
      </c>
    </row>
    <row r="160" spans="1:17" x14ac:dyDescent="0.2">
      <c r="A160">
        <f t="shared" si="226"/>
        <v>158</v>
      </c>
      <c r="B160" s="1" t="s">
        <v>374</v>
      </c>
      <c r="C160">
        <v>6</v>
      </c>
      <c r="D160">
        <v>-2</v>
      </c>
      <c r="E160" s="4">
        <v>-5</v>
      </c>
      <c r="F160">
        <v>-2</v>
      </c>
      <c r="G160">
        <v>-1</v>
      </c>
      <c r="H160">
        <f>_xlfn.XLOOKUP(I160,$B$2:$B$1096,$A$2:$A$1096,65535)</f>
        <v>65535</v>
      </c>
      <c r="J160">
        <f t="shared" ref="J160:K160" si="284">C160-C200</f>
        <v>2</v>
      </c>
      <c r="K160">
        <f t="shared" si="284"/>
        <v>-2</v>
      </c>
      <c r="L160">
        <f t="shared" ref="L160:N160" si="285">E160+E200</f>
        <v>-10</v>
      </c>
      <c r="M160">
        <f t="shared" si="285"/>
        <v>-2</v>
      </c>
      <c r="N160">
        <f t="shared" si="285"/>
        <v>-2</v>
      </c>
      <c r="P160" t="str">
        <f t="shared" si="235"/>
        <v>-2, -5, -2, -1</v>
      </c>
    </row>
    <row r="161" spans="1:16" x14ac:dyDescent="0.2">
      <c r="A161">
        <f t="shared" si="226"/>
        <v>159</v>
      </c>
      <c r="B161" s="1" t="s">
        <v>375</v>
      </c>
      <c r="C161">
        <v>5</v>
      </c>
      <c r="D161">
        <v>-4</v>
      </c>
      <c r="E161" s="4">
        <v>-5</v>
      </c>
      <c r="F161">
        <v>-2</v>
      </c>
      <c r="G161">
        <v>0</v>
      </c>
      <c r="H161">
        <f>_xlfn.XLOOKUP(I161,$B$2:$B$1096,$A$2:$A$1096,65535)</f>
        <v>65535</v>
      </c>
      <c r="J161">
        <f t="shared" ref="J161:K161" si="286">C161-C201</f>
        <v>1</v>
      </c>
      <c r="K161">
        <f t="shared" si="286"/>
        <v>-8</v>
      </c>
      <c r="L161">
        <f t="shared" ref="L161:N161" si="287">E161+E201</f>
        <v>-10</v>
      </c>
      <c r="M161">
        <f t="shared" si="287"/>
        <v>-4</v>
      </c>
      <c r="N161">
        <f t="shared" si="287"/>
        <v>0</v>
      </c>
      <c r="P161" t="str">
        <f t="shared" si="235"/>
        <v>-4, -5, -2, 0</v>
      </c>
    </row>
    <row r="162" spans="1:16" s="4" customFormat="1" x14ac:dyDescent="0.2">
      <c r="A162">
        <f t="shared" si="226"/>
        <v>160</v>
      </c>
      <c r="B162" s="5" t="s">
        <v>18</v>
      </c>
      <c r="C162" s="4">
        <v>5</v>
      </c>
      <c r="D162" s="4">
        <v>0</v>
      </c>
      <c r="E162" s="4">
        <v>-5</v>
      </c>
      <c r="F162">
        <v>-2</v>
      </c>
      <c r="G162" s="4">
        <v>0</v>
      </c>
      <c r="H162">
        <f>_xlfn.XLOOKUP(I162,$B$2:$B$1096,$A$2:$A$1096,65535)</f>
        <v>65535</v>
      </c>
      <c r="J162">
        <f t="shared" ref="J162:K162" si="288">C162-C202</f>
        <v>1</v>
      </c>
      <c r="K162">
        <f t="shared" si="288"/>
        <v>-3</v>
      </c>
      <c r="L162">
        <f t="shared" ref="L162:N162" si="289">E162+E202</f>
        <v>-10</v>
      </c>
      <c r="M162">
        <f t="shared" si="289"/>
        <v>-3</v>
      </c>
      <c r="N162">
        <f t="shared" si="289"/>
        <v>-1</v>
      </c>
      <c r="O162"/>
      <c r="P162" t="str">
        <f t="shared" si="235"/>
        <v>0, -5, -2, 0</v>
      </c>
    </row>
    <row r="163" spans="1:16" s="4" customFormat="1" x14ac:dyDescent="0.2">
      <c r="A163">
        <f t="shared" si="226"/>
        <v>161</v>
      </c>
      <c r="B163" s="5" t="s">
        <v>19</v>
      </c>
      <c r="C163" s="4">
        <v>4</v>
      </c>
      <c r="D163" s="4">
        <v>0</v>
      </c>
      <c r="E163" s="4">
        <v>-5</v>
      </c>
      <c r="F163">
        <v>-2</v>
      </c>
      <c r="G163" s="4">
        <v>-1</v>
      </c>
      <c r="H163">
        <f>_xlfn.XLOOKUP(I163,$B$2:$B$1096,$A$2:$A$1096,65535)</f>
        <v>65535</v>
      </c>
      <c r="J163">
        <f t="shared" ref="J163:K163" si="290">C163-C203</f>
        <v>0</v>
      </c>
      <c r="K163">
        <f t="shared" si="290"/>
        <v>-2</v>
      </c>
      <c r="L163">
        <f t="shared" ref="L163:N163" si="291">E163+E203</f>
        <v>-5</v>
      </c>
      <c r="M163">
        <f t="shared" si="291"/>
        <v>-2</v>
      </c>
      <c r="N163">
        <f t="shared" si="291"/>
        <v>-1</v>
      </c>
      <c r="O163"/>
      <c r="P163" t="str">
        <f t="shared" si="235"/>
        <v>0, -5, -2, -1</v>
      </c>
    </row>
    <row r="164" spans="1:16" s="4" customFormat="1" x14ac:dyDescent="0.2">
      <c r="A164">
        <f t="shared" si="226"/>
        <v>162</v>
      </c>
      <c r="B164" s="5" t="s">
        <v>20</v>
      </c>
      <c r="C164" s="4">
        <v>5</v>
      </c>
      <c r="D164" s="4">
        <v>-1</v>
      </c>
      <c r="E164" s="4">
        <v>-5</v>
      </c>
      <c r="F164">
        <v>-2</v>
      </c>
      <c r="G164" s="4">
        <v>0</v>
      </c>
      <c r="H164">
        <f>_xlfn.XLOOKUP(I164,$B$2:$B$1096,$A$2:$A$1096,65535)</f>
        <v>65535</v>
      </c>
      <c r="J164">
        <f t="shared" ref="J164:K164" si="292">C164-C204</f>
        <v>1</v>
      </c>
      <c r="K164">
        <f t="shared" si="292"/>
        <v>-1</v>
      </c>
      <c r="L164">
        <f t="shared" ref="L164:N164" si="293">E164+E204</f>
        <v>-10</v>
      </c>
      <c r="M164">
        <f t="shared" si="293"/>
        <v>-3</v>
      </c>
      <c r="N164">
        <f t="shared" si="293"/>
        <v>-1</v>
      </c>
      <c r="O164"/>
      <c r="P164" t="str">
        <f t="shared" si="235"/>
        <v>-1, -5, -2, 0</v>
      </c>
    </row>
    <row r="165" spans="1:16" s="4" customFormat="1" x14ac:dyDescent="0.2">
      <c r="A165">
        <f t="shared" si="226"/>
        <v>163</v>
      </c>
      <c r="B165" s="5" t="s">
        <v>21</v>
      </c>
      <c r="C165" s="4">
        <v>5</v>
      </c>
      <c r="D165" s="4">
        <v>-1</v>
      </c>
      <c r="E165" s="4">
        <v>-5</v>
      </c>
      <c r="F165">
        <v>-1</v>
      </c>
      <c r="G165" s="4">
        <v>-1</v>
      </c>
      <c r="H165">
        <f>_xlfn.XLOOKUP(I165,$B$2:$B$1096,$A$2:$A$1096,65535)</f>
        <v>65535</v>
      </c>
      <c r="J165">
        <f t="shared" ref="J165:K165" si="294">C165-C205</f>
        <v>1</v>
      </c>
      <c r="K165">
        <f t="shared" si="294"/>
        <v>1</v>
      </c>
      <c r="L165">
        <f t="shared" ref="L165:N165" si="295">E165+E205</f>
        <v>-10</v>
      </c>
      <c r="M165">
        <f t="shared" si="295"/>
        <v>-2</v>
      </c>
      <c r="N165">
        <f t="shared" si="295"/>
        <v>-1</v>
      </c>
      <c r="O165"/>
      <c r="P165" t="str">
        <f t="shared" si="235"/>
        <v>-1, -5, -1, -1</v>
      </c>
    </row>
    <row r="166" spans="1:16" s="4" customFormat="1" x14ac:dyDescent="0.2">
      <c r="A166">
        <f t="shared" si="226"/>
        <v>164</v>
      </c>
      <c r="B166" s="5" t="s">
        <v>22</v>
      </c>
      <c r="C166" s="4">
        <v>5</v>
      </c>
      <c r="D166" s="4">
        <v>-2</v>
      </c>
      <c r="E166" s="4">
        <v>-5</v>
      </c>
      <c r="F166">
        <v>-1</v>
      </c>
      <c r="G166" s="4">
        <v>0</v>
      </c>
      <c r="H166">
        <f>_xlfn.XLOOKUP(I166,$B$2:$B$1096,$A$2:$A$1096,65535)</f>
        <v>65535</v>
      </c>
      <c r="J166">
        <f t="shared" ref="J166:K166" si="296">C166-C206</f>
        <v>-1</v>
      </c>
      <c r="K166">
        <f t="shared" si="296"/>
        <v>1</v>
      </c>
      <c r="L166">
        <f t="shared" ref="L166:N166" si="297">E166+E206</f>
        <v>-10</v>
      </c>
      <c r="M166">
        <f t="shared" si="297"/>
        <v>-2</v>
      </c>
      <c r="N166">
        <f t="shared" si="297"/>
        <v>-1</v>
      </c>
      <c r="O166"/>
      <c r="P166" t="str">
        <f t="shared" si="235"/>
        <v>-2, -5, -1, 0</v>
      </c>
    </row>
    <row r="167" spans="1:16" s="4" customFormat="1" x14ac:dyDescent="0.2">
      <c r="A167">
        <f t="shared" si="226"/>
        <v>165</v>
      </c>
      <c r="B167" s="5" t="s">
        <v>23</v>
      </c>
      <c r="C167" s="4">
        <v>5</v>
      </c>
      <c r="D167" s="4">
        <v>-4</v>
      </c>
      <c r="E167" s="4">
        <v>0</v>
      </c>
      <c r="F167">
        <v>0</v>
      </c>
      <c r="G167" s="4">
        <v>0</v>
      </c>
      <c r="H167">
        <f>_xlfn.XLOOKUP(I167,$B$2:$B$1096,$A$2:$A$1096,65535)</f>
        <v>129</v>
      </c>
      <c r="I167" s="5" t="s">
        <v>60</v>
      </c>
      <c r="J167">
        <f t="shared" ref="J167:K167" si="298">C167-C207</f>
        <v>0</v>
      </c>
      <c r="K167">
        <f t="shared" si="298"/>
        <v>0</v>
      </c>
      <c r="L167">
        <f t="shared" ref="L167:N167" si="299">E167+E207</f>
        <v>0</v>
      </c>
      <c r="M167">
        <f t="shared" si="299"/>
        <v>0</v>
      </c>
      <c r="N167">
        <f t="shared" si="299"/>
        <v>0</v>
      </c>
      <c r="O167"/>
      <c r="P167" t="str">
        <f t="shared" si="235"/>
        <v>-4, 0, 0, 0</v>
      </c>
    </row>
    <row r="168" spans="1:16" s="4" customFormat="1" x14ac:dyDescent="0.2">
      <c r="A168">
        <f t="shared" si="226"/>
        <v>166</v>
      </c>
      <c r="B168" s="5" t="s">
        <v>24</v>
      </c>
      <c r="C168" s="4">
        <v>5</v>
      </c>
      <c r="D168" s="4">
        <v>-4</v>
      </c>
      <c r="E168" s="4">
        <v>0</v>
      </c>
      <c r="F168">
        <v>0</v>
      </c>
      <c r="G168" s="4">
        <v>0</v>
      </c>
      <c r="H168">
        <f>_xlfn.XLOOKUP(I168,$B$2:$B$1096,$A$2:$A$1096,65535)</f>
        <v>65535</v>
      </c>
      <c r="J168">
        <f t="shared" ref="J168:K168" si="300">C168-C208</f>
        <v>1</v>
      </c>
      <c r="K168">
        <f t="shared" si="300"/>
        <v>-4</v>
      </c>
      <c r="L168">
        <f t="shared" ref="L168:N168" si="301">E168+E208</f>
        <v>-5</v>
      </c>
      <c r="M168">
        <f t="shared" si="301"/>
        <v>0</v>
      </c>
      <c r="N168">
        <f t="shared" si="301"/>
        <v>-1</v>
      </c>
      <c r="O168"/>
      <c r="P168" t="str">
        <f t="shared" si="235"/>
        <v>-4, 0, 0, 0</v>
      </c>
    </row>
    <row r="169" spans="1:16" s="4" customFormat="1" x14ac:dyDescent="0.2">
      <c r="A169">
        <f t="shared" si="226"/>
        <v>167</v>
      </c>
      <c r="B169" s="5" t="s">
        <v>25</v>
      </c>
      <c r="C169" s="4">
        <v>5</v>
      </c>
      <c r="D169" s="4">
        <v>-4</v>
      </c>
      <c r="E169" s="4">
        <v>0</v>
      </c>
      <c r="F169">
        <v>0</v>
      </c>
      <c r="G169" s="4">
        <v>0</v>
      </c>
      <c r="H169">
        <f>_xlfn.XLOOKUP(I169,$B$2:$B$1096,$A$2:$A$1096,65535)</f>
        <v>129</v>
      </c>
      <c r="I169" s="5" t="s">
        <v>60</v>
      </c>
      <c r="J169">
        <f t="shared" ref="J169:K169" si="302">C169-C209</f>
        <v>1</v>
      </c>
      <c r="K169">
        <f t="shared" si="302"/>
        <v>-8</v>
      </c>
      <c r="L169">
        <f t="shared" ref="L169:N169" si="303">E169+E209</f>
        <v>-5</v>
      </c>
      <c r="M169">
        <f t="shared" si="303"/>
        <v>-2</v>
      </c>
      <c r="N169">
        <f t="shared" si="303"/>
        <v>0</v>
      </c>
      <c r="O169"/>
      <c r="P169" t="str">
        <f t="shared" si="235"/>
        <v>-4, 0, 0, 0</v>
      </c>
    </row>
    <row r="170" spans="1:16" s="4" customFormat="1" x14ac:dyDescent="0.2">
      <c r="A170">
        <f t="shared" si="226"/>
        <v>168</v>
      </c>
      <c r="B170" s="5" t="s">
        <v>34</v>
      </c>
      <c r="C170" s="4">
        <v>5</v>
      </c>
      <c r="D170" s="4">
        <v>-4</v>
      </c>
      <c r="E170" s="4">
        <v>0</v>
      </c>
      <c r="F170">
        <v>0</v>
      </c>
      <c r="G170" s="4">
        <v>0</v>
      </c>
      <c r="H170">
        <f>_xlfn.XLOOKUP(I170,$B$2:$B$1096,$A$2:$A$1096,65535)</f>
        <v>65535</v>
      </c>
      <c r="J170">
        <f t="shared" ref="J170:K170" si="304">C170-C210</f>
        <v>1</v>
      </c>
      <c r="K170">
        <f t="shared" si="304"/>
        <v>-7</v>
      </c>
      <c r="L170">
        <f t="shared" ref="L170:N170" si="305">E170+E210</f>
        <v>-5</v>
      </c>
      <c r="M170">
        <f t="shared" si="305"/>
        <v>-2</v>
      </c>
      <c r="N170">
        <f t="shared" si="305"/>
        <v>-1</v>
      </c>
      <c r="O170"/>
      <c r="P170" t="str">
        <f t="shared" si="235"/>
        <v>-4, 0, 0, 0</v>
      </c>
    </row>
    <row r="171" spans="1:16" s="4" customFormat="1" x14ac:dyDescent="0.2">
      <c r="A171">
        <f t="shared" si="226"/>
        <v>169</v>
      </c>
      <c r="B171" s="5" t="s">
        <v>37</v>
      </c>
      <c r="C171" s="4">
        <v>5</v>
      </c>
      <c r="D171" s="4">
        <v>-4</v>
      </c>
      <c r="E171" s="4">
        <v>0</v>
      </c>
      <c r="F171">
        <v>0</v>
      </c>
      <c r="G171" s="4">
        <v>0</v>
      </c>
      <c r="H171">
        <f>_xlfn.XLOOKUP(I171,$B$2:$B$1096,$A$2:$A$1096,65535)</f>
        <v>65535</v>
      </c>
      <c r="J171">
        <f t="shared" ref="J171:K171" si="306">C171-C211</f>
        <v>1</v>
      </c>
      <c r="K171">
        <f t="shared" si="306"/>
        <v>-6</v>
      </c>
      <c r="L171">
        <f t="shared" ref="L171:N171" si="307">E171+E211</f>
        <v>-5</v>
      </c>
      <c r="M171">
        <f t="shared" si="307"/>
        <v>-2</v>
      </c>
      <c r="N171">
        <f t="shared" si="307"/>
        <v>0</v>
      </c>
      <c r="O171"/>
      <c r="P171" t="str">
        <f t="shared" si="235"/>
        <v>-4, 0, 0, 0</v>
      </c>
    </row>
    <row r="172" spans="1:16" s="4" customFormat="1" x14ac:dyDescent="0.2">
      <c r="A172">
        <f t="shared" si="226"/>
        <v>170</v>
      </c>
      <c r="B172" s="5" t="s">
        <v>36</v>
      </c>
      <c r="C172" s="4">
        <v>7</v>
      </c>
      <c r="D172" s="4">
        <v>0</v>
      </c>
      <c r="E172" s="4">
        <v>0</v>
      </c>
      <c r="F172">
        <v>0</v>
      </c>
      <c r="G172" s="4">
        <v>0</v>
      </c>
      <c r="H172">
        <f>_xlfn.XLOOKUP(I172,$B$2:$B$1096,$A$2:$A$1096,65535)</f>
        <v>65535</v>
      </c>
      <c r="J172">
        <f t="shared" ref="J172:K172" si="308">C172-C212</f>
        <v>3</v>
      </c>
      <c r="K172">
        <f t="shared" si="308"/>
        <v>0</v>
      </c>
      <c r="L172">
        <f t="shared" ref="L172:N172" si="309">E172+E212</f>
        <v>-5</v>
      </c>
      <c r="M172">
        <f t="shared" si="309"/>
        <v>-2</v>
      </c>
      <c r="N172">
        <f t="shared" si="309"/>
        <v>-1</v>
      </c>
      <c r="O172"/>
      <c r="P172" t="str">
        <f t="shared" si="235"/>
        <v>0, 0, 0, 0</v>
      </c>
    </row>
    <row r="173" spans="1:16" s="4" customFormat="1" x14ac:dyDescent="0.2">
      <c r="A173">
        <f t="shared" si="226"/>
        <v>171</v>
      </c>
      <c r="B173" s="5" t="s">
        <v>35</v>
      </c>
      <c r="C173" s="4">
        <v>5</v>
      </c>
      <c r="D173" s="4">
        <v>0</v>
      </c>
      <c r="E173" s="4">
        <v>0</v>
      </c>
      <c r="F173">
        <v>0</v>
      </c>
      <c r="G173" s="4">
        <v>0</v>
      </c>
      <c r="H173">
        <f>_xlfn.XLOOKUP(I173,$B$2:$B$1096,$A$2:$A$1096,65535)</f>
        <v>65535</v>
      </c>
      <c r="J173">
        <f t="shared" ref="J173:K176" si="310">C173-C213</f>
        <v>1</v>
      </c>
      <c r="K173">
        <f t="shared" si="310"/>
        <v>2</v>
      </c>
      <c r="L173">
        <f t="shared" ref="L173:N176" si="311">E173+E213</f>
        <v>-5</v>
      </c>
      <c r="M173">
        <f t="shared" si="311"/>
        <v>-2</v>
      </c>
      <c r="N173">
        <f t="shared" si="311"/>
        <v>0</v>
      </c>
      <c r="O173"/>
      <c r="P173" t="str">
        <f t="shared" si="235"/>
        <v>0, 0, 0, 0</v>
      </c>
    </row>
    <row r="174" spans="1:16" s="4" customFormat="1" x14ac:dyDescent="0.2">
      <c r="A174">
        <f t="shared" si="226"/>
        <v>172</v>
      </c>
      <c r="B174" s="5" t="s">
        <v>1070</v>
      </c>
      <c r="C174" s="4">
        <v>5</v>
      </c>
      <c r="D174" s="4">
        <v>-4</v>
      </c>
      <c r="E174" s="4">
        <v>0</v>
      </c>
      <c r="F174">
        <v>0</v>
      </c>
      <c r="G174" s="4">
        <v>0</v>
      </c>
      <c r="H174">
        <f>_xlfn.XLOOKUP(I174,$B$2:$B$1096,$A$2:$A$1096,65535)</f>
        <v>65535</v>
      </c>
      <c r="J174">
        <f t="shared" si="310"/>
        <v>-1</v>
      </c>
      <c r="K174">
        <f t="shared" si="310"/>
        <v>-1</v>
      </c>
      <c r="L174">
        <f t="shared" si="311"/>
        <v>-5</v>
      </c>
      <c r="M174">
        <f t="shared" si="311"/>
        <v>-2</v>
      </c>
      <c r="N174">
        <f t="shared" si="311"/>
        <v>-1</v>
      </c>
      <c r="O174"/>
      <c r="P174" t="str">
        <f t="shared" si="235"/>
        <v>-4, 0, 0, 0</v>
      </c>
    </row>
    <row r="175" spans="1:16" s="4" customFormat="1" x14ac:dyDescent="0.2">
      <c r="A175">
        <f t="shared" si="226"/>
        <v>173</v>
      </c>
      <c r="B175" s="5" t="s">
        <v>1071</v>
      </c>
      <c r="C175" s="4">
        <v>5</v>
      </c>
      <c r="D175" s="4">
        <v>-4</v>
      </c>
      <c r="E175" s="4">
        <v>0</v>
      </c>
      <c r="F175">
        <v>0</v>
      </c>
      <c r="G175" s="4">
        <v>0</v>
      </c>
      <c r="H175">
        <f>_xlfn.XLOOKUP(I175,$B$2:$B$1096,$A$2:$A$1096,65535)</f>
        <v>65535</v>
      </c>
      <c r="J175">
        <f t="shared" si="310"/>
        <v>0</v>
      </c>
      <c r="K175">
        <f t="shared" si="310"/>
        <v>0</v>
      </c>
      <c r="L175">
        <f t="shared" si="311"/>
        <v>-5</v>
      </c>
      <c r="M175">
        <f t="shared" si="311"/>
        <v>-2</v>
      </c>
      <c r="N175">
        <f t="shared" si="311"/>
        <v>0</v>
      </c>
      <c r="O175"/>
      <c r="P175" t="str">
        <f t="shared" si="235"/>
        <v>-4, 0, 0, 0</v>
      </c>
    </row>
    <row r="176" spans="1:16" s="4" customFormat="1" x14ac:dyDescent="0.2">
      <c r="A176">
        <f t="shared" si="226"/>
        <v>174</v>
      </c>
      <c r="B176" s="5" t="s">
        <v>1072</v>
      </c>
      <c r="C176" s="4">
        <v>7</v>
      </c>
      <c r="D176" s="4">
        <v>0</v>
      </c>
      <c r="E176" s="4">
        <v>0</v>
      </c>
      <c r="F176">
        <v>0</v>
      </c>
      <c r="G176" s="4">
        <v>0</v>
      </c>
      <c r="H176">
        <f>_xlfn.XLOOKUP(I176,$B$2:$B$1096,$A$2:$A$1096,65535)</f>
        <v>65535</v>
      </c>
      <c r="J176">
        <f t="shared" si="310"/>
        <v>3</v>
      </c>
      <c r="K176">
        <f t="shared" si="310"/>
        <v>0</v>
      </c>
      <c r="L176">
        <f t="shared" si="311"/>
        <v>-5</v>
      </c>
      <c r="M176">
        <f t="shared" si="311"/>
        <v>-2</v>
      </c>
      <c r="N176">
        <f t="shared" si="311"/>
        <v>-1</v>
      </c>
      <c r="O176"/>
      <c r="P176" t="str">
        <f t="shared" si="235"/>
        <v>0, 0, 0, 0</v>
      </c>
    </row>
    <row r="177" spans="1:16" s="4" customFormat="1" x14ac:dyDescent="0.2">
      <c r="A177">
        <f t="shared" si="226"/>
        <v>175</v>
      </c>
      <c r="B177" s="5" t="s">
        <v>1073</v>
      </c>
      <c r="C177" s="4">
        <v>5</v>
      </c>
      <c r="D177" s="4">
        <v>0</v>
      </c>
      <c r="E177" s="4">
        <v>0</v>
      </c>
      <c r="F177">
        <v>0</v>
      </c>
      <c r="G177" s="4">
        <v>0</v>
      </c>
      <c r="H177">
        <f>_xlfn.XLOOKUP(I177,$B$2:$B$1096,$A$2:$A$1096,65535)</f>
        <v>65535</v>
      </c>
      <c r="J177">
        <f t="shared" ref="J177" si="312">C177-C217</f>
        <v>1</v>
      </c>
      <c r="K177">
        <f t="shared" ref="K177" si="313">D177-D217</f>
        <v>-2</v>
      </c>
      <c r="L177">
        <f t="shared" ref="L177" si="314">E177+E217</f>
        <v>-5</v>
      </c>
      <c r="M177">
        <f t="shared" ref="M177" si="315">F177+F217</f>
        <v>-2</v>
      </c>
      <c r="N177">
        <f t="shared" ref="N177" si="316">G177+G217</f>
        <v>0</v>
      </c>
      <c r="O177"/>
      <c r="P177" t="str">
        <f t="shared" si="235"/>
        <v>0, 0, 0, 0</v>
      </c>
    </row>
    <row r="178" spans="1:16" x14ac:dyDescent="0.2">
      <c r="A178">
        <f t="shared" si="226"/>
        <v>176</v>
      </c>
      <c r="B178" s="1" t="s">
        <v>63</v>
      </c>
      <c r="C178">
        <v>4</v>
      </c>
      <c r="D178">
        <v>0</v>
      </c>
      <c r="E178">
        <v>0</v>
      </c>
      <c r="F178">
        <v>0</v>
      </c>
      <c r="G178">
        <v>0</v>
      </c>
      <c r="H178">
        <f>_xlfn.XLOOKUP(I178,$B$2:$B$1096,$A$2:$A$1096,65535)</f>
        <v>65535</v>
      </c>
      <c r="J178">
        <f t="shared" ref="J178:K178" si="317">C178-C214</f>
        <v>-2</v>
      </c>
      <c r="K178">
        <f t="shared" si="317"/>
        <v>3</v>
      </c>
      <c r="L178">
        <f t="shared" ref="L178:N178" si="318">E178+E214</f>
        <v>-5</v>
      </c>
      <c r="M178">
        <f t="shared" si="318"/>
        <v>-2</v>
      </c>
      <c r="N178">
        <f t="shared" si="318"/>
        <v>-1</v>
      </c>
      <c r="P178" t="str">
        <f t="shared" si="235"/>
        <v>0, 0, 0, 0</v>
      </c>
    </row>
    <row r="179" spans="1:16" x14ac:dyDescent="0.2">
      <c r="A179">
        <f t="shared" si="226"/>
        <v>177</v>
      </c>
      <c r="B179" s="1" t="s">
        <v>64</v>
      </c>
      <c r="C179">
        <v>5</v>
      </c>
      <c r="D179">
        <v>4</v>
      </c>
      <c r="E179">
        <v>0</v>
      </c>
      <c r="F179">
        <v>0</v>
      </c>
      <c r="G179">
        <v>0</v>
      </c>
      <c r="H179">
        <f>_xlfn.XLOOKUP(I179,$B$2:$B$1096,$A$2:$A$1096,65535)</f>
        <v>65535</v>
      </c>
      <c r="J179">
        <f t="shared" ref="J179:K179" si="319">C179-C215</f>
        <v>0</v>
      </c>
      <c r="K179">
        <f t="shared" si="319"/>
        <v>8</v>
      </c>
      <c r="L179">
        <f t="shared" ref="L179:N179" si="320">E179+E215</f>
        <v>-5</v>
      </c>
      <c r="M179">
        <f t="shared" si="320"/>
        <v>-2</v>
      </c>
      <c r="N179">
        <f t="shared" si="320"/>
        <v>0</v>
      </c>
      <c r="P179" t="str">
        <f t="shared" si="235"/>
        <v>4, 0, 0, 0</v>
      </c>
    </row>
    <row r="180" spans="1:16" x14ac:dyDescent="0.2">
      <c r="A180">
        <f t="shared" si="226"/>
        <v>178</v>
      </c>
      <c r="B180" s="1" t="s">
        <v>65</v>
      </c>
      <c r="C180">
        <v>5</v>
      </c>
      <c r="D180">
        <v>3</v>
      </c>
      <c r="E180">
        <v>0</v>
      </c>
      <c r="F180">
        <v>0</v>
      </c>
      <c r="G180">
        <v>0</v>
      </c>
      <c r="H180">
        <f>_xlfn.XLOOKUP(I180,$B$2:$B$1096,$A$2:$A$1096,65535)</f>
        <v>65535</v>
      </c>
      <c r="J180">
        <f t="shared" ref="J180:K180" si="321">C180-C216</f>
        <v>1</v>
      </c>
      <c r="K180">
        <f t="shared" si="321"/>
        <v>3</v>
      </c>
      <c r="L180">
        <f t="shared" ref="L180:N180" si="322">E180+E216</f>
        <v>-5</v>
      </c>
      <c r="M180">
        <f t="shared" si="322"/>
        <v>-2</v>
      </c>
      <c r="N180">
        <f t="shared" si="322"/>
        <v>-1</v>
      </c>
      <c r="P180" t="str">
        <f t="shared" si="235"/>
        <v>3, 0, 0, 0</v>
      </c>
    </row>
    <row r="181" spans="1:16" x14ac:dyDescent="0.2">
      <c r="A181">
        <f t="shared" si="226"/>
        <v>179</v>
      </c>
      <c r="B181" s="1" t="s">
        <v>66</v>
      </c>
      <c r="C181">
        <v>5</v>
      </c>
      <c r="D181">
        <v>2</v>
      </c>
      <c r="E181">
        <v>0</v>
      </c>
      <c r="F181">
        <v>0</v>
      </c>
      <c r="G181">
        <v>0</v>
      </c>
      <c r="H181">
        <f>_xlfn.XLOOKUP(I181,$B$2:$B$1096,$A$2:$A$1096,65535)</f>
        <v>65535</v>
      </c>
      <c r="J181">
        <f t="shared" ref="J181:K181" si="323">C181-C217</f>
        <v>1</v>
      </c>
      <c r="K181">
        <f t="shared" si="323"/>
        <v>0</v>
      </c>
      <c r="L181">
        <f t="shared" ref="L181:N181" si="324">E181+E217</f>
        <v>-5</v>
      </c>
      <c r="M181">
        <f t="shared" si="324"/>
        <v>-2</v>
      </c>
      <c r="N181">
        <f t="shared" si="324"/>
        <v>0</v>
      </c>
      <c r="P181" t="str">
        <f t="shared" si="235"/>
        <v>2, 0, 0, 0</v>
      </c>
    </row>
    <row r="182" spans="1:16" x14ac:dyDescent="0.2">
      <c r="A182">
        <f t="shared" si="226"/>
        <v>180</v>
      </c>
      <c r="B182" s="1" t="s">
        <v>67</v>
      </c>
      <c r="C182">
        <v>5</v>
      </c>
      <c r="D182">
        <v>-2</v>
      </c>
      <c r="E182">
        <v>0</v>
      </c>
      <c r="F182">
        <v>0</v>
      </c>
      <c r="G182">
        <v>0</v>
      </c>
      <c r="H182">
        <f>_xlfn.XLOOKUP(I182,$B$2:$B$1096,$A$2:$A$1096,65535)</f>
        <v>65535</v>
      </c>
      <c r="J182">
        <f t="shared" ref="J182:K182" si="325">C182-C218</f>
        <v>1</v>
      </c>
      <c r="K182">
        <f t="shared" si="325"/>
        <v>-4</v>
      </c>
      <c r="L182">
        <f t="shared" ref="L182:N182" si="326">E182+E218</f>
        <v>-5</v>
      </c>
      <c r="M182">
        <f t="shared" si="326"/>
        <v>-2</v>
      </c>
      <c r="N182">
        <f t="shared" si="326"/>
        <v>-1</v>
      </c>
      <c r="P182" t="str">
        <f t="shared" si="235"/>
        <v>-2, 0, 0, 0</v>
      </c>
    </row>
    <row r="183" spans="1:16" x14ac:dyDescent="0.2">
      <c r="A183">
        <f t="shared" si="226"/>
        <v>181</v>
      </c>
      <c r="B183" s="1" t="s">
        <v>68</v>
      </c>
      <c r="C183">
        <v>6</v>
      </c>
      <c r="D183">
        <v>-3</v>
      </c>
      <c r="E183">
        <v>0</v>
      </c>
      <c r="F183">
        <v>0</v>
      </c>
      <c r="G183">
        <v>0</v>
      </c>
      <c r="H183">
        <f>_xlfn.XLOOKUP(I183,$B$2:$B$1096,$A$2:$A$1096,65535)</f>
        <v>65535</v>
      </c>
      <c r="J183">
        <f t="shared" ref="J183:K183" si="327">C183-C219</f>
        <v>2</v>
      </c>
      <c r="K183">
        <f t="shared" si="327"/>
        <v>-4</v>
      </c>
      <c r="L183">
        <f t="shared" ref="L183:N183" si="328">E183+E219</f>
        <v>-5</v>
      </c>
      <c r="M183">
        <f t="shared" si="328"/>
        <v>-2</v>
      </c>
      <c r="N183">
        <f t="shared" si="328"/>
        <v>0</v>
      </c>
      <c r="P183" t="str">
        <f t="shared" si="235"/>
        <v>-3, 0, 0, 0</v>
      </c>
    </row>
    <row r="184" spans="1:16" x14ac:dyDescent="0.2">
      <c r="A184">
        <f t="shared" si="226"/>
        <v>182</v>
      </c>
      <c r="B184" s="1" t="s">
        <v>69</v>
      </c>
      <c r="C184">
        <v>5</v>
      </c>
      <c r="D184">
        <v>-4</v>
      </c>
      <c r="E184">
        <v>0</v>
      </c>
      <c r="F184">
        <v>0</v>
      </c>
      <c r="G184">
        <v>0</v>
      </c>
      <c r="H184">
        <f>_xlfn.XLOOKUP(I184,$B$2:$B$1096,$A$2:$A$1096,65535)</f>
        <v>65535</v>
      </c>
      <c r="J184">
        <f t="shared" ref="J184:K184" si="329">C184-C220</f>
        <v>1</v>
      </c>
      <c r="K184">
        <f t="shared" si="329"/>
        <v>-5</v>
      </c>
      <c r="L184">
        <f t="shared" ref="L184:N184" si="330">E184+E220</f>
        <v>-5</v>
      </c>
      <c r="M184">
        <f t="shared" si="330"/>
        <v>-3</v>
      </c>
      <c r="N184">
        <f t="shared" si="330"/>
        <v>-1</v>
      </c>
      <c r="P184" t="str">
        <f t="shared" si="235"/>
        <v>-4, 0, 0, 0</v>
      </c>
    </row>
    <row r="185" spans="1:16" s="6" customFormat="1" x14ac:dyDescent="0.2">
      <c r="A185">
        <f t="shared" si="226"/>
        <v>183</v>
      </c>
      <c r="B185" s="5" t="s">
        <v>196</v>
      </c>
      <c r="C185" s="6">
        <v>5</v>
      </c>
      <c r="D185" s="6">
        <v>1</v>
      </c>
      <c r="E185" s="6">
        <v>0</v>
      </c>
      <c r="F185">
        <v>0</v>
      </c>
      <c r="G185" s="6">
        <v>0</v>
      </c>
      <c r="H185">
        <f>_xlfn.XLOOKUP(I185,$B$2:$B$1096,$A$2:$A$1096,65535)</f>
        <v>65535</v>
      </c>
      <c r="J185">
        <f t="shared" ref="J185:K185" si="331">C185-C221</f>
        <v>1</v>
      </c>
      <c r="K185">
        <f t="shared" si="331"/>
        <v>1</v>
      </c>
      <c r="L185">
        <f t="shared" ref="L185:N185" si="332">E185+E221</f>
        <v>-5</v>
      </c>
      <c r="M185">
        <f t="shared" si="332"/>
        <v>-3</v>
      </c>
      <c r="N185">
        <f t="shared" si="332"/>
        <v>0</v>
      </c>
      <c r="O185"/>
      <c r="P185" t="str">
        <f t="shared" si="235"/>
        <v>1, 0, 0, 0</v>
      </c>
    </row>
    <row r="186" spans="1:16" s="6" customFormat="1" x14ac:dyDescent="0.2">
      <c r="A186">
        <f t="shared" si="226"/>
        <v>184</v>
      </c>
      <c r="B186" s="5" t="s">
        <v>198</v>
      </c>
      <c r="C186" s="6">
        <v>7</v>
      </c>
      <c r="D186" s="6">
        <v>0</v>
      </c>
      <c r="E186" s="6">
        <v>0</v>
      </c>
      <c r="F186">
        <v>0</v>
      </c>
      <c r="G186" s="6">
        <v>0</v>
      </c>
      <c r="H186">
        <f>_xlfn.XLOOKUP(I186,$B$2:$B$1096,$A$2:$A$1096,65535)</f>
        <v>65535</v>
      </c>
      <c r="J186">
        <f t="shared" ref="J186:K186" si="333">C186-C222</f>
        <v>3</v>
      </c>
      <c r="K186">
        <f t="shared" si="333"/>
        <v>0</v>
      </c>
      <c r="L186">
        <f t="shared" ref="L186:N186" si="334">E186+E222</f>
        <v>-5</v>
      </c>
      <c r="M186">
        <f t="shared" si="334"/>
        <v>-2</v>
      </c>
      <c r="N186">
        <f t="shared" si="334"/>
        <v>-1</v>
      </c>
      <c r="O186"/>
      <c r="P186" t="str">
        <f t="shared" si="235"/>
        <v>0, 0, 0, 0</v>
      </c>
    </row>
    <row r="187" spans="1:16" s="6" customFormat="1" x14ac:dyDescent="0.2">
      <c r="A187">
        <f t="shared" si="226"/>
        <v>185</v>
      </c>
      <c r="B187" s="5" t="s">
        <v>197</v>
      </c>
      <c r="C187" s="6">
        <v>5</v>
      </c>
      <c r="D187" s="6">
        <v>-1</v>
      </c>
      <c r="E187" s="6">
        <v>0</v>
      </c>
      <c r="F187">
        <v>0</v>
      </c>
      <c r="G187" s="6">
        <v>0</v>
      </c>
      <c r="H187">
        <f>_xlfn.XLOOKUP(I187,$B$2:$B$1096,$A$2:$A$1096,65535)</f>
        <v>65535</v>
      </c>
      <c r="J187">
        <f t="shared" ref="J187:K187" si="335">C187-C223</f>
        <v>1</v>
      </c>
      <c r="K187">
        <f t="shared" si="335"/>
        <v>0</v>
      </c>
      <c r="L187">
        <f t="shared" ref="L187:N187" si="336">E187+E223</f>
        <v>-5</v>
      </c>
      <c r="M187">
        <f t="shared" si="336"/>
        <v>-2</v>
      </c>
      <c r="N187">
        <f t="shared" si="336"/>
        <v>0</v>
      </c>
      <c r="O187"/>
      <c r="P187" t="str">
        <f t="shared" si="235"/>
        <v>-1, 0, 0, 0</v>
      </c>
    </row>
    <row r="188" spans="1:16" x14ac:dyDescent="0.2">
      <c r="A188">
        <f t="shared" si="226"/>
        <v>186</v>
      </c>
      <c r="B188" s="1" t="s">
        <v>5</v>
      </c>
      <c r="C188">
        <v>4</v>
      </c>
      <c r="D188">
        <v>4</v>
      </c>
      <c r="E188">
        <v>0</v>
      </c>
      <c r="F188">
        <v>0</v>
      </c>
      <c r="G188">
        <v>0</v>
      </c>
      <c r="H188">
        <f>_xlfn.XLOOKUP(I188,$B$2:$B$1096,$A$2:$A$1096,65535)</f>
        <v>65535</v>
      </c>
      <c r="J188">
        <f t="shared" ref="J188:K188" si="337">C188-C224</f>
        <v>0</v>
      </c>
      <c r="K188">
        <f t="shared" si="337"/>
        <v>5</v>
      </c>
      <c r="L188">
        <f t="shared" ref="L188:N188" si="338">E188+E224</f>
        <v>-5</v>
      </c>
      <c r="M188">
        <f t="shared" si="338"/>
        <v>-2</v>
      </c>
      <c r="N188">
        <f t="shared" si="338"/>
        <v>-1</v>
      </c>
      <c r="P188" t="str">
        <f t="shared" si="235"/>
        <v>4, 0, 0, 0</v>
      </c>
    </row>
    <row r="189" spans="1:16" x14ac:dyDescent="0.2">
      <c r="A189">
        <f t="shared" si="226"/>
        <v>187</v>
      </c>
      <c r="B189" s="1" t="s">
        <v>70</v>
      </c>
      <c r="C189">
        <v>4</v>
      </c>
      <c r="D189">
        <v>3</v>
      </c>
      <c r="E189">
        <v>0</v>
      </c>
      <c r="F189">
        <v>0</v>
      </c>
      <c r="G189">
        <v>0</v>
      </c>
      <c r="H189">
        <f>_xlfn.XLOOKUP(I189,$B$2:$B$1096,$A$2:$A$1096,65535)</f>
        <v>65535</v>
      </c>
      <c r="J189">
        <f t="shared" ref="J189:K189" si="339">C189-C225</f>
        <v>-2</v>
      </c>
      <c r="K189">
        <f t="shared" si="339"/>
        <v>5</v>
      </c>
      <c r="L189">
        <f t="shared" ref="L189:N189" si="340">E189+E225</f>
        <v>-5</v>
      </c>
      <c r="M189">
        <f t="shared" si="340"/>
        <v>-2</v>
      </c>
      <c r="N189">
        <f t="shared" si="340"/>
        <v>0</v>
      </c>
      <c r="P189" t="str">
        <f t="shared" si="235"/>
        <v>3, 0, 0, 0</v>
      </c>
    </row>
    <row r="190" spans="1:16" x14ac:dyDescent="0.2">
      <c r="A190">
        <f t="shared" si="226"/>
        <v>188</v>
      </c>
      <c r="B190" s="1" t="s">
        <v>71</v>
      </c>
      <c r="C190">
        <v>4</v>
      </c>
      <c r="D190">
        <v>2</v>
      </c>
      <c r="E190">
        <v>0</v>
      </c>
      <c r="F190">
        <v>0</v>
      </c>
      <c r="G190">
        <v>0</v>
      </c>
      <c r="H190">
        <f>_xlfn.XLOOKUP(I190,$B$2:$B$1096,$A$2:$A$1096,65535)</f>
        <v>65535</v>
      </c>
      <c r="J190">
        <f t="shared" ref="J190:K190" si="341">C190-C226</f>
        <v>-1</v>
      </c>
      <c r="K190">
        <f t="shared" si="341"/>
        <v>4</v>
      </c>
      <c r="L190">
        <f t="shared" ref="L190:N190" si="342">E190+E226</f>
        <v>-5</v>
      </c>
      <c r="M190">
        <f t="shared" si="342"/>
        <v>-2</v>
      </c>
      <c r="N190">
        <f t="shared" si="342"/>
        <v>-1</v>
      </c>
      <c r="P190" t="str">
        <f t="shared" si="235"/>
        <v>2, 0, 0, 0</v>
      </c>
    </row>
    <row r="191" spans="1:16" x14ac:dyDescent="0.2">
      <c r="A191">
        <f t="shared" si="226"/>
        <v>189</v>
      </c>
      <c r="B191" s="1" t="s">
        <v>72</v>
      </c>
      <c r="C191">
        <v>4</v>
      </c>
      <c r="D191">
        <v>1</v>
      </c>
      <c r="E191">
        <v>0</v>
      </c>
      <c r="F191">
        <v>0</v>
      </c>
      <c r="G191">
        <v>0</v>
      </c>
      <c r="H191">
        <f>_xlfn.XLOOKUP(I191,$B$2:$B$1096,$A$2:$A$1096,65535)</f>
        <v>65535</v>
      </c>
      <c r="J191">
        <f t="shared" ref="J191:K191" si="343">C191-C238</f>
        <v>0</v>
      </c>
      <c r="K191">
        <f t="shared" si="343"/>
        <v>1</v>
      </c>
      <c r="L191">
        <f t="shared" ref="L191:N191" si="344">E191+E238</f>
        <v>-5</v>
      </c>
      <c r="M191">
        <f t="shared" si="344"/>
        <v>-2</v>
      </c>
      <c r="N191">
        <f t="shared" si="344"/>
        <v>-1</v>
      </c>
      <c r="P191" t="str">
        <f t="shared" si="235"/>
        <v>1, 0, 0, 0</v>
      </c>
    </row>
    <row r="192" spans="1:16" x14ac:dyDescent="0.2">
      <c r="A192">
        <f t="shared" si="226"/>
        <v>190</v>
      </c>
      <c r="B192" s="1" t="s">
        <v>73</v>
      </c>
      <c r="C192">
        <v>5</v>
      </c>
      <c r="D192">
        <v>-1</v>
      </c>
      <c r="E192">
        <v>0</v>
      </c>
      <c r="F192">
        <v>0</v>
      </c>
      <c r="G192">
        <v>0</v>
      </c>
      <c r="H192">
        <f>_xlfn.XLOOKUP(I192,$B$2:$B$1096,$A$2:$A$1096,65535)</f>
        <v>65535</v>
      </c>
      <c r="J192">
        <f t="shared" ref="J192:K192" si="345">C192-C239</f>
        <v>1</v>
      </c>
      <c r="K192">
        <f t="shared" si="345"/>
        <v>-3</v>
      </c>
      <c r="L192">
        <f t="shared" ref="L192:N192" si="346">E192+E239</f>
        <v>-5</v>
      </c>
      <c r="M192">
        <f t="shared" si="346"/>
        <v>-2</v>
      </c>
      <c r="N192">
        <f t="shared" si="346"/>
        <v>0</v>
      </c>
      <c r="P192" t="str">
        <f t="shared" si="235"/>
        <v>-1, 0, 0, 0</v>
      </c>
    </row>
    <row r="193" spans="1:16" x14ac:dyDescent="0.2">
      <c r="A193">
        <f t="shared" si="226"/>
        <v>191</v>
      </c>
      <c r="B193" s="1" t="s">
        <v>74</v>
      </c>
      <c r="C193">
        <v>5</v>
      </c>
      <c r="D193">
        <v>-1</v>
      </c>
      <c r="E193">
        <v>0</v>
      </c>
      <c r="F193">
        <v>0</v>
      </c>
      <c r="G193">
        <v>0</v>
      </c>
      <c r="H193">
        <f>_xlfn.XLOOKUP(I193,$B$2:$B$1096,$A$2:$A$1096,65535)</f>
        <v>129</v>
      </c>
      <c r="I193" s="1" t="s">
        <v>60</v>
      </c>
      <c r="J193">
        <f t="shared" ref="J193:K193" si="347">C193-C240</f>
        <v>1</v>
      </c>
      <c r="K193">
        <f t="shared" si="347"/>
        <v>-2</v>
      </c>
      <c r="L193">
        <f t="shared" ref="L193:N193" si="348">E193+E240</f>
        <v>-5</v>
      </c>
      <c r="M193">
        <f t="shared" si="348"/>
        <v>-2</v>
      </c>
      <c r="N193">
        <f t="shared" si="348"/>
        <v>-1</v>
      </c>
      <c r="P193" t="str">
        <f t="shared" si="235"/>
        <v>-1, 0, 0, 0</v>
      </c>
    </row>
    <row r="194" spans="1:16" s="4" customFormat="1" x14ac:dyDescent="0.2">
      <c r="A194">
        <f t="shared" si="226"/>
        <v>192</v>
      </c>
      <c r="B194" s="5" t="s">
        <v>7</v>
      </c>
      <c r="C194" s="4">
        <v>4</v>
      </c>
      <c r="D194" s="4">
        <v>3</v>
      </c>
      <c r="E194" s="4">
        <v>0</v>
      </c>
      <c r="F194">
        <v>0</v>
      </c>
      <c r="G194" s="4">
        <v>0</v>
      </c>
      <c r="H194">
        <f>_xlfn.XLOOKUP(I194,$B$2:$B$1096,$A$2:$A$1096,65535)</f>
        <v>65535</v>
      </c>
      <c r="J194">
        <f t="shared" ref="J194:K194" si="349">C194-C241</f>
        <v>0</v>
      </c>
      <c r="K194">
        <f t="shared" si="349"/>
        <v>3</v>
      </c>
      <c r="L194">
        <f t="shared" ref="L194:N194" si="350">E194+E241</f>
        <v>-5</v>
      </c>
      <c r="M194">
        <f t="shared" si="350"/>
        <v>-2</v>
      </c>
      <c r="N194">
        <f t="shared" si="350"/>
        <v>0</v>
      </c>
      <c r="O194"/>
      <c r="P194" t="str">
        <f t="shared" si="235"/>
        <v>3, 0, 0, 0</v>
      </c>
    </row>
    <row r="195" spans="1:16" s="4" customFormat="1" x14ac:dyDescent="0.2">
      <c r="A195">
        <f t="shared" si="226"/>
        <v>193</v>
      </c>
      <c r="B195" s="5" t="s">
        <v>8</v>
      </c>
      <c r="C195" s="4">
        <v>4</v>
      </c>
      <c r="D195" s="4">
        <v>3</v>
      </c>
      <c r="E195" s="4">
        <v>0</v>
      </c>
      <c r="F195">
        <v>0</v>
      </c>
      <c r="G195" s="4">
        <v>0</v>
      </c>
      <c r="H195">
        <f>_xlfn.XLOOKUP(I195,$B$2:$B$1096,$A$2:$A$1096,65535)</f>
        <v>65535</v>
      </c>
      <c r="J195">
        <f t="shared" ref="J195:K195" si="351">C195-C242</f>
        <v>0</v>
      </c>
      <c r="K195">
        <f t="shared" si="351"/>
        <v>4</v>
      </c>
      <c r="L195">
        <f t="shared" ref="L195:N195" si="352">E195+E242</f>
        <v>-5</v>
      </c>
      <c r="M195">
        <f t="shared" si="352"/>
        <v>-3</v>
      </c>
      <c r="N195">
        <f t="shared" si="352"/>
        <v>-1</v>
      </c>
      <c r="O195"/>
      <c r="P195" t="str">
        <f t="shared" si="235"/>
        <v>3, 0, 0, 0</v>
      </c>
    </row>
    <row r="196" spans="1:16" s="4" customFormat="1" x14ac:dyDescent="0.2">
      <c r="A196">
        <f t="shared" ref="A196:A270" si="353">A195+1</f>
        <v>194</v>
      </c>
      <c r="B196" s="5" t="s">
        <v>9</v>
      </c>
      <c r="C196" s="4">
        <v>4</v>
      </c>
      <c r="D196" s="4">
        <v>2</v>
      </c>
      <c r="E196" s="4">
        <v>-5</v>
      </c>
      <c r="F196">
        <v>-2</v>
      </c>
      <c r="G196" s="4">
        <v>0</v>
      </c>
      <c r="H196">
        <f>_xlfn.XLOOKUP(I196,$B$2:$B$1096,$A$2:$A$1096,65535)</f>
        <v>65535</v>
      </c>
      <c r="J196">
        <f t="shared" ref="J196:K196" si="354">C196-C243</f>
        <v>0</v>
      </c>
      <c r="K196">
        <f t="shared" si="354"/>
        <v>3</v>
      </c>
      <c r="L196">
        <f t="shared" ref="L196:N196" si="355">E196+E243</f>
        <v>-10</v>
      </c>
      <c r="M196">
        <f t="shared" si="355"/>
        <v>-5</v>
      </c>
      <c r="N196">
        <f t="shared" si="355"/>
        <v>0</v>
      </c>
      <c r="O196"/>
      <c r="P196" t="str">
        <f t="shared" si="235"/>
        <v>2, -5, -2, 0</v>
      </c>
    </row>
    <row r="197" spans="1:16" s="4" customFormat="1" x14ac:dyDescent="0.2">
      <c r="A197">
        <f t="shared" si="353"/>
        <v>195</v>
      </c>
      <c r="B197" s="5" t="s">
        <v>10</v>
      </c>
      <c r="C197" s="4">
        <v>4</v>
      </c>
      <c r="D197" s="4">
        <v>1</v>
      </c>
      <c r="E197" s="4">
        <v>-5</v>
      </c>
      <c r="F197">
        <v>-2</v>
      </c>
      <c r="G197" s="4">
        <v>-1</v>
      </c>
      <c r="H197">
        <f>_xlfn.XLOOKUP(I197,$B$2:$B$1096,$A$2:$A$1096,65535)</f>
        <v>65535</v>
      </c>
      <c r="J197">
        <f t="shared" ref="J197:K197" si="356">C197-C244</f>
        <v>0</v>
      </c>
      <c r="K197">
        <f t="shared" si="356"/>
        <v>3</v>
      </c>
      <c r="L197">
        <f t="shared" ref="L197:N197" si="357">E197+E244</f>
        <v>-10</v>
      </c>
      <c r="M197">
        <f t="shared" si="357"/>
        <v>-4</v>
      </c>
      <c r="N197">
        <f t="shared" si="357"/>
        <v>-2</v>
      </c>
      <c r="O197"/>
      <c r="P197" t="str">
        <f t="shared" si="235"/>
        <v>1, -5, -2, -1</v>
      </c>
    </row>
    <row r="198" spans="1:16" s="4" customFormat="1" x14ac:dyDescent="0.2">
      <c r="A198">
        <f t="shared" si="353"/>
        <v>196</v>
      </c>
      <c r="B198" s="5" t="s">
        <v>11</v>
      </c>
      <c r="C198" s="4">
        <v>4</v>
      </c>
      <c r="D198" s="4">
        <v>0</v>
      </c>
      <c r="E198" s="4">
        <v>-5</v>
      </c>
      <c r="F198">
        <v>-2</v>
      </c>
      <c r="G198" s="4">
        <v>0</v>
      </c>
      <c r="H198">
        <f>_xlfn.XLOOKUP(I198,$B$2:$B$1096,$A$2:$A$1096,65535)</f>
        <v>65535</v>
      </c>
      <c r="J198">
        <f t="shared" ref="J198:K198" si="358">C198-C245</f>
        <v>0</v>
      </c>
      <c r="K198">
        <f t="shared" si="358"/>
        <v>3</v>
      </c>
      <c r="L198">
        <f t="shared" ref="L198:N198" si="359">E198+E245</f>
        <v>-10</v>
      </c>
      <c r="M198">
        <f t="shared" si="359"/>
        <v>-4</v>
      </c>
      <c r="N198">
        <f t="shared" si="359"/>
        <v>0</v>
      </c>
      <c r="O198"/>
      <c r="P198" t="str">
        <f t="shared" si="235"/>
        <v>0, -5, -2, 0</v>
      </c>
    </row>
    <row r="199" spans="1:16" s="4" customFormat="1" x14ac:dyDescent="0.2">
      <c r="A199">
        <f t="shared" si="353"/>
        <v>197</v>
      </c>
      <c r="B199" s="5" t="s">
        <v>12</v>
      </c>
      <c r="C199" s="4">
        <v>5</v>
      </c>
      <c r="D199" s="4">
        <v>-1</v>
      </c>
      <c r="E199" s="4">
        <v>-5</v>
      </c>
      <c r="F199">
        <v>-2</v>
      </c>
      <c r="G199" s="4">
        <v>-1</v>
      </c>
      <c r="H199">
        <f>_xlfn.XLOOKUP(I199,$B$2:$B$1096,$A$2:$A$1096,65535)</f>
        <v>129</v>
      </c>
      <c r="I199" s="5" t="s">
        <v>60</v>
      </c>
      <c r="J199">
        <f t="shared" ref="J199:K199" si="360">C199-C246</f>
        <v>0</v>
      </c>
      <c r="K199">
        <f t="shared" si="360"/>
        <v>3</v>
      </c>
      <c r="L199">
        <f t="shared" ref="L199:N199" si="361">E199+E246</f>
        <v>-10</v>
      </c>
      <c r="M199">
        <f t="shared" si="361"/>
        <v>-4</v>
      </c>
      <c r="N199">
        <f t="shared" si="361"/>
        <v>-2</v>
      </c>
      <c r="O199"/>
      <c r="P199" t="str">
        <f t="shared" ref="P199:P273" si="362">_xlfn.CONCAT(D199,", ",E199,", ",F199,", ",G199)</f>
        <v>-1, -5, -2, -1</v>
      </c>
    </row>
    <row r="200" spans="1:16" x14ac:dyDescent="0.2">
      <c r="A200">
        <f t="shared" si="353"/>
        <v>198</v>
      </c>
      <c r="B200" s="1" t="s">
        <v>75</v>
      </c>
      <c r="C200" s="2">
        <v>4</v>
      </c>
      <c r="D200" s="2">
        <v>0</v>
      </c>
      <c r="E200" s="2">
        <v>-5</v>
      </c>
      <c r="F200">
        <v>0</v>
      </c>
      <c r="G200" s="2">
        <v>-1</v>
      </c>
      <c r="H200">
        <f>_xlfn.XLOOKUP(I200,$B$2:$B$1096,$A$2:$A$1096,65535)</f>
        <v>65535</v>
      </c>
      <c r="I200" s="2"/>
      <c r="J200">
        <f t="shared" ref="J200:K200" si="363">C200-C247</f>
        <v>-2</v>
      </c>
      <c r="K200">
        <f t="shared" si="363"/>
        <v>0</v>
      </c>
      <c r="L200">
        <f t="shared" ref="L200:N200" si="364">E200+E247</f>
        <v>-10</v>
      </c>
      <c r="M200">
        <f t="shared" si="364"/>
        <v>-2</v>
      </c>
      <c r="N200">
        <f t="shared" si="364"/>
        <v>-1</v>
      </c>
      <c r="P200" t="str">
        <f t="shared" si="362"/>
        <v>0, -5, 0, -1</v>
      </c>
    </row>
    <row r="201" spans="1:16" x14ac:dyDescent="0.2">
      <c r="A201">
        <f t="shared" si="353"/>
        <v>199</v>
      </c>
      <c r="B201" s="1" t="s">
        <v>76</v>
      </c>
      <c r="C201">
        <v>4</v>
      </c>
      <c r="D201">
        <v>4</v>
      </c>
      <c r="E201">
        <v>-5</v>
      </c>
      <c r="F201">
        <v>-2</v>
      </c>
      <c r="G201">
        <v>0</v>
      </c>
      <c r="H201">
        <f>_xlfn.XLOOKUP(I201,$B$2:$B$1096,$A$2:$A$1096,65535)</f>
        <v>65535</v>
      </c>
      <c r="J201">
        <f t="shared" ref="J201:K201" si="365">C201-C248</f>
        <v>0</v>
      </c>
      <c r="K201">
        <f t="shared" si="365"/>
        <v>4</v>
      </c>
      <c r="L201">
        <f t="shared" ref="L201:N201" si="366">E201+E248</f>
        <v>-10</v>
      </c>
      <c r="M201">
        <f t="shared" si="366"/>
        <v>-4</v>
      </c>
      <c r="N201">
        <f t="shared" si="366"/>
        <v>-1</v>
      </c>
      <c r="P201" t="str">
        <f t="shared" si="362"/>
        <v>4, -5, -2, 0</v>
      </c>
    </row>
    <row r="202" spans="1:16" x14ac:dyDescent="0.2">
      <c r="A202">
        <f t="shared" si="353"/>
        <v>200</v>
      </c>
      <c r="B202" s="1" t="s">
        <v>77</v>
      </c>
      <c r="C202">
        <v>4</v>
      </c>
      <c r="D202">
        <v>3</v>
      </c>
      <c r="E202">
        <v>-5</v>
      </c>
      <c r="F202">
        <v>-1</v>
      </c>
      <c r="G202">
        <v>-1</v>
      </c>
      <c r="H202">
        <f>_xlfn.XLOOKUP(I202,$B$2:$B$1096,$A$2:$A$1096,65535)</f>
        <v>65535</v>
      </c>
      <c r="J202">
        <f t="shared" ref="J202:K202" si="367">C202-C249</f>
        <v>0</v>
      </c>
      <c r="K202">
        <f t="shared" si="367"/>
        <v>3</v>
      </c>
      <c r="L202">
        <f t="shared" ref="L202:N202" si="368">E202+E249</f>
        <v>-10</v>
      </c>
      <c r="M202">
        <f t="shared" si="368"/>
        <v>-3</v>
      </c>
      <c r="N202">
        <f t="shared" si="368"/>
        <v>-2</v>
      </c>
      <c r="P202" t="str">
        <f t="shared" si="362"/>
        <v>3, -5, -1, -1</v>
      </c>
    </row>
    <row r="203" spans="1:16" x14ac:dyDescent="0.2">
      <c r="A203">
        <f t="shared" si="353"/>
        <v>201</v>
      </c>
      <c r="B203" s="1" t="s">
        <v>78</v>
      </c>
      <c r="C203">
        <v>4</v>
      </c>
      <c r="D203">
        <v>2</v>
      </c>
      <c r="E203">
        <v>0</v>
      </c>
      <c r="F203">
        <v>0</v>
      </c>
      <c r="G203">
        <v>0</v>
      </c>
      <c r="H203">
        <f>_xlfn.XLOOKUP(I203,$B$2:$B$1096,$A$2:$A$1096,65535)</f>
        <v>65535</v>
      </c>
      <c r="J203">
        <f t="shared" ref="J203:K203" si="369">C203-C250</f>
        <v>0</v>
      </c>
      <c r="K203">
        <f t="shared" si="369"/>
        <v>0</v>
      </c>
      <c r="L203">
        <f t="shared" ref="L203:N203" si="370">E203+E250</f>
        <v>-5</v>
      </c>
      <c r="M203">
        <f t="shared" si="370"/>
        <v>-2</v>
      </c>
      <c r="N203">
        <f t="shared" si="370"/>
        <v>0</v>
      </c>
      <c r="P203" t="str">
        <f t="shared" si="362"/>
        <v>2, 0, 0, 0</v>
      </c>
    </row>
    <row r="204" spans="1:16" x14ac:dyDescent="0.2">
      <c r="A204">
        <f t="shared" si="353"/>
        <v>202</v>
      </c>
      <c r="B204" s="1" t="s">
        <v>79</v>
      </c>
      <c r="C204">
        <v>4</v>
      </c>
      <c r="D204">
        <v>0</v>
      </c>
      <c r="E204">
        <v>-5</v>
      </c>
      <c r="F204">
        <v>-1</v>
      </c>
      <c r="G204">
        <v>-1</v>
      </c>
      <c r="H204">
        <f>_xlfn.XLOOKUP(I204,$B$2:$B$1096,$A$2:$A$1096,65535)</f>
        <v>65535</v>
      </c>
      <c r="J204">
        <f t="shared" ref="J204:K204" si="371">C204-C251</f>
        <v>0</v>
      </c>
      <c r="K204">
        <f t="shared" si="371"/>
        <v>-1</v>
      </c>
      <c r="L204">
        <f t="shared" ref="L204:N204" si="372">E204+E251</f>
        <v>-10</v>
      </c>
      <c r="M204">
        <f t="shared" si="372"/>
        <v>-3</v>
      </c>
      <c r="N204">
        <f t="shared" si="372"/>
        <v>-2</v>
      </c>
      <c r="P204" t="str">
        <f t="shared" si="362"/>
        <v>0, -5, -1, -1</v>
      </c>
    </row>
    <row r="205" spans="1:16" x14ac:dyDescent="0.2">
      <c r="A205">
        <f t="shared" si="353"/>
        <v>203</v>
      </c>
      <c r="B205" s="1" t="s">
        <v>80</v>
      </c>
      <c r="C205">
        <v>4</v>
      </c>
      <c r="D205">
        <v>-2</v>
      </c>
      <c r="E205">
        <v>-5</v>
      </c>
      <c r="F205">
        <v>-1</v>
      </c>
      <c r="G205">
        <v>0</v>
      </c>
      <c r="H205">
        <f>_xlfn.XLOOKUP(I205,$B$2:$B$1096,$A$2:$A$1096,65535)</f>
        <v>65535</v>
      </c>
      <c r="J205">
        <f t="shared" ref="J205:K205" si="373">C205-C252</f>
        <v>0</v>
      </c>
      <c r="K205">
        <f t="shared" si="373"/>
        <v>-2</v>
      </c>
      <c r="L205">
        <f t="shared" ref="L205:N205" si="374">E205+E252</f>
        <v>-10</v>
      </c>
      <c r="M205">
        <f t="shared" si="374"/>
        <v>-3</v>
      </c>
      <c r="N205">
        <f t="shared" si="374"/>
        <v>0</v>
      </c>
      <c r="P205" t="str">
        <f t="shared" si="362"/>
        <v>-2, -5, -1, 0</v>
      </c>
    </row>
    <row r="206" spans="1:16" x14ac:dyDescent="0.2">
      <c r="A206">
        <f t="shared" si="353"/>
        <v>204</v>
      </c>
      <c r="B206" s="1" t="s">
        <v>81</v>
      </c>
      <c r="C206">
        <v>6</v>
      </c>
      <c r="D206">
        <v>-3</v>
      </c>
      <c r="E206">
        <v>-5</v>
      </c>
      <c r="F206">
        <v>-1</v>
      </c>
      <c r="G206">
        <v>-1</v>
      </c>
      <c r="H206">
        <f>_xlfn.XLOOKUP(I206,$B$2:$B$1096,$A$2:$A$1096,65535)</f>
        <v>65535</v>
      </c>
      <c r="J206">
        <f t="shared" ref="J206:K206" si="375">C206-C253</f>
        <v>2</v>
      </c>
      <c r="K206">
        <f t="shared" si="375"/>
        <v>-2</v>
      </c>
      <c r="L206">
        <f t="shared" ref="L206:N206" si="376">E206+E253</f>
        <v>-10</v>
      </c>
      <c r="M206">
        <f t="shared" si="376"/>
        <v>-4</v>
      </c>
      <c r="N206">
        <f t="shared" si="376"/>
        <v>-2</v>
      </c>
      <c r="P206" t="str">
        <f t="shared" si="362"/>
        <v>-3, -5, -1, -1</v>
      </c>
    </row>
    <row r="207" spans="1:16" x14ac:dyDescent="0.2">
      <c r="A207">
        <f t="shared" si="353"/>
        <v>205</v>
      </c>
      <c r="B207" s="1" t="s">
        <v>82</v>
      </c>
      <c r="C207">
        <v>5</v>
      </c>
      <c r="D207">
        <v>-4</v>
      </c>
      <c r="E207">
        <v>0</v>
      </c>
      <c r="F207">
        <v>0</v>
      </c>
      <c r="G207">
        <v>0</v>
      </c>
      <c r="H207">
        <f>_xlfn.XLOOKUP(I207,$B$2:$B$1096,$A$2:$A$1096,65535)</f>
        <v>65535</v>
      </c>
      <c r="J207">
        <f t="shared" ref="J207:K207" si="377">C207-C254</f>
        <v>1</v>
      </c>
      <c r="K207">
        <f t="shared" si="377"/>
        <v>-3</v>
      </c>
      <c r="L207">
        <f t="shared" ref="L207:N207" si="378">E207+E254</f>
        <v>-5</v>
      </c>
      <c r="M207">
        <f t="shared" si="378"/>
        <v>-3</v>
      </c>
      <c r="N207">
        <f t="shared" si="378"/>
        <v>0</v>
      </c>
      <c r="P207" t="str">
        <f t="shared" si="362"/>
        <v>-4, 0, 0, 0</v>
      </c>
    </row>
    <row r="208" spans="1:16" s="7" customFormat="1" x14ac:dyDescent="0.2">
      <c r="A208">
        <f t="shared" si="353"/>
        <v>206</v>
      </c>
      <c r="B208" s="5" t="s">
        <v>83</v>
      </c>
      <c r="C208" s="7">
        <v>4</v>
      </c>
      <c r="D208" s="7">
        <v>0</v>
      </c>
      <c r="E208" s="7">
        <v>-5</v>
      </c>
      <c r="F208">
        <v>0</v>
      </c>
      <c r="G208" s="7">
        <v>-1</v>
      </c>
      <c r="H208">
        <f>_xlfn.XLOOKUP(I208,$B$2:$B$1096,$A$2:$A$1096,65535)</f>
        <v>65535</v>
      </c>
      <c r="J208">
        <f t="shared" ref="J208:K208" si="379">C208-C255</f>
        <v>0</v>
      </c>
      <c r="K208">
        <f t="shared" si="379"/>
        <v>2</v>
      </c>
      <c r="L208">
        <f t="shared" ref="L208:N208" si="380">E208+E255</f>
        <v>-10</v>
      </c>
      <c r="M208">
        <f t="shared" si="380"/>
        <v>-2</v>
      </c>
      <c r="N208">
        <f t="shared" si="380"/>
        <v>-2</v>
      </c>
      <c r="O208"/>
      <c r="P208" t="str">
        <f t="shared" si="362"/>
        <v>0, -5, 0, -1</v>
      </c>
    </row>
    <row r="209" spans="1:16" s="4" customFormat="1" x14ac:dyDescent="0.2">
      <c r="A209">
        <f t="shared" si="353"/>
        <v>207</v>
      </c>
      <c r="B209" s="5" t="s">
        <v>84</v>
      </c>
      <c r="C209" s="4">
        <v>4</v>
      </c>
      <c r="D209" s="4">
        <v>4</v>
      </c>
      <c r="E209" s="4">
        <v>-5</v>
      </c>
      <c r="F209">
        <v>-2</v>
      </c>
      <c r="G209" s="4">
        <v>0</v>
      </c>
      <c r="H209">
        <f>_xlfn.XLOOKUP(I209,$B$2:$B$1096,$A$2:$A$1096,65535)</f>
        <v>65535</v>
      </c>
      <c r="J209">
        <f t="shared" ref="J209:K209" si="381">C209-C256</f>
        <v>0</v>
      </c>
      <c r="K209">
        <f t="shared" si="381"/>
        <v>7</v>
      </c>
      <c r="L209">
        <f t="shared" ref="L209:N209" si="382">E209+E256</f>
        <v>-10</v>
      </c>
      <c r="M209">
        <f t="shared" si="382"/>
        <v>-4</v>
      </c>
      <c r="N209">
        <f t="shared" si="382"/>
        <v>0</v>
      </c>
      <c r="O209"/>
      <c r="P209" t="str">
        <f t="shared" si="362"/>
        <v>4, -5, -2, 0</v>
      </c>
    </row>
    <row r="210" spans="1:16" s="4" customFormat="1" x14ac:dyDescent="0.2">
      <c r="A210">
        <f t="shared" si="353"/>
        <v>208</v>
      </c>
      <c r="B210" s="5" t="s">
        <v>85</v>
      </c>
      <c r="C210" s="4">
        <v>4</v>
      </c>
      <c r="D210" s="4">
        <v>3</v>
      </c>
      <c r="E210" s="4">
        <v>-5</v>
      </c>
      <c r="F210">
        <v>-2</v>
      </c>
      <c r="G210" s="4">
        <v>-1</v>
      </c>
      <c r="H210">
        <f>_xlfn.XLOOKUP(I210,$B$2:$B$1096,$A$2:$A$1096,65535)</f>
        <v>65535</v>
      </c>
      <c r="J210">
        <f t="shared" ref="J210:K210" si="383">C210-C257</f>
        <v>0</v>
      </c>
      <c r="K210">
        <f t="shared" si="383"/>
        <v>7</v>
      </c>
      <c r="L210">
        <f t="shared" ref="L210:N210" si="384">E210+E257</f>
        <v>-10</v>
      </c>
      <c r="M210">
        <f t="shared" si="384"/>
        <v>-4</v>
      </c>
      <c r="N210">
        <f t="shared" si="384"/>
        <v>-2</v>
      </c>
      <c r="O210"/>
      <c r="P210" t="str">
        <f t="shared" si="362"/>
        <v>3, -5, -2, -1</v>
      </c>
    </row>
    <row r="211" spans="1:16" s="4" customFormat="1" x14ac:dyDescent="0.2">
      <c r="A211">
        <f t="shared" si="353"/>
        <v>209</v>
      </c>
      <c r="B211" s="5" t="s">
        <v>86</v>
      </c>
      <c r="C211" s="4">
        <v>4</v>
      </c>
      <c r="D211" s="4">
        <v>2</v>
      </c>
      <c r="E211" s="7">
        <v>-5</v>
      </c>
      <c r="F211">
        <v>-2</v>
      </c>
      <c r="G211" s="4">
        <v>0</v>
      </c>
      <c r="H211">
        <f>_xlfn.XLOOKUP(I211,$B$2:$B$1096,$A$2:$A$1096,65535)</f>
        <v>65535</v>
      </c>
      <c r="J211">
        <f t="shared" ref="J211:K211" si="385">C211-C258</f>
        <v>-2</v>
      </c>
      <c r="K211">
        <f t="shared" si="385"/>
        <v>6</v>
      </c>
      <c r="L211">
        <f t="shared" ref="L211:N211" si="386">E211+E258</f>
        <v>-10</v>
      </c>
      <c r="M211">
        <f t="shared" si="386"/>
        <v>-4</v>
      </c>
      <c r="N211">
        <f t="shared" si="386"/>
        <v>0</v>
      </c>
      <c r="O211"/>
      <c r="P211" t="str">
        <f t="shared" si="362"/>
        <v>2, -5, -2, 0</v>
      </c>
    </row>
    <row r="212" spans="1:16" s="4" customFormat="1" x14ac:dyDescent="0.2">
      <c r="A212">
        <f t="shared" si="353"/>
        <v>210</v>
      </c>
      <c r="B212" s="5" t="s">
        <v>87</v>
      </c>
      <c r="C212" s="4">
        <v>4</v>
      </c>
      <c r="D212" s="4">
        <v>0</v>
      </c>
      <c r="E212" s="4">
        <v>-5</v>
      </c>
      <c r="F212">
        <v>-2</v>
      </c>
      <c r="G212" s="4">
        <v>-1</v>
      </c>
      <c r="H212">
        <f>_xlfn.XLOOKUP(I212,$B$2:$B$1096,$A$2:$A$1096,65535)</f>
        <v>65535</v>
      </c>
      <c r="J212">
        <f t="shared" ref="J212:K212" si="387">C212-C259</f>
        <v>-1</v>
      </c>
      <c r="K212">
        <f t="shared" si="387"/>
        <v>4</v>
      </c>
      <c r="L212">
        <f t="shared" ref="L212:N212" si="388">E212+E259</f>
        <v>-10</v>
      </c>
      <c r="M212">
        <f t="shared" si="388"/>
        <v>-4</v>
      </c>
      <c r="N212">
        <f t="shared" si="388"/>
        <v>-2</v>
      </c>
      <c r="O212"/>
      <c r="P212" t="str">
        <f t="shared" si="362"/>
        <v>0, -5, -2, -1</v>
      </c>
    </row>
    <row r="213" spans="1:16" s="4" customFormat="1" x14ac:dyDescent="0.2">
      <c r="A213">
        <f t="shared" si="353"/>
        <v>211</v>
      </c>
      <c r="B213" s="5" t="s">
        <v>88</v>
      </c>
      <c r="C213" s="4">
        <v>4</v>
      </c>
      <c r="D213" s="4">
        <v>-2</v>
      </c>
      <c r="E213" s="4">
        <v>-5</v>
      </c>
      <c r="F213">
        <v>-2</v>
      </c>
      <c r="G213" s="4">
        <v>0</v>
      </c>
      <c r="H213">
        <f>_xlfn.XLOOKUP(I213,$B$2:$B$1096,$A$2:$A$1096,65535)</f>
        <v>65535</v>
      </c>
      <c r="J213">
        <f t="shared" ref="J213:K213" si="389">C213-C260</f>
        <v>0</v>
      </c>
      <c r="K213">
        <f t="shared" si="389"/>
        <v>-2</v>
      </c>
      <c r="L213">
        <f t="shared" ref="L213:N213" si="390">E213+E260</f>
        <v>-10</v>
      </c>
      <c r="M213">
        <f t="shared" si="390"/>
        <v>-4</v>
      </c>
      <c r="N213">
        <f t="shared" si="390"/>
        <v>0</v>
      </c>
      <c r="O213"/>
      <c r="P213" t="str">
        <f t="shared" si="362"/>
        <v>-2, -5, -2, 0</v>
      </c>
    </row>
    <row r="214" spans="1:16" s="4" customFormat="1" x14ac:dyDescent="0.2">
      <c r="A214">
        <f t="shared" si="353"/>
        <v>212</v>
      </c>
      <c r="B214" s="5" t="s">
        <v>89</v>
      </c>
      <c r="C214" s="4">
        <v>6</v>
      </c>
      <c r="D214" s="4">
        <v>-3</v>
      </c>
      <c r="E214" s="4">
        <v>-5</v>
      </c>
      <c r="F214">
        <v>-2</v>
      </c>
      <c r="G214" s="4">
        <v>-1</v>
      </c>
      <c r="H214">
        <f>_xlfn.XLOOKUP(I214,$B$2:$B$1096,$A$2:$A$1096,65535)</f>
        <v>65535</v>
      </c>
      <c r="J214">
        <f t="shared" ref="J214:K214" si="391">C214-C261</f>
        <v>2</v>
      </c>
      <c r="K214">
        <f t="shared" si="391"/>
        <v>-7</v>
      </c>
      <c r="L214">
        <f t="shared" ref="L214:N214" si="392">E214+E261</f>
        <v>-10</v>
      </c>
      <c r="M214">
        <f t="shared" si="392"/>
        <v>-4</v>
      </c>
      <c r="N214">
        <f t="shared" si="392"/>
        <v>-1</v>
      </c>
      <c r="O214"/>
      <c r="P214" t="str">
        <f t="shared" si="362"/>
        <v>-3, -5, -2, -1</v>
      </c>
    </row>
    <row r="215" spans="1:16" s="4" customFormat="1" x14ac:dyDescent="0.2">
      <c r="A215">
        <f t="shared" si="353"/>
        <v>213</v>
      </c>
      <c r="B215" s="5" t="s">
        <v>90</v>
      </c>
      <c r="C215" s="4">
        <v>5</v>
      </c>
      <c r="D215" s="4">
        <v>-4</v>
      </c>
      <c r="E215" s="7">
        <v>-5</v>
      </c>
      <c r="F215">
        <v>-2</v>
      </c>
      <c r="G215" s="4">
        <v>0</v>
      </c>
      <c r="H215">
        <f>_xlfn.XLOOKUP(I215,$B$2:$B$1096,$A$2:$A$1096,65535)</f>
        <v>65535</v>
      </c>
      <c r="J215">
        <f t="shared" ref="J215:K215" si="393">C215-C262</f>
        <v>1</v>
      </c>
      <c r="K215">
        <f t="shared" si="393"/>
        <v>-7</v>
      </c>
      <c r="L215">
        <f t="shared" ref="L215:N215" si="394">E215+E262</f>
        <v>-10</v>
      </c>
      <c r="M215">
        <f t="shared" si="394"/>
        <v>-3</v>
      </c>
      <c r="N215">
        <f t="shared" si="394"/>
        <v>-1</v>
      </c>
      <c r="O215"/>
      <c r="P215" t="str">
        <f t="shared" si="362"/>
        <v>-4, -5, -2, 0</v>
      </c>
    </row>
    <row r="216" spans="1:16" s="2" customFormat="1" x14ac:dyDescent="0.2">
      <c r="A216">
        <f t="shared" si="353"/>
        <v>214</v>
      </c>
      <c r="B216" s="1" t="s">
        <v>256</v>
      </c>
      <c r="C216" s="2">
        <v>4</v>
      </c>
      <c r="D216" s="2">
        <v>0</v>
      </c>
      <c r="E216" s="2">
        <v>-5</v>
      </c>
      <c r="F216">
        <v>-2</v>
      </c>
      <c r="G216" s="2">
        <v>-1</v>
      </c>
      <c r="H216">
        <f>_xlfn.XLOOKUP(I216,$B$2:$B$1096,$A$2:$A$1096,65535)</f>
        <v>65535</v>
      </c>
      <c r="J216">
        <f t="shared" ref="J216:K216" si="395">C216-C263</f>
        <v>-2</v>
      </c>
      <c r="K216">
        <f t="shared" si="395"/>
        <v>-2</v>
      </c>
      <c r="L216">
        <f t="shared" ref="L216:N216" si="396">E216+E263</f>
        <v>-10</v>
      </c>
      <c r="M216">
        <f t="shared" si="396"/>
        <v>-3</v>
      </c>
      <c r="N216">
        <f t="shared" si="396"/>
        <v>-1</v>
      </c>
      <c r="O216"/>
      <c r="P216" t="str">
        <f t="shared" si="362"/>
        <v>0, -5, -2, -1</v>
      </c>
    </row>
    <row r="217" spans="1:16" x14ac:dyDescent="0.2">
      <c r="A217">
        <f t="shared" si="353"/>
        <v>215</v>
      </c>
      <c r="B217" s="1" t="s">
        <v>257</v>
      </c>
      <c r="C217">
        <v>4</v>
      </c>
      <c r="D217">
        <v>2</v>
      </c>
      <c r="E217">
        <v>-5</v>
      </c>
      <c r="F217">
        <v>-2</v>
      </c>
      <c r="G217">
        <v>0</v>
      </c>
      <c r="H217">
        <f>_xlfn.XLOOKUP(I217,$B$2:$B$1096,$A$2:$A$1096,65535)</f>
        <v>65535</v>
      </c>
      <c r="J217">
        <f t="shared" ref="J217:K217" si="397">C217-C264</f>
        <v>-1</v>
      </c>
      <c r="K217">
        <f t="shared" si="397"/>
        <v>3</v>
      </c>
      <c r="L217">
        <f t="shared" ref="L217:N217" si="398">E217+E264</f>
        <v>-5</v>
      </c>
      <c r="M217">
        <f t="shared" si="398"/>
        <v>-2</v>
      </c>
      <c r="N217">
        <f t="shared" si="398"/>
        <v>0</v>
      </c>
      <c r="P217" t="str">
        <f t="shared" si="362"/>
        <v>2, -5, -2, 0</v>
      </c>
    </row>
    <row r="218" spans="1:16" x14ac:dyDescent="0.2">
      <c r="A218">
        <f t="shared" si="353"/>
        <v>216</v>
      </c>
      <c r="B218" s="1" t="s">
        <v>258</v>
      </c>
      <c r="C218">
        <v>4</v>
      </c>
      <c r="D218">
        <v>2</v>
      </c>
      <c r="E218">
        <v>-5</v>
      </c>
      <c r="F218">
        <v>-2</v>
      </c>
      <c r="G218">
        <v>-1</v>
      </c>
      <c r="H218">
        <f>_xlfn.XLOOKUP(I218,$B$2:$B$1096,$A$2:$A$1096,65535)</f>
        <v>65535</v>
      </c>
      <c r="J218">
        <f t="shared" ref="J218:K218" si="399">C218-C265</f>
        <v>4</v>
      </c>
      <c r="K218">
        <f t="shared" si="399"/>
        <v>2</v>
      </c>
      <c r="L218">
        <f t="shared" ref="L218:N218" si="400">E218+E265</f>
        <v>-5</v>
      </c>
      <c r="M218">
        <f t="shared" si="400"/>
        <v>-2</v>
      </c>
      <c r="N218">
        <f t="shared" si="400"/>
        <v>-1</v>
      </c>
      <c r="P218" t="str">
        <f t="shared" si="362"/>
        <v>2, -5, -2, -1</v>
      </c>
    </row>
    <row r="219" spans="1:16" x14ac:dyDescent="0.2">
      <c r="A219">
        <f t="shared" si="353"/>
        <v>217</v>
      </c>
      <c r="B219" s="1" t="s">
        <v>259</v>
      </c>
      <c r="C219">
        <v>4</v>
      </c>
      <c r="D219">
        <v>1</v>
      </c>
      <c r="E219" s="2">
        <v>-5</v>
      </c>
      <c r="F219">
        <v>-2</v>
      </c>
      <c r="G219">
        <v>0</v>
      </c>
      <c r="H219">
        <f>_xlfn.XLOOKUP(I219,$B$2:$B$1096,$A$2:$A$1096,65535)</f>
        <v>65535</v>
      </c>
      <c r="J219">
        <f t="shared" ref="J219:K219" si="401">C219-C266</f>
        <v>-28</v>
      </c>
      <c r="K219">
        <f t="shared" si="401"/>
        <v>-1</v>
      </c>
      <c r="L219">
        <f t="shared" ref="L219:N219" si="402">E219+E266</f>
        <v>-5</v>
      </c>
      <c r="M219">
        <f t="shared" si="402"/>
        <v>-2</v>
      </c>
      <c r="N219">
        <f t="shared" si="402"/>
        <v>0</v>
      </c>
      <c r="P219" t="str">
        <f t="shared" si="362"/>
        <v>1, -5, -2, 0</v>
      </c>
    </row>
    <row r="220" spans="1:16" x14ac:dyDescent="0.2">
      <c r="A220">
        <f t="shared" si="353"/>
        <v>218</v>
      </c>
      <c r="B220" s="1" t="s">
        <v>260</v>
      </c>
      <c r="C220">
        <v>4</v>
      </c>
      <c r="D220">
        <v>1</v>
      </c>
      <c r="E220">
        <v>-5</v>
      </c>
      <c r="F220">
        <v>-3</v>
      </c>
      <c r="G220">
        <v>-1</v>
      </c>
      <c r="H220">
        <f>_xlfn.XLOOKUP(I220,$B$2:$B$1096,$A$2:$A$1096,65535)</f>
        <v>65535</v>
      </c>
      <c r="J220">
        <f t="shared" ref="J220:K220" si="403">C220-C267</f>
        <v>-29</v>
      </c>
      <c r="K220">
        <f t="shared" si="403"/>
        <v>-1</v>
      </c>
      <c r="L220">
        <f t="shared" ref="L220:N220" si="404">E220+E267</f>
        <v>-5</v>
      </c>
      <c r="M220">
        <f t="shared" si="404"/>
        <v>-3</v>
      </c>
      <c r="N220">
        <f t="shared" si="404"/>
        <v>-1</v>
      </c>
      <c r="P220" t="str">
        <f t="shared" si="362"/>
        <v>1, -5, -3, -1</v>
      </c>
    </row>
    <row r="221" spans="1:16" x14ac:dyDescent="0.2">
      <c r="A221">
        <f t="shared" si="353"/>
        <v>219</v>
      </c>
      <c r="B221" s="1" t="s">
        <v>261</v>
      </c>
      <c r="C221">
        <v>4</v>
      </c>
      <c r="D221">
        <v>0</v>
      </c>
      <c r="E221">
        <v>-5</v>
      </c>
      <c r="F221">
        <v>-3</v>
      </c>
      <c r="G221">
        <v>0</v>
      </c>
      <c r="H221">
        <f>_xlfn.XLOOKUP(I221,$B$2:$B$1096,$A$2:$A$1096,65535)</f>
        <v>65535</v>
      </c>
      <c r="J221">
        <f t="shared" ref="J221:K221" si="405">C221-C268</f>
        <v>-30</v>
      </c>
      <c r="K221">
        <f t="shared" si="405"/>
        <v>0</v>
      </c>
      <c r="L221">
        <f t="shared" ref="L221:N221" si="406">E221+E268</f>
        <v>-10</v>
      </c>
      <c r="M221">
        <f t="shared" si="406"/>
        <v>-5</v>
      </c>
      <c r="N221">
        <f t="shared" si="406"/>
        <v>0</v>
      </c>
      <c r="P221" t="str">
        <f t="shared" si="362"/>
        <v>0, -5, -3, 0</v>
      </c>
    </row>
    <row r="222" spans="1:16" x14ac:dyDescent="0.2">
      <c r="A222">
        <f t="shared" si="353"/>
        <v>220</v>
      </c>
      <c r="B222" s="1" t="s">
        <v>262</v>
      </c>
      <c r="C222">
        <v>4</v>
      </c>
      <c r="D222">
        <v>0</v>
      </c>
      <c r="E222">
        <v>-5</v>
      </c>
      <c r="F222">
        <v>-2</v>
      </c>
      <c r="G222">
        <v>-1</v>
      </c>
      <c r="H222">
        <f>_xlfn.XLOOKUP(I222,$B$2:$B$1096,$A$2:$A$1096,65535)</f>
        <v>65535</v>
      </c>
      <c r="J222">
        <f t="shared" ref="J222:K222" si="407">C222-C269</f>
        <v>-28</v>
      </c>
      <c r="K222">
        <f t="shared" si="407"/>
        <v>0</v>
      </c>
      <c r="L222">
        <f t="shared" ref="L222:N222" si="408">E222+E269</f>
        <v>-10</v>
      </c>
      <c r="M222">
        <f t="shared" si="408"/>
        <v>-4</v>
      </c>
      <c r="N222">
        <f t="shared" si="408"/>
        <v>-2</v>
      </c>
      <c r="P222" t="str">
        <f t="shared" si="362"/>
        <v>0, -5, -2, -1</v>
      </c>
    </row>
    <row r="223" spans="1:16" x14ac:dyDescent="0.2">
      <c r="A223">
        <f t="shared" si="353"/>
        <v>221</v>
      </c>
      <c r="B223" s="1" t="s">
        <v>263</v>
      </c>
      <c r="C223">
        <v>4</v>
      </c>
      <c r="D223">
        <v>-1</v>
      </c>
      <c r="E223">
        <v>-5</v>
      </c>
      <c r="F223">
        <v>-2</v>
      </c>
      <c r="G223">
        <v>0</v>
      </c>
      <c r="H223">
        <f>_xlfn.XLOOKUP(I223,$B$2:$B$1096,$A$2:$A$1096,65535)</f>
        <v>65535</v>
      </c>
      <c r="J223">
        <f t="shared" ref="J223:K223" si="409">C223-C270</f>
        <v>-29</v>
      </c>
      <c r="K223">
        <f t="shared" si="409"/>
        <v>-1</v>
      </c>
      <c r="L223">
        <f t="shared" ref="L223:N223" si="410">E223+E270</f>
        <v>-10</v>
      </c>
      <c r="M223">
        <f t="shared" si="410"/>
        <v>-4</v>
      </c>
      <c r="N223">
        <f t="shared" si="410"/>
        <v>0</v>
      </c>
      <c r="P223" t="str">
        <f t="shared" si="362"/>
        <v>-1, -5, -2, 0</v>
      </c>
    </row>
    <row r="224" spans="1:16" x14ac:dyDescent="0.2">
      <c r="A224">
        <f t="shared" si="353"/>
        <v>222</v>
      </c>
      <c r="B224" s="1" t="s">
        <v>264</v>
      </c>
      <c r="C224">
        <v>4</v>
      </c>
      <c r="D224">
        <v>-1</v>
      </c>
      <c r="E224">
        <v>-5</v>
      </c>
      <c r="F224">
        <v>-2</v>
      </c>
      <c r="G224">
        <v>-1</v>
      </c>
      <c r="H224">
        <f>_xlfn.XLOOKUP(I224,$B$2:$B$1096,$A$2:$A$1096,65535)</f>
        <v>65535</v>
      </c>
      <c r="J224">
        <f t="shared" ref="J224:K224" si="411">C224-C271</f>
        <v>-30</v>
      </c>
      <c r="K224">
        <f t="shared" si="411"/>
        <v>-1</v>
      </c>
      <c r="L224">
        <f t="shared" ref="L224:N224" si="412">E224+E271</f>
        <v>-10</v>
      </c>
      <c r="M224">
        <f t="shared" si="412"/>
        <v>-4</v>
      </c>
      <c r="N224">
        <f t="shared" si="412"/>
        <v>-2</v>
      </c>
      <c r="P224" t="str">
        <f t="shared" si="362"/>
        <v>-1, -5, -2, -1</v>
      </c>
    </row>
    <row r="225" spans="1:16" x14ac:dyDescent="0.2">
      <c r="A225">
        <f t="shared" si="353"/>
        <v>223</v>
      </c>
      <c r="B225" s="1" t="s">
        <v>265</v>
      </c>
      <c r="C225">
        <v>6</v>
      </c>
      <c r="D225">
        <v>-2</v>
      </c>
      <c r="E225">
        <v>-5</v>
      </c>
      <c r="F225">
        <v>-2</v>
      </c>
      <c r="G225">
        <v>0</v>
      </c>
      <c r="H225">
        <f>_xlfn.XLOOKUP(I225,$B$2:$B$1096,$A$2:$A$1096,65535)</f>
        <v>65535</v>
      </c>
      <c r="J225">
        <f t="shared" ref="J225:K225" si="413">C225-C272</f>
        <v>-26</v>
      </c>
      <c r="K225">
        <f t="shared" si="413"/>
        <v>-2</v>
      </c>
      <c r="L225">
        <f t="shared" ref="L225:N225" si="414">E225+E272</f>
        <v>-10</v>
      </c>
      <c r="M225">
        <f t="shared" si="414"/>
        <v>-4</v>
      </c>
      <c r="N225">
        <f t="shared" si="414"/>
        <v>-1</v>
      </c>
      <c r="P225" t="str">
        <f t="shared" si="362"/>
        <v>-2, -5, -2, 0</v>
      </c>
    </row>
    <row r="226" spans="1:16" x14ac:dyDescent="0.2">
      <c r="A226">
        <f t="shared" si="353"/>
        <v>224</v>
      </c>
      <c r="B226" s="1" t="s">
        <v>266</v>
      </c>
      <c r="C226">
        <v>5</v>
      </c>
      <c r="D226">
        <v>-2</v>
      </c>
      <c r="E226" s="2">
        <v>-5</v>
      </c>
      <c r="F226">
        <v>-2</v>
      </c>
      <c r="G226">
        <v>-1</v>
      </c>
      <c r="H226">
        <f>_xlfn.XLOOKUP(I226,$B$2:$B$1096,$A$2:$A$1096,65535)</f>
        <v>65535</v>
      </c>
      <c r="I226" s="1"/>
      <c r="J226">
        <f t="shared" ref="J226:K237" si="415">C226-C273</f>
        <v>-28</v>
      </c>
      <c r="K226">
        <f t="shared" si="415"/>
        <v>-2</v>
      </c>
      <c r="L226">
        <f t="shared" ref="L226:N237" si="416">E226+E273</f>
        <v>-10</v>
      </c>
      <c r="M226">
        <f t="shared" si="416"/>
        <v>-4</v>
      </c>
      <c r="N226">
        <f t="shared" si="416"/>
        <v>-1</v>
      </c>
      <c r="P226" t="str">
        <f t="shared" si="362"/>
        <v>-2, -5, -2, -1</v>
      </c>
    </row>
    <row r="227" spans="1:16" s="7" customFormat="1" x14ac:dyDescent="0.2">
      <c r="A227">
        <f t="shared" si="353"/>
        <v>225</v>
      </c>
      <c r="B227" s="5" t="s">
        <v>1229</v>
      </c>
      <c r="C227" s="2">
        <v>4</v>
      </c>
      <c r="D227" s="7">
        <v>0</v>
      </c>
      <c r="E227" s="2">
        <v>-5</v>
      </c>
      <c r="F227">
        <v>-2</v>
      </c>
      <c r="G227" s="2">
        <v>-1</v>
      </c>
      <c r="H227">
        <f>_xlfn.XLOOKUP(I227,$B$2:$B$1096,$A$2:$A$1096,65535)</f>
        <v>65535</v>
      </c>
      <c r="J227">
        <f t="shared" si="415"/>
        <v>-30</v>
      </c>
      <c r="K227">
        <f t="shared" si="415"/>
        <v>0</v>
      </c>
      <c r="L227">
        <f t="shared" si="416"/>
        <v>-10</v>
      </c>
      <c r="M227">
        <f t="shared" si="416"/>
        <v>-4</v>
      </c>
      <c r="N227">
        <f t="shared" si="416"/>
        <v>-2</v>
      </c>
      <c r="O227"/>
      <c r="P227" t="str">
        <f t="shared" si="362"/>
        <v>0, -5, -2, -1</v>
      </c>
    </row>
    <row r="228" spans="1:16" s="4" customFormat="1" x14ac:dyDescent="0.2">
      <c r="A228">
        <f t="shared" si="353"/>
        <v>226</v>
      </c>
      <c r="B228" s="5" t="s">
        <v>1230</v>
      </c>
      <c r="C228">
        <v>4</v>
      </c>
      <c r="D228" s="4">
        <v>2</v>
      </c>
      <c r="E228">
        <v>-5</v>
      </c>
      <c r="F228">
        <v>-2</v>
      </c>
      <c r="G228">
        <v>0</v>
      </c>
      <c r="H228">
        <f>_xlfn.XLOOKUP(I228,$B$2:$B$1096,$A$2:$A$1096,65535)</f>
        <v>65535</v>
      </c>
      <c r="J228">
        <f t="shared" si="415"/>
        <v>-30</v>
      </c>
      <c r="K228">
        <f t="shared" si="415"/>
        <v>4</v>
      </c>
      <c r="L228">
        <f t="shared" si="416"/>
        <v>-10</v>
      </c>
      <c r="M228">
        <f t="shared" si="416"/>
        <v>-4</v>
      </c>
      <c r="N228">
        <f t="shared" si="416"/>
        <v>0</v>
      </c>
      <c r="O228"/>
      <c r="P228" t="str">
        <f t="shared" si="362"/>
        <v>2, -5, -2, 0</v>
      </c>
    </row>
    <row r="229" spans="1:16" s="4" customFormat="1" x14ac:dyDescent="0.2">
      <c r="A229">
        <f t="shared" si="353"/>
        <v>227</v>
      </c>
      <c r="B229" s="5" t="s">
        <v>1231</v>
      </c>
      <c r="C229">
        <v>4</v>
      </c>
      <c r="D229" s="4">
        <v>2</v>
      </c>
      <c r="E229">
        <v>-5</v>
      </c>
      <c r="F229">
        <v>-2</v>
      </c>
      <c r="G229">
        <v>-1</v>
      </c>
      <c r="H229">
        <f>_xlfn.XLOOKUP(I229,$B$2:$B$1096,$A$2:$A$1096,65535)</f>
        <v>65535</v>
      </c>
      <c r="J229">
        <f t="shared" si="415"/>
        <v>-29</v>
      </c>
      <c r="K229">
        <f t="shared" si="415"/>
        <v>4</v>
      </c>
      <c r="L229">
        <f t="shared" si="416"/>
        <v>-5</v>
      </c>
      <c r="M229">
        <f t="shared" si="416"/>
        <v>-2</v>
      </c>
      <c r="N229">
        <f t="shared" si="416"/>
        <v>-1</v>
      </c>
      <c r="O229"/>
      <c r="P229" t="str">
        <f t="shared" si="362"/>
        <v>2, -5, -2, -1</v>
      </c>
    </row>
    <row r="230" spans="1:16" s="4" customFormat="1" x14ac:dyDescent="0.2">
      <c r="A230">
        <f t="shared" si="353"/>
        <v>228</v>
      </c>
      <c r="B230" s="5" t="s">
        <v>1232</v>
      </c>
      <c r="C230">
        <v>4</v>
      </c>
      <c r="D230" s="4">
        <v>1</v>
      </c>
      <c r="E230" s="2">
        <v>-5</v>
      </c>
      <c r="F230">
        <v>-2</v>
      </c>
      <c r="G230">
        <v>0</v>
      </c>
      <c r="H230">
        <f>_xlfn.XLOOKUP(I230,$B$2:$B$1096,$A$2:$A$1096,65535)</f>
        <v>65535</v>
      </c>
      <c r="J230">
        <f t="shared" si="415"/>
        <v>4</v>
      </c>
      <c r="K230">
        <f t="shared" si="415"/>
        <v>1</v>
      </c>
      <c r="L230">
        <f t="shared" si="416"/>
        <v>-5</v>
      </c>
      <c r="M230">
        <f t="shared" si="416"/>
        <v>-2</v>
      </c>
      <c r="N230">
        <f t="shared" si="416"/>
        <v>0</v>
      </c>
      <c r="O230"/>
      <c r="P230" t="str">
        <f t="shared" si="362"/>
        <v>1, -5, -2, 0</v>
      </c>
    </row>
    <row r="231" spans="1:16" s="4" customFormat="1" x14ac:dyDescent="0.2">
      <c r="A231">
        <f t="shared" si="353"/>
        <v>229</v>
      </c>
      <c r="B231" s="5" t="s">
        <v>1233</v>
      </c>
      <c r="C231">
        <v>4</v>
      </c>
      <c r="D231" s="4">
        <v>0</v>
      </c>
      <c r="E231">
        <v>-5</v>
      </c>
      <c r="F231">
        <v>-3</v>
      </c>
      <c r="G231">
        <v>-1</v>
      </c>
      <c r="H231">
        <f>_xlfn.XLOOKUP(I231,$B$2:$B$1096,$A$2:$A$1096,65535)</f>
        <v>65535</v>
      </c>
      <c r="J231">
        <f t="shared" si="415"/>
        <v>0</v>
      </c>
      <c r="K231">
        <f t="shared" si="415"/>
        <v>0</v>
      </c>
      <c r="L231">
        <f t="shared" si="416"/>
        <v>-5</v>
      </c>
      <c r="M231">
        <f t="shared" si="416"/>
        <v>-3</v>
      </c>
      <c r="N231">
        <f t="shared" si="416"/>
        <v>-1</v>
      </c>
      <c r="O231"/>
      <c r="P231" t="str">
        <f t="shared" si="362"/>
        <v>0, -5, -3, -1</v>
      </c>
    </row>
    <row r="232" spans="1:16" s="4" customFormat="1" x14ac:dyDescent="0.2">
      <c r="A232">
        <f t="shared" si="353"/>
        <v>230</v>
      </c>
      <c r="B232" s="5" t="s">
        <v>1234</v>
      </c>
      <c r="C232">
        <v>4</v>
      </c>
      <c r="D232" s="4">
        <v>0</v>
      </c>
      <c r="E232">
        <v>-5</v>
      </c>
      <c r="F232">
        <v>-3</v>
      </c>
      <c r="G232">
        <v>0</v>
      </c>
      <c r="H232">
        <f>_xlfn.XLOOKUP(I232,$B$2:$B$1096,$A$2:$A$1096,65535)</f>
        <v>65535</v>
      </c>
      <c r="J232">
        <f t="shared" si="415"/>
        <v>0</v>
      </c>
      <c r="K232">
        <f t="shared" si="415"/>
        <v>-4</v>
      </c>
      <c r="L232">
        <f t="shared" si="416"/>
        <v>-5</v>
      </c>
      <c r="M232">
        <f t="shared" si="416"/>
        <v>-3</v>
      </c>
      <c r="N232">
        <f t="shared" si="416"/>
        <v>0</v>
      </c>
      <c r="O232"/>
      <c r="P232" t="str">
        <f t="shared" si="362"/>
        <v>0, -5, -3, 0</v>
      </c>
    </row>
    <row r="233" spans="1:16" s="4" customFormat="1" x14ac:dyDescent="0.2">
      <c r="A233">
        <f t="shared" si="353"/>
        <v>231</v>
      </c>
      <c r="B233" s="5" t="s">
        <v>1235</v>
      </c>
      <c r="C233">
        <v>4</v>
      </c>
      <c r="D233" s="4">
        <v>-1</v>
      </c>
      <c r="E233">
        <v>-5</v>
      </c>
      <c r="F233">
        <v>-2</v>
      </c>
      <c r="G233">
        <v>-1</v>
      </c>
      <c r="H233">
        <f>_xlfn.XLOOKUP(I233,$B$2:$B$1096,$A$2:$A$1096,65535)</f>
        <v>65535</v>
      </c>
      <c r="J233">
        <f t="shared" si="415"/>
        <v>-30</v>
      </c>
      <c r="K233">
        <f t="shared" si="415"/>
        <v>0</v>
      </c>
      <c r="L233">
        <f t="shared" si="416"/>
        <v>-5</v>
      </c>
      <c r="M233">
        <f t="shared" si="416"/>
        <v>-2</v>
      </c>
      <c r="N233">
        <f t="shared" si="416"/>
        <v>-1</v>
      </c>
      <c r="O233"/>
      <c r="P233" t="str">
        <f t="shared" si="362"/>
        <v>-1, -5, -2, -1</v>
      </c>
    </row>
    <row r="234" spans="1:16" s="4" customFormat="1" x14ac:dyDescent="0.2">
      <c r="A234">
        <f t="shared" si="353"/>
        <v>232</v>
      </c>
      <c r="B234" s="5" t="s">
        <v>1236</v>
      </c>
      <c r="C234">
        <v>4</v>
      </c>
      <c r="D234" s="4">
        <v>-2</v>
      </c>
      <c r="E234">
        <v>-5</v>
      </c>
      <c r="F234">
        <v>-2</v>
      </c>
      <c r="G234">
        <v>0</v>
      </c>
      <c r="H234">
        <f>_xlfn.XLOOKUP(I234,$B$2:$B$1096,$A$2:$A$1096,65535)</f>
        <v>65535</v>
      </c>
      <c r="J234">
        <f t="shared" si="415"/>
        <v>-30</v>
      </c>
      <c r="K234">
        <f t="shared" si="415"/>
        <v>-3</v>
      </c>
      <c r="L234">
        <f t="shared" si="416"/>
        <v>-5</v>
      </c>
      <c r="M234">
        <f t="shared" si="416"/>
        <v>-2</v>
      </c>
      <c r="N234">
        <f t="shared" si="416"/>
        <v>0</v>
      </c>
      <c r="O234"/>
      <c r="P234" t="str">
        <f t="shared" si="362"/>
        <v>-2, -5, -2, 0</v>
      </c>
    </row>
    <row r="235" spans="1:16" s="4" customFormat="1" x14ac:dyDescent="0.2">
      <c r="A235">
        <f t="shared" si="353"/>
        <v>233</v>
      </c>
      <c r="B235" s="5" t="s">
        <v>1237</v>
      </c>
      <c r="C235">
        <v>4</v>
      </c>
      <c r="D235" s="4">
        <v>-2</v>
      </c>
      <c r="E235">
        <v>-5</v>
      </c>
      <c r="F235">
        <v>-2</v>
      </c>
      <c r="G235">
        <v>-1</v>
      </c>
      <c r="H235">
        <f>_xlfn.XLOOKUP(I235,$B$2:$B$1096,$A$2:$A$1096,65535)</f>
        <v>65535</v>
      </c>
      <c r="J235">
        <f t="shared" si="415"/>
        <v>-30</v>
      </c>
      <c r="K235">
        <f t="shared" si="415"/>
        <v>-4</v>
      </c>
      <c r="L235">
        <f t="shared" si="416"/>
        <v>-5</v>
      </c>
      <c r="M235">
        <f t="shared" si="416"/>
        <v>-2</v>
      </c>
      <c r="N235">
        <f t="shared" si="416"/>
        <v>-1</v>
      </c>
      <c r="O235"/>
      <c r="P235" t="str">
        <f t="shared" si="362"/>
        <v>-2, -5, -2, -1</v>
      </c>
    </row>
    <row r="236" spans="1:16" s="4" customFormat="1" x14ac:dyDescent="0.2">
      <c r="A236">
        <f t="shared" si="353"/>
        <v>234</v>
      </c>
      <c r="B236" s="5" t="s">
        <v>1238</v>
      </c>
      <c r="C236">
        <v>6</v>
      </c>
      <c r="D236" s="4">
        <v>-4</v>
      </c>
      <c r="E236">
        <v>-5</v>
      </c>
      <c r="F236">
        <v>-2</v>
      </c>
      <c r="G236">
        <v>0</v>
      </c>
      <c r="H236">
        <f>_xlfn.XLOOKUP(I236,$B$2:$B$1096,$A$2:$A$1096,65535)</f>
        <v>65535</v>
      </c>
      <c r="J236">
        <f t="shared" si="415"/>
        <v>-28</v>
      </c>
      <c r="K236">
        <f t="shared" si="415"/>
        <v>-5</v>
      </c>
      <c r="L236">
        <f t="shared" si="416"/>
        <v>-5</v>
      </c>
      <c r="M236">
        <f t="shared" si="416"/>
        <v>-2</v>
      </c>
      <c r="N236">
        <f t="shared" si="416"/>
        <v>0</v>
      </c>
      <c r="O236"/>
      <c r="P236" t="str">
        <f t="shared" si="362"/>
        <v>-4, -5, -2, 0</v>
      </c>
    </row>
    <row r="237" spans="1:16" s="4" customFormat="1" x14ac:dyDescent="0.2">
      <c r="A237">
        <f t="shared" si="353"/>
        <v>235</v>
      </c>
      <c r="B237" s="5" t="s">
        <v>1239</v>
      </c>
      <c r="C237">
        <v>5</v>
      </c>
      <c r="D237" s="4">
        <v>-4</v>
      </c>
      <c r="E237" s="2">
        <v>-5</v>
      </c>
      <c r="F237">
        <v>-2</v>
      </c>
      <c r="G237">
        <v>-1</v>
      </c>
      <c r="H237">
        <f>_xlfn.XLOOKUP(I237,$B$2:$B$1096,$A$2:$A$1096,65535)</f>
        <v>65535</v>
      </c>
      <c r="J237">
        <f t="shared" si="415"/>
        <v>-29</v>
      </c>
      <c r="K237">
        <f t="shared" si="415"/>
        <v>-4</v>
      </c>
      <c r="L237">
        <f t="shared" si="416"/>
        <v>-5</v>
      </c>
      <c r="M237">
        <f t="shared" si="416"/>
        <v>-2</v>
      </c>
      <c r="N237">
        <f t="shared" si="416"/>
        <v>-1</v>
      </c>
      <c r="O237"/>
      <c r="P237" t="str">
        <f t="shared" si="362"/>
        <v>-4, -5, -2, -1</v>
      </c>
    </row>
    <row r="238" spans="1:16" s="2" customFormat="1" x14ac:dyDescent="0.2">
      <c r="A238">
        <f t="shared" si="353"/>
        <v>236</v>
      </c>
      <c r="B238" s="8" t="s">
        <v>267</v>
      </c>
      <c r="C238" s="9">
        <v>4</v>
      </c>
      <c r="D238" s="9">
        <v>0</v>
      </c>
      <c r="E238" s="9">
        <v>-5</v>
      </c>
      <c r="F238">
        <v>-2</v>
      </c>
      <c r="G238" s="9">
        <v>-1</v>
      </c>
      <c r="H238">
        <f>_xlfn.XLOOKUP(I238,$B$2:$B$1096,$A$2:$A$1096,65535)</f>
        <v>65535</v>
      </c>
      <c r="I238" s="9"/>
      <c r="J238">
        <f t="shared" ref="J238:K238" si="417">C238-C274</f>
        <v>-30</v>
      </c>
      <c r="K238">
        <f t="shared" si="417"/>
        <v>0</v>
      </c>
      <c r="L238">
        <f t="shared" ref="L238:N238" si="418">E238+E274</f>
        <v>-10</v>
      </c>
      <c r="M238">
        <f t="shared" si="418"/>
        <v>-4</v>
      </c>
      <c r="N238">
        <f t="shared" si="418"/>
        <v>-2</v>
      </c>
      <c r="O238"/>
      <c r="P238" t="str">
        <f t="shared" si="362"/>
        <v>0, -5, -2, -1</v>
      </c>
    </row>
    <row r="239" spans="1:16" x14ac:dyDescent="0.2">
      <c r="A239">
        <f t="shared" si="353"/>
        <v>237</v>
      </c>
      <c r="B239" s="8" t="s">
        <v>268</v>
      </c>
      <c r="C239" s="10">
        <v>4</v>
      </c>
      <c r="D239" s="10">
        <v>2</v>
      </c>
      <c r="E239" s="10">
        <v>-5</v>
      </c>
      <c r="F239">
        <v>-2</v>
      </c>
      <c r="G239" s="10">
        <v>0</v>
      </c>
      <c r="H239">
        <f>_xlfn.XLOOKUP(I239,$B$2:$B$1096,$A$2:$A$1096,65535)</f>
        <v>65535</v>
      </c>
      <c r="I239" s="10"/>
      <c r="J239">
        <f t="shared" ref="J239:K239" si="419">C239-C275</f>
        <v>-30</v>
      </c>
      <c r="K239">
        <f t="shared" si="419"/>
        <v>4</v>
      </c>
      <c r="L239">
        <f t="shared" ref="L239:N239" si="420">E239+E275</f>
        <v>-10</v>
      </c>
      <c r="M239">
        <f t="shared" si="420"/>
        <v>-4</v>
      </c>
      <c r="N239">
        <f t="shared" si="420"/>
        <v>0</v>
      </c>
      <c r="P239" t="str">
        <f t="shared" si="362"/>
        <v>2, -5, -2, 0</v>
      </c>
    </row>
    <row r="240" spans="1:16" x14ac:dyDescent="0.2">
      <c r="A240">
        <f t="shared" si="353"/>
        <v>238</v>
      </c>
      <c r="B240" s="8" t="s">
        <v>269</v>
      </c>
      <c r="C240" s="10">
        <v>4</v>
      </c>
      <c r="D240" s="10">
        <v>1</v>
      </c>
      <c r="E240" s="10">
        <v>-5</v>
      </c>
      <c r="F240">
        <v>-2</v>
      </c>
      <c r="G240" s="10">
        <v>-1</v>
      </c>
      <c r="H240">
        <f>_xlfn.XLOOKUP(I240,$B$2:$B$1096,$A$2:$A$1096,65535)</f>
        <v>65535</v>
      </c>
      <c r="I240" s="10"/>
      <c r="J240">
        <f t="shared" ref="J240:K240" si="421">C240-C276</f>
        <v>-29</v>
      </c>
      <c r="K240">
        <f t="shared" si="421"/>
        <v>3</v>
      </c>
      <c r="L240">
        <f t="shared" ref="L240:N240" si="422">E240+E276</f>
        <v>-5</v>
      </c>
      <c r="M240">
        <f t="shared" si="422"/>
        <v>-2</v>
      </c>
      <c r="N240">
        <f t="shared" si="422"/>
        <v>-1</v>
      </c>
      <c r="P240" t="str">
        <f t="shared" si="362"/>
        <v>1, -5, -2, -1</v>
      </c>
    </row>
    <row r="241" spans="1:16" x14ac:dyDescent="0.2">
      <c r="A241">
        <f t="shared" si="353"/>
        <v>239</v>
      </c>
      <c r="B241" s="8" t="s">
        <v>270</v>
      </c>
      <c r="C241" s="10">
        <v>4</v>
      </c>
      <c r="D241" s="10">
        <v>0</v>
      </c>
      <c r="E241" s="9">
        <v>-5</v>
      </c>
      <c r="F241">
        <v>-2</v>
      </c>
      <c r="G241" s="10">
        <v>0</v>
      </c>
      <c r="H241">
        <f>_xlfn.XLOOKUP(I241,$B$2:$B$1096,$A$2:$A$1096,65535)</f>
        <v>65535</v>
      </c>
      <c r="I241" s="10"/>
      <c r="J241">
        <f t="shared" ref="J241:K241" si="423">C241-C277</f>
        <v>4</v>
      </c>
      <c r="K241">
        <f t="shared" si="423"/>
        <v>0</v>
      </c>
      <c r="L241">
        <f t="shared" ref="L241:N241" si="424">E241+E277</f>
        <v>-5</v>
      </c>
      <c r="M241">
        <f t="shared" si="424"/>
        <v>-2</v>
      </c>
      <c r="N241">
        <f t="shared" si="424"/>
        <v>0</v>
      </c>
      <c r="P241" t="str">
        <f t="shared" si="362"/>
        <v>0, -5, -2, 0</v>
      </c>
    </row>
    <row r="242" spans="1:16" x14ac:dyDescent="0.2">
      <c r="A242">
        <f t="shared" si="353"/>
        <v>240</v>
      </c>
      <c r="B242" s="8" t="s">
        <v>271</v>
      </c>
      <c r="C242" s="10">
        <v>4</v>
      </c>
      <c r="D242" s="10">
        <v>-1</v>
      </c>
      <c r="E242" s="10">
        <v>-5</v>
      </c>
      <c r="F242">
        <v>-3</v>
      </c>
      <c r="G242" s="10">
        <v>-1</v>
      </c>
      <c r="H242">
        <f>_xlfn.XLOOKUP(I242,$B$2:$B$1096,$A$2:$A$1096,65535)</f>
        <v>65535</v>
      </c>
      <c r="I242" s="10"/>
      <c r="J242">
        <f t="shared" ref="J242:K242" si="425">C242-C278</f>
        <v>0</v>
      </c>
      <c r="K242">
        <f t="shared" si="425"/>
        <v>-1</v>
      </c>
      <c r="L242">
        <f t="shared" ref="L242:N242" si="426">E242+E278</f>
        <v>-5</v>
      </c>
      <c r="M242">
        <f t="shared" si="426"/>
        <v>-3</v>
      </c>
      <c r="N242">
        <f t="shared" si="426"/>
        <v>-1</v>
      </c>
      <c r="P242" t="str">
        <f t="shared" si="362"/>
        <v>-1, -5, -3, -1</v>
      </c>
    </row>
    <row r="243" spans="1:16" x14ac:dyDescent="0.2">
      <c r="A243">
        <f t="shared" si="353"/>
        <v>241</v>
      </c>
      <c r="B243" s="8" t="s">
        <v>272</v>
      </c>
      <c r="C243" s="10">
        <v>4</v>
      </c>
      <c r="D243" s="10">
        <v>-1</v>
      </c>
      <c r="E243" s="10">
        <v>-5</v>
      </c>
      <c r="F243">
        <v>-3</v>
      </c>
      <c r="G243" s="10">
        <v>0</v>
      </c>
      <c r="H243">
        <f>_xlfn.XLOOKUP(I243,$B$2:$B$1096,$A$2:$A$1096,65535)</f>
        <v>65535</v>
      </c>
      <c r="I243" s="10"/>
      <c r="J243">
        <f t="shared" ref="J243:K243" si="427">C243-C279</f>
        <v>0</v>
      </c>
      <c r="K243">
        <f t="shared" si="427"/>
        <v>-5</v>
      </c>
      <c r="L243">
        <f t="shared" ref="L243:N243" si="428">E243+E279</f>
        <v>-5</v>
      </c>
      <c r="M243">
        <f t="shared" si="428"/>
        <v>-3</v>
      </c>
      <c r="N243">
        <f t="shared" si="428"/>
        <v>0</v>
      </c>
      <c r="P243" t="str">
        <f t="shared" si="362"/>
        <v>-1, -5, -3, 0</v>
      </c>
    </row>
    <row r="244" spans="1:16" x14ac:dyDescent="0.2">
      <c r="A244">
        <f t="shared" si="353"/>
        <v>242</v>
      </c>
      <c r="B244" s="8" t="s">
        <v>273</v>
      </c>
      <c r="C244" s="10">
        <v>4</v>
      </c>
      <c r="D244" s="10">
        <v>-2</v>
      </c>
      <c r="E244" s="10">
        <v>-5</v>
      </c>
      <c r="F244">
        <v>-2</v>
      </c>
      <c r="G244" s="10">
        <v>-1</v>
      </c>
      <c r="H244">
        <f>_xlfn.XLOOKUP(I244,$B$2:$B$1096,$A$2:$A$1096,65535)</f>
        <v>65535</v>
      </c>
      <c r="I244" s="10"/>
      <c r="J244">
        <f t="shared" ref="J244:K244" si="429">C244-C280</f>
        <v>-30</v>
      </c>
      <c r="K244">
        <f t="shared" si="429"/>
        <v>-1</v>
      </c>
      <c r="L244">
        <f t="shared" ref="L244:N244" si="430">E244+E280</f>
        <v>-5</v>
      </c>
      <c r="M244">
        <f t="shared" si="430"/>
        <v>-2</v>
      </c>
      <c r="N244">
        <f t="shared" si="430"/>
        <v>-1</v>
      </c>
      <c r="P244" t="str">
        <f t="shared" si="362"/>
        <v>-2, -5, -2, -1</v>
      </c>
    </row>
    <row r="245" spans="1:16" x14ac:dyDescent="0.2">
      <c r="A245">
        <f t="shared" si="353"/>
        <v>243</v>
      </c>
      <c r="B245" s="8" t="s">
        <v>274</v>
      </c>
      <c r="C245" s="10">
        <v>4</v>
      </c>
      <c r="D245" s="10">
        <v>-3</v>
      </c>
      <c r="E245" s="10">
        <v>-5</v>
      </c>
      <c r="F245">
        <v>-2</v>
      </c>
      <c r="G245" s="10">
        <v>0</v>
      </c>
      <c r="H245">
        <f>_xlfn.XLOOKUP(I245,$B$2:$B$1096,$A$2:$A$1096,65535)</f>
        <v>65535</v>
      </c>
      <c r="I245" s="10"/>
      <c r="J245">
        <f t="shared" ref="J245:K245" si="431">C245-C281</f>
        <v>-30</v>
      </c>
      <c r="K245">
        <f t="shared" si="431"/>
        <v>-4</v>
      </c>
      <c r="L245">
        <f t="shared" ref="L245:N245" si="432">E245+E281</f>
        <v>-5</v>
      </c>
      <c r="M245">
        <f t="shared" si="432"/>
        <v>-2</v>
      </c>
      <c r="N245">
        <f t="shared" si="432"/>
        <v>0</v>
      </c>
      <c r="P245" t="str">
        <f t="shared" si="362"/>
        <v>-3, -5, -2, 0</v>
      </c>
    </row>
    <row r="246" spans="1:16" x14ac:dyDescent="0.2">
      <c r="A246">
        <f t="shared" si="353"/>
        <v>244</v>
      </c>
      <c r="B246" s="8" t="s">
        <v>275</v>
      </c>
      <c r="C246" s="10">
        <v>5</v>
      </c>
      <c r="D246" s="10">
        <v>-4</v>
      </c>
      <c r="E246" s="10">
        <v>-5</v>
      </c>
      <c r="F246">
        <v>-2</v>
      </c>
      <c r="G246" s="10">
        <v>-1</v>
      </c>
      <c r="H246">
        <f>_xlfn.XLOOKUP(I246,$B$2:$B$1096,$A$2:$A$1096,65535)</f>
        <v>65535</v>
      </c>
      <c r="I246" s="10"/>
      <c r="J246">
        <f t="shared" ref="J246:K246" si="433">C246-C282</f>
        <v>-29</v>
      </c>
      <c r="K246">
        <f t="shared" si="433"/>
        <v>-6</v>
      </c>
      <c r="L246">
        <f t="shared" ref="L246:N246" si="434">E246+E282</f>
        <v>-5</v>
      </c>
      <c r="M246">
        <f t="shared" si="434"/>
        <v>-2</v>
      </c>
      <c r="N246">
        <f t="shared" si="434"/>
        <v>-1</v>
      </c>
      <c r="P246" t="str">
        <f t="shared" si="362"/>
        <v>-4, -5, -2, -1</v>
      </c>
    </row>
    <row r="247" spans="1:16" x14ac:dyDescent="0.2">
      <c r="A247">
        <f t="shared" si="353"/>
        <v>245</v>
      </c>
      <c r="B247" s="8" t="s">
        <v>276</v>
      </c>
      <c r="C247" s="10">
        <v>6</v>
      </c>
      <c r="D247" s="10">
        <v>0</v>
      </c>
      <c r="E247" s="10">
        <v>-5</v>
      </c>
      <c r="F247">
        <v>-2</v>
      </c>
      <c r="G247" s="10">
        <v>0</v>
      </c>
      <c r="H247">
        <f>_xlfn.XLOOKUP(I247,$B$2:$B$1096,$A$2:$A$1096,65535)</f>
        <v>65535</v>
      </c>
      <c r="I247" s="10"/>
      <c r="J247">
        <f t="shared" ref="J247:K247" si="435">C247-C283</f>
        <v>-28</v>
      </c>
      <c r="K247">
        <f t="shared" si="435"/>
        <v>-1</v>
      </c>
      <c r="L247">
        <f t="shared" ref="L247:N247" si="436">E247+E283</f>
        <v>-5</v>
      </c>
      <c r="M247">
        <f t="shared" si="436"/>
        <v>-2</v>
      </c>
      <c r="N247">
        <f t="shared" si="436"/>
        <v>0</v>
      </c>
      <c r="P247" t="str">
        <f t="shared" si="362"/>
        <v>0, -5, -2, 0</v>
      </c>
    </row>
    <row r="248" spans="1:16" x14ac:dyDescent="0.2">
      <c r="A248">
        <f t="shared" si="353"/>
        <v>246</v>
      </c>
      <c r="B248" s="8" t="s">
        <v>277</v>
      </c>
      <c r="C248" s="10">
        <v>4</v>
      </c>
      <c r="D248" s="10">
        <v>0</v>
      </c>
      <c r="E248" s="9">
        <v>-5</v>
      </c>
      <c r="F248">
        <v>-2</v>
      </c>
      <c r="G248" s="10">
        <v>-1</v>
      </c>
      <c r="H248">
        <f>_xlfn.XLOOKUP(I248,$B$2:$B$1096,$A$2:$A$1096,65535)</f>
        <v>65535</v>
      </c>
      <c r="I248" s="10"/>
      <c r="J248">
        <f t="shared" ref="J248:K248" si="437">C248-C284</f>
        <v>-30</v>
      </c>
      <c r="K248">
        <f t="shared" si="437"/>
        <v>0</v>
      </c>
      <c r="L248">
        <f t="shared" ref="L248:N248" si="438">E248+E284</f>
        <v>-5</v>
      </c>
      <c r="M248">
        <f t="shared" si="438"/>
        <v>-2</v>
      </c>
      <c r="N248">
        <f t="shared" si="438"/>
        <v>-1</v>
      </c>
      <c r="P248" t="str">
        <f t="shared" si="362"/>
        <v>0, -5, -2, -1</v>
      </c>
    </row>
    <row r="249" spans="1:16" s="2" customFormat="1" x14ac:dyDescent="0.2">
      <c r="A249">
        <f t="shared" si="353"/>
        <v>247</v>
      </c>
      <c r="B249" s="8" t="s">
        <v>494</v>
      </c>
      <c r="C249" s="9">
        <v>4</v>
      </c>
      <c r="D249" s="9">
        <v>0</v>
      </c>
      <c r="E249" s="9">
        <v>-5</v>
      </c>
      <c r="F249">
        <v>-2</v>
      </c>
      <c r="G249" s="9">
        <v>-1</v>
      </c>
      <c r="H249">
        <f>_xlfn.XLOOKUP(I249,$B$2:$B$1096,$A$2:$A$1096,65535)</f>
        <v>65535</v>
      </c>
      <c r="I249" s="9"/>
      <c r="J249">
        <f t="shared" ref="J249:K249" si="439">C249-C285</f>
        <v>4</v>
      </c>
      <c r="K249">
        <f t="shared" si="439"/>
        <v>1</v>
      </c>
      <c r="L249">
        <f t="shared" ref="L249:N249" si="440">E249+E285</f>
        <v>-5</v>
      </c>
      <c r="M249">
        <f t="shared" si="440"/>
        <v>-2</v>
      </c>
      <c r="N249">
        <f t="shared" si="440"/>
        <v>-1</v>
      </c>
      <c r="O249"/>
      <c r="P249" t="str">
        <f t="shared" si="362"/>
        <v>0, -5, -2, -1</v>
      </c>
    </row>
    <row r="250" spans="1:16" x14ac:dyDescent="0.2">
      <c r="A250">
        <f t="shared" si="353"/>
        <v>248</v>
      </c>
      <c r="B250" s="8" t="s">
        <v>495</v>
      </c>
      <c r="C250" s="10">
        <v>4</v>
      </c>
      <c r="D250" s="10">
        <v>2</v>
      </c>
      <c r="E250" s="10">
        <v>-5</v>
      </c>
      <c r="F250">
        <v>-2</v>
      </c>
      <c r="G250" s="10">
        <v>0</v>
      </c>
      <c r="H250">
        <f>_xlfn.XLOOKUP(I250,$B$2:$B$1096,$A$2:$A$1096,65535)</f>
        <v>65535</v>
      </c>
      <c r="I250" s="10"/>
      <c r="J250">
        <f t="shared" ref="J250:K250" si="441">C250-C286</f>
        <v>4</v>
      </c>
      <c r="K250">
        <f t="shared" si="441"/>
        <v>4</v>
      </c>
      <c r="L250">
        <f t="shared" ref="L250:N250" si="442">E250+E286</f>
        <v>-5</v>
      </c>
      <c r="M250">
        <f t="shared" si="442"/>
        <v>-2</v>
      </c>
      <c r="N250">
        <f t="shared" si="442"/>
        <v>0</v>
      </c>
      <c r="P250" t="str">
        <f t="shared" si="362"/>
        <v>2, -5, -2, 0</v>
      </c>
    </row>
    <row r="251" spans="1:16" x14ac:dyDescent="0.2">
      <c r="A251">
        <f t="shared" si="353"/>
        <v>249</v>
      </c>
      <c r="B251" s="8" t="s">
        <v>496</v>
      </c>
      <c r="C251" s="10">
        <v>4</v>
      </c>
      <c r="D251" s="10">
        <v>1</v>
      </c>
      <c r="E251" s="10">
        <v>-5</v>
      </c>
      <c r="F251" s="9">
        <v>-2</v>
      </c>
      <c r="G251" s="10">
        <v>-1</v>
      </c>
      <c r="H251">
        <f>_xlfn.XLOOKUP(I251,$B$2:$B$1096,$A$2:$A$1096,65535)</f>
        <v>65535</v>
      </c>
      <c r="I251" s="10"/>
      <c r="J251">
        <f t="shared" ref="J251:K251" si="443">C251-C287</f>
        <v>4</v>
      </c>
      <c r="K251">
        <f t="shared" si="443"/>
        <v>2</v>
      </c>
      <c r="L251">
        <f t="shared" ref="L251:N251" si="444">E251+E287</f>
        <v>-5</v>
      </c>
      <c r="M251">
        <f t="shared" si="444"/>
        <v>-2</v>
      </c>
      <c r="N251">
        <f t="shared" si="444"/>
        <v>-1</v>
      </c>
      <c r="P251" t="str">
        <f t="shared" si="362"/>
        <v>1, -5, -2, -1</v>
      </c>
    </row>
    <row r="252" spans="1:16" x14ac:dyDescent="0.2">
      <c r="A252">
        <f t="shared" si="353"/>
        <v>250</v>
      </c>
      <c r="B252" s="8" t="s">
        <v>497</v>
      </c>
      <c r="C252" s="10">
        <v>4</v>
      </c>
      <c r="D252" s="10">
        <v>0</v>
      </c>
      <c r="E252" s="9">
        <v>-5</v>
      </c>
      <c r="F252" s="9">
        <v>-2</v>
      </c>
      <c r="G252" s="10">
        <v>0</v>
      </c>
      <c r="H252">
        <f>_xlfn.XLOOKUP(I252,$B$2:$B$1096,$A$2:$A$1096,65535)</f>
        <v>65535</v>
      </c>
      <c r="I252" s="10"/>
      <c r="J252">
        <f t="shared" ref="J252:K252" si="445">C252-C288</f>
        <v>4</v>
      </c>
      <c r="K252">
        <f t="shared" si="445"/>
        <v>0</v>
      </c>
      <c r="L252">
        <f t="shared" ref="L252:N252" si="446">E252+E288</f>
        <v>-5</v>
      </c>
      <c r="M252">
        <f t="shared" si="446"/>
        <v>-2</v>
      </c>
      <c r="N252">
        <f t="shared" si="446"/>
        <v>0</v>
      </c>
      <c r="P252" t="str">
        <f t="shared" si="362"/>
        <v>0, -5, -2, 0</v>
      </c>
    </row>
    <row r="253" spans="1:16" x14ac:dyDescent="0.2">
      <c r="A253">
        <f t="shared" si="353"/>
        <v>251</v>
      </c>
      <c r="B253" s="8" t="s">
        <v>498</v>
      </c>
      <c r="C253" s="10">
        <v>4</v>
      </c>
      <c r="D253" s="10">
        <v>-1</v>
      </c>
      <c r="E253" s="10">
        <v>-5</v>
      </c>
      <c r="F253" s="9">
        <v>-3</v>
      </c>
      <c r="G253" s="10">
        <v>-1</v>
      </c>
      <c r="H253">
        <f>_xlfn.XLOOKUP(I253,$B$2:$B$1096,$A$2:$A$1096,65535)</f>
        <v>65535</v>
      </c>
      <c r="I253" s="10"/>
      <c r="J253">
        <f t="shared" ref="J253:K253" si="447">C253-C289</f>
        <v>-30</v>
      </c>
      <c r="K253">
        <f t="shared" si="447"/>
        <v>-2</v>
      </c>
      <c r="L253">
        <f t="shared" ref="L253:N253" si="448">E253+E289</f>
        <v>-5</v>
      </c>
      <c r="M253">
        <f t="shared" si="448"/>
        <v>-3</v>
      </c>
      <c r="N253">
        <f t="shared" si="448"/>
        <v>-1</v>
      </c>
      <c r="P253" t="str">
        <f t="shared" si="362"/>
        <v>-1, -5, -3, -1</v>
      </c>
    </row>
    <row r="254" spans="1:16" x14ac:dyDescent="0.2">
      <c r="A254">
        <f t="shared" si="353"/>
        <v>252</v>
      </c>
      <c r="B254" s="8" t="s">
        <v>499</v>
      </c>
      <c r="C254" s="10">
        <v>4</v>
      </c>
      <c r="D254" s="10">
        <v>-1</v>
      </c>
      <c r="E254" s="10">
        <v>-5</v>
      </c>
      <c r="F254" s="9">
        <v>-3</v>
      </c>
      <c r="G254" s="10">
        <v>0</v>
      </c>
      <c r="H254">
        <f>_xlfn.XLOOKUP(I254,$B$2:$B$1096,$A$2:$A$1096,65535)</f>
        <v>65535</v>
      </c>
      <c r="I254" s="10"/>
      <c r="J254">
        <f t="shared" ref="J254:K254" si="449">C254-C290</f>
        <v>-30</v>
      </c>
      <c r="K254">
        <f t="shared" si="449"/>
        <v>-3</v>
      </c>
      <c r="L254">
        <f t="shared" ref="L254:N254" si="450">E254+E290</f>
        <v>-5</v>
      </c>
      <c r="M254">
        <f t="shared" si="450"/>
        <v>-3</v>
      </c>
      <c r="N254">
        <f t="shared" si="450"/>
        <v>0</v>
      </c>
      <c r="P254" t="str">
        <f t="shared" si="362"/>
        <v>-1, -5, -3, 0</v>
      </c>
    </row>
    <row r="255" spans="1:16" x14ac:dyDescent="0.2">
      <c r="A255">
        <f t="shared" si="353"/>
        <v>253</v>
      </c>
      <c r="B255" s="8" t="s">
        <v>500</v>
      </c>
      <c r="C255" s="10">
        <v>4</v>
      </c>
      <c r="D255" s="10">
        <v>-2</v>
      </c>
      <c r="E255" s="10">
        <v>-5</v>
      </c>
      <c r="F255" s="9">
        <v>-2</v>
      </c>
      <c r="G255" s="10">
        <v>-1</v>
      </c>
      <c r="H255">
        <f>_xlfn.XLOOKUP(I255,$B$2:$B$1096,$A$2:$A$1096,65535)</f>
        <v>65535</v>
      </c>
      <c r="I255" s="10"/>
      <c r="J255">
        <f t="shared" ref="J255:K255" si="451">C255-C291</f>
        <v>-30</v>
      </c>
      <c r="K255">
        <f t="shared" si="451"/>
        <v>-5</v>
      </c>
      <c r="L255">
        <f t="shared" ref="L255:N255" si="452">E255+E291</f>
        <v>-5</v>
      </c>
      <c r="M255">
        <f t="shared" si="452"/>
        <v>-2</v>
      </c>
      <c r="N255">
        <f t="shared" si="452"/>
        <v>-1</v>
      </c>
      <c r="P255" t="str">
        <f t="shared" si="362"/>
        <v>-2, -5, -2, -1</v>
      </c>
    </row>
    <row r="256" spans="1:16" x14ac:dyDescent="0.2">
      <c r="A256">
        <f t="shared" si="353"/>
        <v>254</v>
      </c>
      <c r="B256" s="8" t="s">
        <v>501</v>
      </c>
      <c r="C256" s="10">
        <v>4</v>
      </c>
      <c r="D256" s="10">
        <v>-3</v>
      </c>
      <c r="E256" s="10">
        <v>-5</v>
      </c>
      <c r="F256" s="9">
        <v>-2</v>
      </c>
      <c r="G256" s="10">
        <v>0</v>
      </c>
      <c r="H256">
        <f>_xlfn.XLOOKUP(I256,$B$2:$B$1096,$A$2:$A$1096,65535)</f>
        <v>65535</v>
      </c>
      <c r="I256" s="10"/>
      <c r="J256">
        <f t="shared" ref="J256:K256" si="453">C256-C292</f>
        <v>-30</v>
      </c>
      <c r="K256">
        <f t="shared" si="453"/>
        <v>-6</v>
      </c>
      <c r="L256">
        <f t="shared" ref="L256:N256" si="454">E256+E292</f>
        <v>-5</v>
      </c>
      <c r="M256">
        <f t="shared" si="454"/>
        <v>-2</v>
      </c>
      <c r="N256">
        <f t="shared" si="454"/>
        <v>0</v>
      </c>
      <c r="P256" t="str">
        <f t="shared" si="362"/>
        <v>-3, -5, -2, 0</v>
      </c>
    </row>
    <row r="257" spans="1:16" x14ac:dyDescent="0.2">
      <c r="A257">
        <f t="shared" si="353"/>
        <v>255</v>
      </c>
      <c r="B257" s="8" t="s">
        <v>502</v>
      </c>
      <c r="C257" s="10">
        <v>4</v>
      </c>
      <c r="D257" s="10">
        <v>-4</v>
      </c>
      <c r="E257" s="10">
        <v>-5</v>
      </c>
      <c r="F257" s="9">
        <v>-2</v>
      </c>
      <c r="G257" s="10">
        <v>-1</v>
      </c>
      <c r="H257">
        <f>_xlfn.XLOOKUP(I257,$B$2:$B$1096,$A$2:$A$1096,65535)</f>
        <v>65535</v>
      </c>
      <c r="I257" s="10"/>
      <c r="J257">
        <f t="shared" ref="J257:K257" si="455">C257-C293</f>
        <v>-30</v>
      </c>
      <c r="K257">
        <f t="shared" si="455"/>
        <v>-6</v>
      </c>
      <c r="L257">
        <f t="shared" ref="L257:N257" si="456">E257+E293</f>
        <v>-5</v>
      </c>
      <c r="M257">
        <f t="shared" si="456"/>
        <v>-2</v>
      </c>
      <c r="N257">
        <f t="shared" si="456"/>
        <v>-1</v>
      </c>
      <c r="P257" t="str">
        <f t="shared" si="362"/>
        <v>-4, -5, -2, -1</v>
      </c>
    </row>
    <row r="258" spans="1:16" x14ac:dyDescent="0.2">
      <c r="A258">
        <f t="shared" si="353"/>
        <v>256</v>
      </c>
      <c r="B258" s="8" t="s">
        <v>503</v>
      </c>
      <c r="C258" s="10">
        <v>6</v>
      </c>
      <c r="D258" s="10">
        <v>-4</v>
      </c>
      <c r="E258" s="10">
        <v>-5</v>
      </c>
      <c r="F258" s="9">
        <v>-2</v>
      </c>
      <c r="G258" s="10">
        <v>0</v>
      </c>
      <c r="H258">
        <f>_xlfn.XLOOKUP(I258,$B$2:$B$1096,$A$2:$A$1096,65535)</f>
        <v>65535</v>
      </c>
      <c r="I258" s="10"/>
      <c r="J258">
        <f t="shared" ref="J258:K258" si="457">C258-C294</f>
        <v>-28</v>
      </c>
      <c r="K258">
        <f t="shared" si="457"/>
        <v>-5</v>
      </c>
      <c r="L258">
        <f t="shared" ref="L258:N258" si="458">E258+E294</f>
        <v>-5</v>
      </c>
      <c r="M258">
        <f t="shared" si="458"/>
        <v>-2</v>
      </c>
      <c r="N258">
        <f t="shared" si="458"/>
        <v>0</v>
      </c>
      <c r="P258" t="str">
        <f t="shared" si="362"/>
        <v>-4, -5, -2, 0</v>
      </c>
    </row>
    <row r="259" spans="1:16" x14ac:dyDescent="0.2">
      <c r="A259">
        <f t="shared" si="353"/>
        <v>257</v>
      </c>
      <c r="B259" s="8" t="s">
        <v>504</v>
      </c>
      <c r="C259" s="10">
        <v>5</v>
      </c>
      <c r="D259" s="10">
        <v>-4</v>
      </c>
      <c r="E259" s="9">
        <v>-5</v>
      </c>
      <c r="F259" s="9">
        <v>-2</v>
      </c>
      <c r="G259" s="10">
        <v>-1</v>
      </c>
      <c r="H259">
        <f>_xlfn.XLOOKUP(I259,$B$2:$B$1096,$A$2:$A$1096,65535)</f>
        <v>65535</v>
      </c>
      <c r="I259" s="10"/>
      <c r="J259">
        <f t="shared" ref="J259:K259" si="459">C259-C295</f>
        <v>-29</v>
      </c>
      <c r="K259">
        <f t="shared" si="459"/>
        <v>-4</v>
      </c>
      <c r="L259">
        <f t="shared" ref="L259:N259" si="460">E259+E295</f>
        <v>-5</v>
      </c>
      <c r="M259">
        <f t="shared" si="460"/>
        <v>-2</v>
      </c>
      <c r="N259">
        <f t="shared" si="460"/>
        <v>-1</v>
      </c>
      <c r="P259" t="str">
        <f t="shared" si="362"/>
        <v>-4, -5, -2, -1</v>
      </c>
    </row>
    <row r="260" spans="1:16" s="4" customFormat="1" x14ac:dyDescent="0.2">
      <c r="A260">
        <f t="shared" si="353"/>
        <v>258</v>
      </c>
      <c r="B260" s="5" t="s">
        <v>91</v>
      </c>
      <c r="C260" s="4">
        <v>4</v>
      </c>
      <c r="D260" s="4">
        <v>0</v>
      </c>
      <c r="E260" s="4">
        <v>-5</v>
      </c>
      <c r="F260" s="4">
        <v>-2</v>
      </c>
      <c r="G260" s="4">
        <v>0</v>
      </c>
      <c r="H260">
        <f>_xlfn.XLOOKUP(I260,$B$2:$B$1096,$A$2:$A$1096,65535)</f>
        <v>65535</v>
      </c>
      <c r="J260">
        <f t="shared" ref="J260:K260" si="461">C260-C296</f>
        <v>4</v>
      </c>
      <c r="K260">
        <f t="shared" si="461"/>
        <v>1</v>
      </c>
      <c r="L260">
        <f t="shared" ref="L260:N260" si="462">E260+E296</f>
        <v>-5</v>
      </c>
      <c r="M260">
        <f t="shared" si="462"/>
        <v>-2</v>
      </c>
      <c r="N260">
        <f t="shared" si="462"/>
        <v>0</v>
      </c>
      <c r="O260"/>
      <c r="P260" t="str">
        <f t="shared" si="362"/>
        <v>0, -5, -2, 0</v>
      </c>
    </row>
    <row r="261" spans="1:16" s="4" customFormat="1" x14ac:dyDescent="0.2">
      <c r="A261">
        <f t="shared" si="353"/>
        <v>259</v>
      </c>
      <c r="B261" s="5" t="s">
        <v>92</v>
      </c>
      <c r="C261" s="4">
        <v>4</v>
      </c>
      <c r="D261" s="4">
        <v>4</v>
      </c>
      <c r="E261" s="4">
        <v>-5</v>
      </c>
      <c r="F261" s="4">
        <v>-2</v>
      </c>
      <c r="G261" s="4">
        <v>0</v>
      </c>
      <c r="H261">
        <f>_xlfn.XLOOKUP(I261,$B$2:$B$1096,$A$2:$A$1096,65535)</f>
        <v>65535</v>
      </c>
      <c r="J261">
        <f t="shared" ref="J261:K261" si="463">C261-C297</f>
        <v>4</v>
      </c>
      <c r="K261">
        <f t="shared" si="463"/>
        <v>6</v>
      </c>
      <c r="L261">
        <f t="shared" ref="L261:N261" si="464">E261+E297</f>
        <v>-5</v>
      </c>
      <c r="M261">
        <f t="shared" si="464"/>
        <v>-2</v>
      </c>
      <c r="N261">
        <f t="shared" si="464"/>
        <v>0</v>
      </c>
      <c r="O261"/>
      <c r="P261" t="str">
        <f t="shared" si="362"/>
        <v>4, -5, -2, 0</v>
      </c>
    </row>
    <row r="262" spans="1:16" s="4" customFormat="1" x14ac:dyDescent="0.2">
      <c r="A262">
        <f t="shared" si="353"/>
        <v>260</v>
      </c>
      <c r="B262" s="5" t="s">
        <v>93</v>
      </c>
      <c r="C262" s="4">
        <v>4</v>
      </c>
      <c r="D262" s="4">
        <v>3</v>
      </c>
      <c r="E262" s="4">
        <v>-5</v>
      </c>
      <c r="F262" s="4">
        <v>-1</v>
      </c>
      <c r="G262" s="4">
        <v>-1</v>
      </c>
      <c r="H262">
        <f>_xlfn.XLOOKUP(I262,$B$2:$B$1096,$A$2:$A$1096,65535)</f>
        <v>65535</v>
      </c>
      <c r="J262">
        <f t="shared" ref="J262:K262" si="465">C262-C298</f>
        <v>4</v>
      </c>
      <c r="K262">
        <f t="shared" si="465"/>
        <v>6</v>
      </c>
      <c r="L262">
        <f t="shared" ref="L262:N262" si="466">E262+E298</f>
        <v>-5</v>
      </c>
      <c r="M262">
        <f t="shared" si="466"/>
        <v>-1</v>
      </c>
      <c r="N262">
        <f t="shared" si="466"/>
        <v>-1</v>
      </c>
      <c r="O262"/>
      <c r="P262" t="str">
        <f t="shared" si="362"/>
        <v>3, -5, -1, -1</v>
      </c>
    </row>
    <row r="263" spans="1:16" s="4" customFormat="1" x14ac:dyDescent="0.2">
      <c r="A263">
        <f t="shared" si="353"/>
        <v>261</v>
      </c>
      <c r="B263" s="5" t="s">
        <v>94</v>
      </c>
      <c r="C263" s="4">
        <v>6</v>
      </c>
      <c r="D263" s="4">
        <v>2</v>
      </c>
      <c r="E263" s="4">
        <v>-5</v>
      </c>
      <c r="F263" s="4">
        <v>-1</v>
      </c>
      <c r="G263" s="4">
        <v>0</v>
      </c>
      <c r="H263">
        <f>_xlfn.XLOOKUP(I263,$B$2:$B$1096,$A$2:$A$1096,65535)</f>
        <v>65535</v>
      </c>
      <c r="J263">
        <f t="shared" ref="J263:K263" si="467">C263-C299</f>
        <v>6</v>
      </c>
      <c r="K263">
        <f t="shared" si="467"/>
        <v>5</v>
      </c>
      <c r="L263">
        <f t="shared" ref="L263:N263" si="468">E263+E299</f>
        <v>-5</v>
      </c>
      <c r="M263">
        <f t="shared" si="468"/>
        <v>-1</v>
      </c>
      <c r="N263">
        <f t="shared" si="468"/>
        <v>0</v>
      </c>
      <c r="O263"/>
      <c r="P263" t="str">
        <f t="shared" si="362"/>
        <v>2, -5, -1, 0</v>
      </c>
    </row>
    <row r="264" spans="1:16" s="4" customFormat="1" x14ac:dyDescent="0.2">
      <c r="A264">
        <f t="shared" si="353"/>
        <v>262</v>
      </c>
      <c r="B264" s="5" t="s">
        <v>95</v>
      </c>
      <c r="C264" s="4">
        <v>5</v>
      </c>
      <c r="D264" s="4">
        <v>-1</v>
      </c>
      <c r="E264" s="4">
        <v>0</v>
      </c>
      <c r="F264" s="4">
        <v>0</v>
      </c>
      <c r="G264" s="4">
        <v>0</v>
      </c>
      <c r="H264">
        <f>_xlfn.XLOOKUP(I264,$B$2:$B$1096,$A$2:$A$1096,65535)</f>
        <v>129</v>
      </c>
      <c r="I264" s="5" t="s">
        <v>60</v>
      </c>
      <c r="J264">
        <f t="shared" ref="J264:K264" si="469">C264-C300</f>
        <v>5</v>
      </c>
      <c r="K264">
        <f t="shared" si="469"/>
        <v>1</v>
      </c>
      <c r="L264">
        <f t="shared" ref="L264:N264" si="470">E264+E300</f>
        <v>0</v>
      </c>
      <c r="M264">
        <f t="shared" si="470"/>
        <v>0</v>
      </c>
      <c r="N264">
        <f t="shared" si="470"/>
        <v>0</v>
      </c>
      <c r="O264"/>
      <c r="P264" t="str">
        <f t="shared" si="362"/>
        <v>-1, 0, 0, 0</v>
      </c>
    </row>
    <row r="265" spans="1:16" s="2" customFormat="1" x14ac:dyDescent="0.2">
      <c r="A265">
        <f t="shared" si="353"/>
        <v>263</v>
      </c>
      <c r="B265" s="8" t="s">
        <v>300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>
        <f>_xlfn.XLOOKUP(I265,$B$2:$B$1096,$A$2:$A$1096,65535)</f>
        <v>65535</v>
      </c>
      <c r="I265" s="9"/>
      <c r="J265">
        <f t="shared" ref="J265:K265" si="471">C265-C301</f>
        <v>0</v>
      </c>
      <c r="K265">
        <f t="shared" si="471"/>
        <v>1</v>
      </c>
      <c r="L265">
        <f t="shared" ref="L265:N265" si="472">E265+E301</f>
        <v>0</v>
      </c>
      <c r="M265">
        <f t="shared" si="472"/>
        <v>0</v>
      </c>
      <c r="N265">
        <f t="shared" si="472"/>
        <v>0</v>
      </c>
      <c r="O265"/>
      <c r="P265" t="str">
        <f t="shared" si="362"/>
        <v>0, 0, 0, 0</v>
      </c>
    </row>
    <row r="266" spans="1:16" x14ac:dyDescent="0.2">
      <c r="A266">
        <f t="shared" si="353"/>
        <v>264</v>
      </c>
      <c r="B266" s="8" t="s">
        <v>301</v>
      </c>
      <c r="C266" s="10">
        <v>32</v>
      </c>
      <c r="D266" s="10">
        <v>2</v>
      </c>
      <c r="E266" s="10">
        <v>0</v>
      </c>
      <c r="F266" s="9">
        <v>0</v>
      </c>
      <c r="G266" s="10">
        <v>0</v>
      </c>
      <c r="H266">
        <f>_xlfn.XLOOKUP(I266,$B$2:$B$1096,$A$2:$A$1096,65535)</f>
        <v>65535</v>
      </c>
      <c r="I266" s="10"/>
      <c r="J266">
        <f t="shared" ref="J266:K266" si="473">C266-C302</f>
        <v>32</v>
      </c>
      <c r="K266">
        <f t="shared" si="473"/>
        <v>2</v>
      </c>
      <c r="L266">
        <f t="shared" ref="L266:N266" si="474">E266+E302</f>
        <v>0</v>
      </c>
      <c r="M266">
        <f t="shared" si="474"/>
        <v>0</v>
      </c>
      <c r="N266">
        <f t="shared" si="474"/>
        <v>0</v>
      </c>
      <c r="P266" t="str">
        <f t="shared" si="362"/>
        <v>2, 0, 0, 0</v>
      </c>
    </row>
    <row r="267" spans="1:16" x14ac:dyDescent="0.2">
      <c r="A267">
        <f t="shared" si="353"/>
        <v>265</v>
      </c>
      <c r="B267" s="8" t="s">
        <v>302</v>
      </c>
      <c r="C267" s="10">
        <v>33</v>
      </c>
      <c r="D267" s="10">
        <v>2</v>
      </c>
      <c r="E267" s="10">
        <v>0</v>
      </c>
      <c r="F267" s="9">
        <v>0</v>
      </c>
      <c r="G267" s="10">
        <v>0</v>
      </c>
      <c r="H267">
        <f>_xlfn.XLOOKUP(I267,$B$2:$B$1096,$A$2:$A$1096,65535)</f>
        <v>65535</v>
      </c>
      <c r="I267" s="10"/>
      <c r="J267">
        <f t="shared" ref="J267:K267" si="475">C267-C303</f>
        <v>-1</v>
      </c>
      <c r="K267">
        <f t="shared" si="475"/>
        <v>1</v>
      </c>
      <c r="L267">
        <f t="shared" ref="L267:N267" si="476">E267+E303</f>
        <v>0</v>
      </c>
      <c r="M267">
        <f t="shared" si="476"/>
        <v>0</v>
      </c>
      <c r="N267">
        <f t="shared" si="476"/>
        <v>0</v>
      </c>
      <c r="P267" t="str">
        <f t="shared" si="362"/>
        <v>2, 0, 0, 0</v>
      </c>
    </row>
    <row r="268" spans="1:16" x14ac:dyDescent="0.2">
      <c r="A268">
        <f t="shared" si="353"/>
        <v>266</v>
      </c>
      <c r="B268" s="8" t="s">
        <v>303</v>
      </c>
      <c r="C268" s="10">
        <v>34</v>
      </c>
      <c r="D268" s="10">
        <v>0</v>
      </c>
      <c r="E268" s="9">
        <v>-5</v>
      </c>
      <c r="F268" s="9">
        <v>-2</v>
      </c>
      <c r="G268" s="10">
        <v>0</v>
      </c>
      <c r="H268">
        <f>_xlfn.XLOOKUP(I268,$B$2:$B$1096,$A$2:$A$1096,65535)</f>
        <v>65535</v>
      </c>
      <c r="I268" s="10"/>
      <c r="J268">
        <f t="shared" ref="J268:K268" si="477">C268-C304</f>
        <v>0</v>
      </c>
      <c r="K268">
        <f t="shared" si="477"/>
        <v>-2</v>
      </c>
      <c r="L268">
        <f t="shared" ref="L268:N268" si="478">E268+E304</f>
        <v>-5</v>
      </c>
      <c r="M268">
        <f t="shared" si="478"/>
        <v>-2</v>
      </c>
      <c r="N268">
        <f t="shared" si="478"/>
        <v>0</v>
      </c>
      <c r="P268" t="str">
        <f t="shared" si="362"/>
        <v>0, -5, -2, 0</v>
      </c>
    </row>
    <row r="269" spans="1:16" x14ac:dyDescent="0.2">
      <c r="A269">
        <f t="shared" si="353"/>
        <v>267</v>
      </c>
      <c r="B269" s="8" t="s">
        <v>304</v>
      </c>
      <c r="C269" s="10">
        <v>32</v>
      </c>
      <c r="D269" s="10">
        <v>0</v>
      </c>
      <c r="E269" s="10">
        <v>-5</v>
      </c>
      <c r="F269" s="9">
        <v>-2</v>
      </c>
      <c r="G269" s="10">
        <v>-1</v>
      </c>
      <c r="H269">
        <f>_xlfn.XLOOKUP(I269,$B$2:$B$1096,$A$2:$A$1096,65535)</f>
        <v>65535</v>
      </c>
      <c r="I269" s="10"/>
      <c r="J269">
        <f t="shared" ref="J269:K269" si="479">C269-C305</f>
        <v>-2</v>
      </c>
      <c r="K269">
        <f t="shared" si="479"/>
        <v>-3</v>
      </c>
      <c r="L269">
        <f t="shared" ref="L269:N269" si="480">E269+E305</f>
        <v>-5</v>
      </c>
      <c r="M269">
        <f t="shared" si="480"/>
        <v>-2</v>
      </c>
      <c r="N269">
        <f t="shared" si="480"/>
        <v>-1</v>
      </c>
      <c r="P269" t="str">
        <f t="shared" si="362"/>
        <v>0, -5, -2, -1</v>
      </c>
    </row>
    <row r="270" spans="1:16" x14ac:dyDescent="0.2">
      <c r="A270">
        <f t="shared" si="353"/>
        <v>268</v>
      </c>
      <c r="B270" s="8" t="s">
        <v>305</v>
      </c>
      <c r="C270" s="10">
        <v>33</v>
      </c>
      <c r="D270" s="10">
        <v>0</v>
      </c>
      <c r="E270" s="10">
        <v>-5</v>
      </c>
      <c r="F270" s="9">
        <v>-2</v>
      </c>
      <c r="G270" s="10">
        <v>0</v>
      </c>
      <c r="H270">
        <f>_xlfn.XLOOKUP(I270,$B$2:$B$1096,$A$2:$A$1096,65535)</f>
        <v>65535</v>
      </c>
      <c r="I270" s="10"/>
      <c r="J270">
        <f t="shared" ref="J270:K270" si="481">C270-C306</f>
        <v>-1</v>
      </c>
      <c r="K270">
        <f t="shared" si="481"/>
        <v>-3</v>
      </c>
      <c r="L270">
        <f t="shared" ref="L270:N270" si="482">E270+E306</f>
        <v>-5</v>
      </c>
      <c r="M270">
        <f t="shared" si="482"/>
        <v>-2</v>
      </c>
      <c r="N270">
        <f t="shared" si="482"/>
        <v>0</v>
      </c>
      <c r="P270" t="str">
        <f t="shared" si="362"/>
        <v>0, -5, -2, 0</v>
      </c>
    </row>
    <row r="271" spans="1:16" x14ac:dyDescent="0.2">
      <c r="A271">
        <f t="shared" ref="A271:A334" si="483">A270+1</f>
        <v>269</v>
      </c>
      <c r="B271" s="8" t="s">
        <v>306</v>
      </c>
      <c r="C271" s="10">
        <v>34</v>
      </c>
      <c r="D271" s="10">
        <v>0</v>
      </c>
      <c r="E271" s="10">
        <v>-5</v>
      </c>
      <c r="F271" s="9">
        <v>-2</v>
      </c>
      <c r="G271" s="10">
        <v>-1</v>
      </c>
      <c r="H271">
        <f>_xlfn.XLOOKUP(I271,$B$2:$B$1096,$A$2:$A$1096,65535)</f>
        <v>65535</v>
      </c>
      <c r="I271" s="10"/>
      <c r="J271">
        <f t="shared" ref="J271:K271" si="484">C271-C307</f>
        <v>0</v>
      </c>
      <c r="K271">
        <f t="shared" si="484"/>
        <v>-4</v>
      </c>
      <c r="L271">
        <f t="shared" ref="L271:N271" si="485">E271+E307</f>
        <v>-5</v>
      </c>
      <c r="M271">
        <f t="shared" si="485"/>
        <v>-2</v>
      </c>
      <c r="N271">
        <f t="shared" si="485"/>
        <v>-1</v>
      </c>
      <c r="P271" t="str">
        <f t="shared" si="362"/>
        <v>0, -5, -2, -1</v>
      </c>
    </row>
    <row r="272" spans="1:16" s="2" customFormat="1" x14ac:dyDescent="0.2">
      <c r="A272">
        <f t="shared" si="483"/>
        <v>270</v>
      </c>
      <c r="B272" s="8" t="s">
        <v>307</v>
      </c>
      <c r="C272" s="9">
        <v>32</v>
      </c>
      <c r="D272" s="9">
        <v>0</v>
      </c>
      <c r="E272" s="9">
        <v>-5</v>
      </c>
      <c r="F272" s="9">
        <v>-2</v>
      </c>
      <c r="G272" s="9">
        <v>-1</v>
      </c>
      <c r="H272">
        <f>_xlfn.XLOOKUP(I272,$B$2:$B$1096,$A$2:$A$1096,65535)</f>
        <v>65535</v>
      </c>
      <c r="I272" s="9"/>
      <c r="J272" t="e">
        <f>C272-#REF!</f>
        <v>#REF!</v>
      </c>
      <c r="K272" t="e">
        <f>D272-#REF!</f>
        <v>#REF!</v>
      </c>
      <c r="L272" t="e">
        <f>E272+#REF!</f>
        <v>#REF!</v>
      </c>
      <c r="M272" t="e">
        <f>F272+#REF!</f>
        <v>#REF!</v>
      </c>
      <c r="N272" t="e">
        <f>G272+#REF!</f>
        <v>#REF!</v>
      </c>
      <c r="O272"/>
      <c r="P272" t="str">
        <f t="shared" si="362"/>
        <v>0, -5, -2, -1</v>
      </c>
    </row>
    <row r="273" spans="1:16" x14ac:dyDescent="0.2">
      <c r="A273">
        <f t="shared" si="483"/>
        <v>271</v>
      </c>
      <c r="B273" s="8" t="s">
        <v>308</v>
      </c>
      <c r="C273" s="10">
        <v>33</v>
      </c>
      <c r="D273" s="10">
        <v>0</v>
      </c>
      <c r="E273" s="10">
        <v>-5</v>
      </c>
      <c r="F273" s="9">
        <v>-2</v>
      </c>
      <c r="G273" s="10">
        <v>0</v>
      </c>
      <c r="H273">
        <f>_xlfn.XLOOKUP(I273,$B$2:$B$1096,$A$2:$A$1096,65535)</f>
        <v>65535</v>
      </c>
      <c r="I273" s="10"/>
      <c r="J273" t="e">
        <f>C273-#REF!</f>
        <v>#REF!</v>
      </c>
      <c r="K273" t="e">
        <f>D273-#REF!</f>
        <v>#REF!</v>
      </c>
      <c r="L273" t="e">
        <f>E273+#REF!</f>
        <v>#REF!</v>
      </c>
      <c r="M273" t="e">
        <f>F273+#REF!</f>
        <v>#REF!</v>
      </c>
      <c r="N273" t="e">
        <f>G273+#REF!</f>
        <v>#REF!</v>
      </c>
      <c r="P273" t="str">
        <f t="shared" si="362"/>
        <v>0, -5, -2, 0</v>
      </c>
    </row>
    <row r="274" spans="1:16" x14ac:dyDescent="0.2">
      <c r="A274">
        <f t="shared" si="483"/>
        <v>272</v>
      </c>
      <c r="B274" s="8" t="s">
        <v>309</v>
      </c>
      <c r="C274" s="10">
        <v>34</v>
      </c>
      <c r="D274" s="10">
        <v>0</v>
      </c>
      <c r="E274" s="10">
        <v>-5</v>
      </c>
      <c r="F274" s="9">
        <v>-2</v>
      </c>
      <c r="G274" s="10">
        <v>-1</v>
      </c>
      <c r="H274">
        <f>_xlfn.XLOOKUP(I274,$B$2:$B$1096,$A$2:$A$1096,65535)</f>
        <v>65535</v>
      </c>
      <c r="I274" s="10"/>
      <c r="J274">
        <f>C274-C308</f>
        <v>0</v>
      </c>
      <c r="K274">
        <f>D274-D308</f>
        <v>-4</v>
      </c>
      <c r="L274">
        <f t="shared" ref="L274:N275" si="486">E274+E308</f>
        <v>-5</v>
      </c>
      <c r="M274">
        <f t="shared" si="486"/>
        <v>-2</v>
      </c>
      <c r="N274">
        <f t="shared" si="486"/>
        <v>-1</v>
      </c>
      <c r="P274" t="str">
        <f t="shared" ref="P274:P369" si="487">_xlfn.CONCAT(D274,", ",E274,", ",F274,", ",G274)</f>
        <v>0, -5, -2, -1</v>
      </c>
    </row>
    <row r="275" spans="1:16" x14ac:dyDescent="0.2">
      <c r="A275">
        <f t="shared" si="483"/>
        <v>273</v>
      </c>
      <c r="B275" s="8" t="s">
        <v>310</v>
      </c>
      <c r="C275" s="10">
        <v>34</v>
      </c>
      <c r="D275" s="10">
        <v>-2</v>
      </c>
      <c r="E275" s="9">
        <v>-5</v>
      </c>
      <c r="F275" s="9">
        <v>-2</v>
      </c>
      <c r="G275" s="10">
        <v>0</v>
      </c>
      <c r="H275">
        <f>_xlfn.XLOOKUP(I275,$B$2:$B$1096,$A$2:$A$1096,65535)</f>
        <v>65535</v>
      </c>
      <c r="I275" s="10"/>
      <c r="J275">
        <f>C275-C309</f>
        <v>0</v>
      </c>
      <c r="K275">
        <f>D275-D309</f>
        <v>-2</v>
      </c>
      <c r="L275">
        <f t="shared" si="486"/>
        <v>-5</v>
      </c>
      <c r="M275">
        <f t="shared" si="486"/>
        <v>-2</v>
      </c>
      <c r="N275">
        <f t="shared" si="486"/>
        <v>0</v>
      </c>
      <c r="P275" t="str">
        <f t="shared" si="487"/>
        <v>-2, -5, -2, 0</v>
      </c>
    </row>
    <row r="276" spans="1:16" x14ac:dyDescent="0.2">
      <c r="A276">
        <f t="shared" si="483"/>
        <v>274</v>
      </c>
      <c r="B276" s="8" t="s">
        <v>311</v>
      </c>
      <c r="C276" s="10">
        <v>33</v>
      </c>
      <c r="D276" s="10">
        <v>-2</v>
      </c>
      <c r="E276" s="10">
        <v>0</v>
      </c>
      <c r="F276" s="9">
        <v>0</v>
      </c>
      <c r="G276" s="10">
        <v>0</v>
      </c>
      <c r="H276">
        <f>_xlfn.XLOOKUP(I276,$B$2:$B$1096,$A$2:$A$1096,65535)</f>
        <v>65535</v>
      </c>
      <c r="I276" s="10"/>
      <c r="J276">
        <f t="shared" ref="J276:J307" si="488">C276-C344</f>
        <v>28</v>
      </c>
      <c r="K276">
        <f t="shared" ref="K276:K307" si="489">D276-D344</f>
        <v>-2</v>
      </c>
      <c r="L276">
        <f t="shared" ref="L276:L307" si="490">E276+E344</f>
        <v>-5</v>
      </c>
      <c r="M276">
        <f t="shared" ref="M276:M307" si="491">F276+F344</f>
        <v>-2</v>
      </c>
      <c r="N276">
        <f t="shared" ref="N276:N307" si="492">G276+G344</f>
        <v>-1</v>
      </c>
      <c r="P276" t="str">
        <f t="shared" si="487"/>
        <v>-2, 0, 0, 0</v>
      </c>
    </row>
    <row r="277" spans="1:16" x14ac:dyDescent="0.2">
      <c r="A277">
        <f t="shared" si="483"/>
        <v>275</v>
      </c>
      <c r="B277" s="8" t="s">
        <v>312</v>
      </c>
      <c r="C277" s="10">
        <v>0</v>
      </c>
      <c r="D277" s="10">
        <v>0</v>
      </c>
      <c r="E277" s="10">
        <v>0</v>
      </c>
      <c r="F277" s="9">
        <v>0</v>
      </c>
      <c r="G277" s="10">
        <v>0</v>
      </c>
      <c r="H277">
        <f>_xlfn.XLOOKUP(I277,$B$2:$B$1096,$A$2:$A$1096,65535)</f>
        <v>129</v>
      </c>
      <c r="I277" s="5" t="s">
        <v>60</v>
      </c>
      <c r="J277">
        <f t="shared" si="488"/>
        <v>-4</v>
      </c>
      <c r="K277">
        <f t="shared" si="489"/>
        <v>0</v>
      </c>
      <c r="L277">
        <f t="shared" si="490"/>
        <v>-5</v>
      </c>
      <c r="M277">
        <f t="shared" si="491"/>
        <v>-2</v>
      </c>
      <c r="N277">
        <f t="shared" si="492"/>
        <v>-1</v>
      </c>
      <c r="P277" t="str">
        <f t="shared" si="487"/>
        <v>0, 0, 0, 0</v>
      </c>
    </row>
    <row r="278" spans="1:16" x14ac:dyDescent="0.2">
      <c r="A278">
        <f t="shared" si="483"/>
        <v>276</v>
      </c>
      <c r="B278" s="1" t="s">
        <v>1182</v>
      </c>
      <c r="C278" s="2">
        <v>4</v>
      </c>
      <c r="D278" s="2">
        <v>0</v>
      </c>
      <c r="E278" s="2">
        <v>0</v>
      </c>
      <c r="F278" s="2">
        <v>0</v>
      </c>
      <c r="G278" s="2">
        <v>0</v>
      </c>
      <c r="H278">
        <f>_xlfn.XLOOKUP(I278,$B$2:$B$1096,$A$2:$A$1096,65535)</f>
        <v>65535</v>
      </c>
      <c r="I278" s="2"/>
      <c r="J278">
        <f t="shared" si="488"/>
        <v>-1</v>
      </c>
      <c r="K278">
        <f t="shared" si="489"/>
        <v>0</v>
      </c>
      <c r="L278">
        <f t="shared" si="490"/>
        <v>-5</v>
      </c>
      <c r="M278">
        <f t="shared" si="491"/>
        <v>-2</v>
      </c>
      <c r="N278">
        <f t="shared" si="492"/>
        <v>-1</v>
      </c>
      <c r="P278" t="str">
        <f t="shared" si="487"/>
        <v>0, 0, 0, 0</v>
      </c>
    </row>
    <row r="279" spans="1:16" x14ac:dyDescent="0.2">
      <c r="A279">
        <f t="shared" si="483"/>
        <v>277</v>
      </c>
      <c r="B279" s="1" t="s">
        <v>1183</v>
      </c>
      <c r="C279">
        <v>4</v>
      </c>
      <c r="D279">
        <v>4</v>
      </c>
      <c r="E279">
        <v>0</v>
      </c>
      <c r="F279">
        <v>0</v>
      </c>
      <c r="G279">
        <v>0</v>
      </c>
      <c r="H279">
        <f>_xlfn.XLOOKUP(I279,$B$2:$B$1096,$A$2:$A$1096,65535)</f>
        <v>65535</v>
      </c>
      <c r="J279">
        <f t="shared" si="488"/>
        <v>-2</v>
      </c>
      <c r="K279">
        <f t="shared" si="489"/>
        <v>4</v>
      </c>
      <c r="L279">
        <f t="shared" si="490"/>
        <v>-5</v>
      </c>
      <c r="M279">
        <f t="shared" si="491"/>
        <v>-2</v>
      </c>
      <c r="N279">
        <f t="shared" si="492"/>
        <v>-1</v>
      </c>
      <c r="P279" t="str">
        <f t="shared" si="487"/>
        <v>4, 0, 0, 0</v>
      </c>
    </row>
    <row r="280" spans="1:16" x14ac:dyDescent="0.2">
      <c r="A280">
        <f t="shared" si="483"/>
        <v>278</v>
      </c>
      <c r="B280" s="1" t="s">
        <v>1184</v>
      </c>
      <c r="C280">
        <v>34</v>
      </c>
      <c r="D280">
        <v>-1</v>
      </c>
      <c r="E280">
        <v>0</v>
      </c>
      <c r="F280">
        <v>0</v>
      </c>
      <c r="G280">
        <v>0</v>
      </c>
      <c r="H280">
        <f>_xlfn.XLOOKUP(I280,$B$2:$B$1096,$A$2:$A$1096,65535)</f>
        <v>65535</v>
      </c>
      <c r="J280">
        <f t="shared" si="488"/>
        <v>29</v>
      </c>
      <c r="K280">
        <f t="shared" si="489"/>
        <v>2</v>
      </c>
      <c r="L280">
        <f t="shared" si="490"/>
        <v>0</v>
      </c>
      <c r="M280">
        <f t="shared" si="491"/>
        <v>0</v>
      </c>
      <c r="N280">
        <f t="shared" si="492"/>
        <v>0</v>
      </c>
      <c r="P280" t="str">
        <f t="shared" si="487"/>
        <v>-1, 0, 0, 0</v>
      </c>
    </row>
    <row r="281" spans="1:16" x14ac:dyDescent="0.2">
      <c r="A281">
        <f t="shared" si="483"/>
        <v>279</v>
      </c>
      <c r="B281" s="1" t="s">
        <v>1185</v>
      </c>
      <c r="C281">
        <v>34</v>
      </c>
      <c r="D281">
        <v>1</v>
      </c>
      <c r="E281">
        <v>0</v>
      </c>
      <c r="F281">
        <v>0</v>
      </c>
      <c r="G281">
        <v>0</v>
      </c>
      <c r="H281">
        <f>_xlfn.XLOOKUP(I281,$B$2:$B$1096,$A$2:$A$1096,65535)</f>
        <v>65535</v>
      </c>
      <c r="J281">
        <f t="shared" si="488"/>
        <v>-2</v>
      </c>
      <c r="K281">
        <f t="shared" si="489"/>
        <v>3</v>
      </c>
      <c r="L281">
        <f t="shared" si="490"/>
        <v>-5</v>
      </c>
      <c r="M281">
        <f t="shared" si="491"/>
        <v>-2</v>
      </c>
      <c r="N281">
        <f t="shared" si="492"/>
        <v>-1</v>
      </c>
      <c r="P281" t="str">
        <f t="shared" si="487"/>
        <v>1, 0, 0, 0</v>
      </c>
    </row>
    <row r="282" spans="1:16" x14ac:dyDescent="0.2">
      <c r="A282">
        <f t="shared" si="483"/>
        <v>280</v>
      </c>
      <c r="B282" s="1" t="s">
        <v>1186</v>
      </c>
      <c r="C282">
        <v>34</v>
      </c>
      <c r="D282">
        <v>2</v>
      </c>
      <c r="E282">
        <v>0</v>
      </c>
      <c r="F282">
        <v>0</v>
      </c>
      <c r="G282">
        <v>0</v>
      </c>
      <c r="H282">
        <f>_xlfn.XLOOKUP(I282,$B$2:$B$1096,$A$2:$A$1096,65535)</f>
        <v>65535</v>
      </c>
      <c r="J282">
        <f t="shared" si="488"/>
        <v>-2</v>
      </c>
      <c r="K282">
        <f t="shared" si="489"/>
        <v>4</v>
      </c>
      <c r="L282">
        <f t="shared" si="490"/>
        <v>-5</v>
      </c>
      <c r="M282">
        <f t="shared" si="491"/>
        <v>-2</v>
      </c>
      <c r="N282">
        <f t="shared" si="492"/>
        <v>-1</v>
      </c>
      <c r="P282" t="str">
        <f t="shared" si="487"/>
        <v>2, 0, 0, 0</v>
      </c>
    </row>
    <row r="283" spans="1:16" x14ac:dyDescent="0.2">
      <c r="A283">
        <f t="shared" si="483"/>
        <v>281</v>
      </c>
      <c r="B283" s="1" t="s">
        <v>1187</v>
      </c>
      <c r="C283">
        <v>34</v>
      </c>
      <c r="D283">
        <v>1</v>
      </c>
      <c r="E283">
        <v>0</v>
      </c>
      <c r="F283">
        <v>0</v>
      </c>
      <c r="G283">
        <v>0</v>
      </c>
      <c r="H283">
        <f>_xlfn.XLOOKUP(I283,$B$2:$B$1096,$A$2:$A$1096,65535)</f>
        <v>65535</v>
      </c>
      <c r="J283">
        <f t="shared" si="488"/>
        <v>-2</v>
      </c>
      <c r="K283">
        <f t="shared" si="489"/>
        <v>3</v>
      </c>
      <c r="L283">
        <f t="shared" si="490"/>
        <v>-5</v>
      </c>
      <c r="M283">
        <f t="shared" si="491"/>
        <v>-2</v>
      </c>
      <c r="N283">
        <f t="shared" si="492"/>
        <v>-1</v>
      </c>
      <c r="P283" t="str">
        <f t="shared" si="487"/>
        <v>1, 0, 0, 0</v>
      </c>
    </row>
    <row r="284" spans="1:16" x14ac:dyDescent="0.2">
      <c r="A284">
        <f t="shared" si="483"/>
        <v>282</v>
      </c>
      <c r="B284" s="1" t="s">
        <v>1188</v>
      </c>
      <c r="C284">
        <v>34</v>
      </c>
      <c r="D284">
        <v>0</v>
      </c>
      <c r="E284">
        <v>0</v>
      </c>
      <c r="F284">
        <v>0</v>
      </c>
      <c r="G284">
        <v>0</v>
      </c>
      <c r="H284">
        <f>_xlfn.XLOOKUP(I284,$B$2:$B$1096,$A$2:$A$1096,65535)</f>
        <v>65535</v>
      </c>
      <c r="J284">
        <f t="shared" si="488"/>
        <v>-2</v>
      </c>
      <c r="K284">
        <f t="shared" si="489"/>
        <v>2</v>
      </c>
      <c r="L284">
        <f t="shared" si="490"/>
        <v>-5</v>
      </c>
      <c r="M284">
        <f t="shared" si="491"/>
        <v>-2</v>
      </c>
      <c r="N284">
        <f t="shared" si="492"/>
        <v>-1</v>
      </c>
      <c r="P284" t="str">
        <f t="shared" si="487"/>
        <v>0, 0, 0, 0</v>
      </c>
    </row>
    <row r="285" spans="1:16" x14ac:dyDescent="0.2">
      <c r="A285">
        <f t="shared" si="483"/>
        <v>283</v>
      </c>
      <c r="B285" s="1" t="s">
        <v>1189</v>
      </c>
      <c r="C285">
        <v>0</v>
      </c>
      <c r="D285">
        <v>-1</v>
      </c>
      <c r="E285">
        <v>0</v>
      </c>
      <c r="F285">
        <v>0</v>
      </c>
      <c r="G285">
        <v>0</v>
      </c>
      <c r="H285">
        <f>_xlfn.XLOOKUP(I285,$B$2:$B$1096,$A$2:$A$1096,65535)</f>
        <v>65535</v>
      </c>
      <c r="J285">
        <f t="shared" si="488"/>
        <v>-5</v>
      </c>
      <c r="K285">
        <f t="shared" si="489"/>
        <v>0</v>
      </c>
      <c r="L285">
        <f t="shared" si="490"/>
        <v>0</v>
      </c>
      <c r="M285">
        <f t="shared" si="491"/>
        <v>0</v>
      </c>
      <c r="N285">
        <f t="shared" si="492"/>
        <v>0</v>
      </c>
      <c r="P285" t="str">
        <f t="shared" si="487"/>
        <v>-1, 0, 0, 0</v>
      </c>
    </row>
    <row r="286" spans="1:16" x14ac:dyDescent="0.2">
      <c r="A286">
        <f t="shared" si="483"/>
        <v>284</v>
      </c>
      <c r="B286" s="1" t="s">
        <v>1190</v>
      </c>
      <c r="C286">
        <v>0</v>
      </c>
      <c r="D286">
        <v>-2</v>
      </c>
      <c r="E286">
        <v>0</v>
      </c>
      <c r="F286">
        <v>0</v>
      </c>
      <c r="G286">
        <v>0</v>
      </c>
      <c r="H286">
        <f>_xlfn.XLOOKUP(I286,$B$2:$B$1096,$A$2:$A$1096,65535)</f>
        <v>65535</v>
      </c>
      <c r="J286">
        <f t="shared" si="488"/>
        <v>-5</v>
      </c>
      <c r="K286">
        <f t="shared" si="489"/>
        <v>2</v>
      </c>
      <c r="L286">
        <f t="shared" si="490"/>
        <v>0</v>
      </c>
      <c r="M286">
        <f t="shared" si="491"/>
        <v>0</v>
      </c>
      <c r="N286">
        <f t="shared" si="492"/>
        <v>0</v>
      </c>
      <c r="P286" t="str">
        <f t="shared" si="487"/>
        <v>-2, 0, 0, 0</v>
      </c>
    </row>
    <row r="287" spans="1:16" x14ac:dyDescent="0.2">
      <c r="A287">
        <f t="shared" si="483"/>
        <v>285</v>
      </c>
      <c r="B287" s="1" t="s">
        <v>1191</v>
      </c>
      <c r="C287">
        <v>0</v>
      </c>
      <c r="D287">
        <v>-1</v>
      </c>
      <c r="E287">
        <v>0</v>
      </c>
      <c r="F287">
        <v>0</v>
      </c>
      <c r="G287">
        <v>0</v>
      </c>
      <c r="H287">
        <f>_xlfn.XLOOKUP(I287,$B$2:$B$1096,$A$2:$A$1096,65535)</f>
        <v>65535</v>
      </c>
      <c r="J287">
        <f t="shared" si="488"/>
        <v>-5</v>
      </c>
      <c r="K287">
        <f t="shared" si="489"/>
        <v>-1</v>
      </c>
      <c r="L287">
        <f t="shared" si="490"/>
        <v>-5</v>
      </c>
      <c r="M287">
        <f t="shared" si="491"/>
        <v>-2</v>
      </c>
      <c r="N287">
        <f t="shared" si="492"/>
        <v>-1</v>
      </c>
      <c r="P287" t="str">
        <f t="shared" si="487"/>
        <v>-1, 0, 0, 0</v>
      </c>
    </row>
    <row r="288" spans="1:16" x14ac:dyDescent="0.2">
      <c r="A288">
        <f t="shared" si="483"/>
        <v>286</v>
      </c>
      <c r="B288" s="1" t="s">
        <v>1192</v>
      </c>
      <c r="C288">
        <v>0</v>
      </c>
      <c r="D288" s="2">
        <v>0</v>
      </c>
      <c r="E288" s="2">
        <v>0</v>
      </c>
      <c r="F288" s="2">
        <v>0</v>
      </c>
      <c r="G288" s="2">
        <v>0</v>
      </c>
      <c r="H288">
        <f>_xlfn.XLOOKUP(I288,$B$2:$B$1096,$A$2:$A$1096,65535)</f>
        <v>65535</v>
      </c>
      <c r="I288" s="2"/>
      <c r="J288">
        <f t="shared" si="488"/>
        <v>-4</v>
      </c>
      <c r="K288">
        <f t="shared" si="489"/>
        <v>0</v>
      </c>
      <c r="L288">
        <f t="shared" si="490"/>
        <v>-5</v>
      </c>
      <c r="M288">
        <f t="shared" si="491"/>
        <v>-2</v>
      </c>
      <c r="N288">
        <f t="shared" si="492"/>
        <v>-1</v>
      </c>
      <c r="P288" t="str">
        <f t="shared" si="487"/>
        <v>0, 0, 0, 0</v>
      </c>
    </row>
    <row r="289" spans="1:16" x14ac:dyDescent="0.2">
      <c r="A289">
        <f t="shared" si="483"/>
        <v>287</v>
      </c>
      <c r="B289" s="1" t="s">
        <v>1193</v>
      </c>
      <c r="C289">
        <v>34</v>
      </c>
      <c r="D289">
        <v>1</v>
      </c>
      <c r="E289">
        <v>0</v>
      </c>
      <c r="F289">
        <v>0</v>
      </c>
      <c r="G289">
        <v>0</v>
      </c>
      <c r="H289">
        <f>_xlfn.XLOOKUP(I289,$B$2:$B$1096,$A$2:$A$1096,65535)</f>
        <v>65535</v>
      </c>
      <c r="J289">
        <f t="shared" si="488"/>
        <v>29</v>
      </c>
      <c r="K289">
        <f t="shared" si="489"/>
        <v>1</v>
      </c>
      <c r="L289">
        <f t="shared" si="490"/>
        <v>-5</v>
      </c>
      <c r="M289">
        <f t="shared" si="491"/>
        <v>-2</v>
      </c>
      <c r="N289">
        <f t="shared" si="492"/>
        <v>-1</v>
      </c>
      <c r="P289" t="str">
        <f t="shared" si="487"/>
        <v>1, 0, 0, 0</v>
      </c>
    </row>
    <row r="290" spans="1:16" x14ac:dyDescent="0.2">
      <c r="A290">
        <f t="shared" si="483"/>
        <v>288</v>
      </c>
      <c r="B290" s="1" t="s">
        <v>1194</v>
      </c>
      <c r="C290">
        <v>34</v>
      </c>
      <c r="D290">
        <v>2</v>
      </c>
      <c r="E290">
        <v>0</v>
      </c>
      <c r="F290">
        <v>0</v>
      </c>
      <c r="G290">
        <v>0</v>
      </c>
      <c r="H290">
        <f>_xlfn.XLOOKUP(I290,$B$2:$B$1096,$A$2:$A$1096,65535)</f>
        <v>65535</v>
      </c>
      <c r="J290">
        <f t="shared" si="488"/>
        <v>28</v>
      </c>
      <c r="K290">
        <f t="shared" si="489"/>
        <v>2</v>
      </c>
      <c r="L290">
        <f t="shared" si="490"/>
        <v>-5</v>
      </c>
      <c r="M290">
        <f t="shared" si="491"/>
        <v>-2</v>
      </c>
      <c r="N290">
        <f t="shared" si="492"/>
        <v>-1</v>
      </c>
      <c r="P290" t="str">
        <f t="shared" si="487"/>
        <v>2, 0, 0, 0</v>
      </c>
    </row>
    <row r="291" spans="1:16" x14ac:dyDescent="0.2">
      <c r="A291">
        <f t="shared" si="483"/>
        <v>289</v>
      </c>
      <c r="B291" s="1" t="s">
        <v>1195</v>
      </c>
      <c r="C291">
        <v>34</v>
      </c>
      <c r="D291">
        <v>3</v>
      </c>
      <c r="E291">
        <v>0</v>
      </c>
      <c r="F291">
        <v>0</v>
      </c>
      <c r="G291">
        <v>0</v>
      </c>
      <c r="H291">
        <f>_xlfn.XLOOKUP(I291,$B$2:$B$1096,$A$2:$A$1096,65535)</f>
        <v>65535</v>
      </c>
      <c r="J291">
        <f t="shared" si="488"/>
        <v>29</v>
      </c>
      <c r="K291">
        <f t="shared" si="489"/>
        <v>6</v>
      </c>
      <c r="L291">
        <f t="shared" si="490"/>
        <v>0</v>
      </c>
      <c r="M291">
        <f t="shared" si="491"/>
        <v>0</v>
      </c>
      <c r="N291">
        <f t="shared" si="492"/>
        <v>0</v>
      </c>
      <c r="P291" t="str">
        <f t="shared" si="487"/>
        <v>3, 0, 0, 0</v>
      </c>
    </row>
    <row r="292" spans="1:16" x14ac:dyDescent="0.2">
      <c r="A292">
        <f t="shared" si="483"/>
        <v>290</v>
      </c>
      <c r="B292" s="1" t="s">
        <v>1196</v>
      </c>
      <c r="C292">
        <v>34</v>
      </c>
      <c r="D292">
        <v>3</v>
      </c>
      <c r="E292">
        <v>0</v>
      </c>
      <c r="F292">
        <v>0</v>
      </c>
      <c r="G292">
        <v>0</v>
      </c>
      <c r="H292">
        <f>_xlfn.XLOOKUP(I292,$B$2:$B$1096,$A$2:$A$1096,65535)</f>
        <v>65535</v>
      </c>
      <c r="J292">
        <f t="shared" si="488"/>
        <v>-2</v>
      </c>
      <c r="K292">
        <f t="shared" si="489"/>
        <v>5</v>
      </c>
      <c r="L292">
        <f t="shared" si="490"/>
        <v>-5</v>
      </c>
      <c r="M292">
        <f t="shared" si="491"/>
        <v>-2</v>
      </c>
      <c r="N292">
        <f t="shared" si="492"/>
        <v>-1</v>
      </c>
      <c r="P292" t="str">
        <f t="shared" si="487"/>
        <v>3, 0, 0, 0</v>
      </c>
    </row>
    <row r="293" spans="1:16" x14ac:dyDescent="0.2">
      <c r="A293">
        <f t="shared" si="483"/>
        <v>291</v>
      </c>
      <c r="B293" s="1" t="s">
        <v>1197</v>
      </c>
      <c r="C293">
        <v>34</v>
      </c>
      <c r="D293">
        <v>2</v>
      </c>
      <c r="E293">
        <v>0</v>
      </c>
      <c r="F293">
        <v>0</v>
      </c>
      <c r="G293">
        <v>0</v>
      </c>
      <c r="H293">
        <f>_xlfn.XLOOKUP(I293,$B$2:$B$1096,$A$2:$A$1096,65535)</f>
        <v>65535</v>
      </c>
      <c r="J293">
        <f t="shared" si="488"/>
        <v>-2</v>
      </c>
      <c r="K293">
        <f t="shared" si="489"/>
        <v>4</v>
      </c>
      <c r="L293">
        <f t="shared" si="490"/>
        <v>-5</v>
      </c>
      <c r="M293">
        <f t="shared" si="491"/>
        <v>-2</v>
      </c>
      <c r="N293">
        <f t="shared" si="492"/>
        <v>-1</v>
      </c>
      <c r="P293" t="str">
        <f t="shared" si="487"/>
        <v>2, 0, 0, 0</v>
      </c>
    </row>
    <row r="294" spans="1:16" x14ac:dyDescent="0.2">
      <c r="A294">
        <f t="shared" si="483"/>
        <v>292</v>
      </c>
      <c r="B294" s="1" t="s">
        <v>1198</v>
      </c>
      <c r="C294">
        <v>34</v>
      </c>
      <c r="D294">
        <v>1</v>
      </c>
      <c r="E294">
        <v>0</v>
      </c>
      <c r="F294">
        <v>0</v>
      </c>
      <c r="G294">
        <v>0</v>
      </c>
      <c r="H294">
        <f>_xlfn.XLOOKUP(I294,$B$2:$B$1096,$A$2:$A$1096,65535)</f>
        <v>65535</v>
      </c>
      <c r="J294">
        <f t="shared" si="488"/>
        <v>-2</v>
      </c>
      <c r="K294">
        <f t="shared" si="489"/>
        <v>3</v>
      </c>
      <c r="L294">
        <f t="shared" si="490"/>
        <v>-5</v>
      </c>
      <c r="M294">
        <f t="shared" si="491"/>
        <v>-2</v>
      </c>
      <c r="N294">
        <f t="shared" si="492"/>
        <v>-1</v>
      </c>
      <c r="P294" t="str">
        <f t="shared" si="487"/>
        <v>1, 0, 0, 0</v>
      </c>
    </row>
    <row r="295" spans="1:16" x14ac:dyDescent="0.2">
      <c r="A295">
        <f t="shared" si="483"/>
        <v>293</v>
      </c>
      <c r="B295" s="1" t="s">
        <v>1199</v>
      </c>
      <c r="C295">
        <v>34</v>
      </c>
      <c r="D295">
        <v>0</v>
      </c>
      <c r="E295">
        <v>0</v>
      </c>
      <c r="F295">
        <v>0</v>
      </c>
      <c r="G295">
        <v>0</v>
      </c>
      <c r="H295">
        <f>_xlfn.XLOOKUP(I295,$B$2:$B$1096,$A$2:$A$1096,65535)</f>
        <v>65535</v>
      </c>
      <c r="J295">
        <f t="shared" si="488"/>
        <v>-2</v>
      </c>
      <c r="K295">
        <f t="shared" si="489"/>
        <v>2</v>
      </c>
      <c r="L295">
        <f t="shared" si="490"/>
        <v>-5</v>
      </c>
      <c r="M295">
        <f t="shared" si="491"/>
        <v>-2</v>
      </c>
      <c r="N295">
        <f t="shared" si="492"/>
        <v>-1</v>
      </c>
      <c r="P295" t="str">
        <f t="shared" si="487"/>
        <v>0, 0, 0, 0</v>
      </c>
    </row>
    <row r="296" spans="1:16" x14ac:dyDescent="0.2">
      <c r="A296">
        <f t="shared" si="483"/>
        <v>294</v>
      </c>
      <c r="B296" s="1" t="s">
        <v>1200</v>
      </c>
      <c r="C296">
        <v>0</v>
      </c>
      <c r="D296">
        <v>-1</v>
      </c>
      <c r="E296">
        <v>0</v>
      </c>
      <c r="F296">
        <v>0</v>
      </c>
      <c r="G296">
        <v>0</v>
      </c>
      <c r="H296">
        <f>_xlfn.XLOOKUP(I296,$B$2:$B$1096,$A$2:$A$1096,65535)</f>
        <v>65535</v>
      </c>
      <c r="J296">
        <f t="shared" si="488"/>
        <v>-36</v>
      </c>
      <c r="K296">
        <f t="shared" si="489"/>
        <v>1</v>
      </c>
      <c r="L296">
        <f t="shared" si="490"/>
        <v>-5</v>
      </c>
      <c r="M296">
        <f t="shared" si="491"/>
        <v>-2</v>
      </c>
      <c r="N296">
        <f t="shared" si="492"/>
        <v>-1</v>
      </c>
      <c r="P296" t="str">
        <f t="shared" si="487"/>
        <v>-1, 0, 0, 0</v>
      </c>
    </row>
    <row r="297" spans="1:16" x14ac:dyDescent="0.2">
      <c r="A297">
        <f t="shared" si="483"/>
        <v>295</v>
      </c>
      <c r="B297" s="1" t="s">
        <v>1201</v>
      </c>
      <c r="C297">
        <v>0</v>
      </c>
      <c r="D297">
        <v>-2</v>
      </c>
      <c r="E297">
        <v>0</v>
      </c>
      <c r="F297">
        <v>0</v>
      </c>
      <c r="G297">
        <v>0</v>
      </c>
      <c r="H297">
        <f>_xlfn.XLOOKUP(I297,$B$2:$B$1096,$A$2:$A$1096,65535)</f>
        <v>65535</v>
      </c>
      <c r="J297">
        <f t="shared" si="488"/>
        <v>-36</v>
      </c>
      <c r="K297">
        <f t="shared" si="489"/>
        <v>0</v>
      </c>
      <c r="L297">
        <f t="shared" si="490"/>
        <v>-5</v>
      </c>
      <c r="M297">
        <f t="shared" si="491"/>
        <v>-2</v>
      </c>
      <c r="N297">
        <f t="shared" si="492"/>
        <v>-1</v>
      </c>
      <c r="P297" t="str">
        <f t="shared" si="487"/>
        <v>-2, 0, 0, 0</v>
      </c>
    </row>
    <row r="298" spans="1:16" x14ac:dyDescent="0.2">
      <c r="A298">
        <f t="shared" si="483"/>
        <v>296</v>
      </c>
      <c r="B298" s="1" t="s">
        <v>1202</v>
      </c>
      <c r="C298">
        <v>0</v>
      </c>
      <c r="D298">
        <v>-3</v>
      </c>
      <c r="E298">
        <v>0</v>
      </c>
      <c r="F298">
        <v>0</v>
      </c>
      <c r="G298">
        <v>0</v>
      </c>
      <c r="H298">
        <f>_xlfn.XLOOKUP(I298,$B$2:$B$1096,$A$2:$A$1096,65535)</f>
        <v>65535</v>
      </c>
      <c r="J298">
        <f t="shared" si="488"/>
        <v>-36</v>
      </c>
      <c r="K298">
        <f t="shared" si="489"/>
        <v>-2</v>
      </c>
      <c r="L298">
        <f t="shared" si="490"/>
        <v>-5</v>
      </c>
      <c r="M298">
        <f t="shared" si="491"/>
        <v>-2</v>
      </c>
      <c r="N298">
        <f t="shared" si="492"/>
        <v>-1</v>
      </c>
      <c r="P298" t="str">
        <f t="shared" si="487"/>
        <v>-3, 0, 0, 0</v>
      </c>
    </row>
    <row r="299" spans="1:16" x14ac:dyDescent="0.2">
      <c r="A299">
        <f t="shared" si="483"/>
        <v>297</v>
      </c>
      <c r="B299" s="1" t="s">
        <v>1203</v>
      </c>
      <c r="C299">
        <v>0</v>
      </c>
      <c r="D299">
        <v>-3</v>
      </c>
      <c r="E299">
        <v>0</v>
      </c>
      <c r="F299">
        <v>0</v>
      </c>
      <c r="G299">
        <v>0</v>
      </c>
      <c r="H299">
        <f>_xlfn.XLOOKUP(I299,$B$2:$B$1096,$A$2:$A$1096,65535)</f>
        <v>65535</v>
      </c>
      <c r="J299">
        <f t="shared" si="488"/>
        <v>-5</v>
      </c>
      <c r="K299">
        <f t="shared" si="489"/>
        <v>-3</v>
      </c>
      <c r="L299">
        <f t="shared" si="490"/>
        <v>-5</v>
      </c>
      <c r="M299">
        <f t="shared" si="491"/>
        <v>-2</v>
      </c>
      <c r="N299">
        <f t="shared" si="492"/>
        <v>-1</v>
      </c>
      <c r="P299" t="str">
        <f t="shared" si="487"/>
        <v>-3, 0, 0, 0</v>
      </c>
    </row>
    <row r="300" spans="1:16" x14ac:dyDescent="0.2">
      <c r="A300">
        <f t="shared" si="483"/>
        <v>298</v>
      </c>
      <c r="B300" s="1" t="s">
        <v>1204</v>
      </c>
      <c r="C300">
        <v>0</v>
      </c>
      <c r="D300">
        <v>-2</v>
      </c>
      <c r="E300">
        <v>0</v>
      </c>
      <c r="F300">
        <v>0</v>
      </c>
      <c r="G300">
        <v>0</v>
      </c>
      <c r="H300">
        <f>_xlfn.XLOOKUP(I300,$B$2:$B$1096,$A$2:$A$1096,65535)</f>
        <v>65535</v>
      </c>
      <c r="J300">
        <f t="shared" si="488"/>
        <v>-5</v>
      </c>
      <c r="K300">
        <f t="shared" si="489"/>
        <v>-2</v>
      </c>
      <c r="L300">
        <f t="shared" si="490"/>
        <v>-5</v>
      </c>
      <c r="M300">
        <f t="shared" si="491"/>
        <v>-2</v>
      </c>
      <c r="N300">
        <f t="shared" si="492"/>
        <v>-1</v>
      </c>
      <c r="P300" t="str">
        <f t="shared" si="487"/>
        <v>-2, 0, 0, 0</v>
      </c>
    </row>
    <row r="301" spans="1:16" x14ac:dyDescent="0.2">
      <c r="A301">
        <f t="shared" si="483"/>
        <v>299</v>
      </c>
      <c r="B301" s="1" t="s">
        <v>1205</v>
      </c>
      <c r="C301">
        <v>0</v>
      </c>
      <c r="D301">
        <v>-1</v>
      </c>
      <c r="E301">
        <v>0</v>
      </c>
      <c r="F301">
        <v>0</v>
      </c>
      <c r="G301">
        <v>0</v>
      </c>
      <c r="H301">
        <f>_xlfn.XLOOKUP(I301,$B$2:$B$1096,$A$2:$A$1096,65535)</f>
        <v>65535</v>
      </c>
      <c r="J301">
        <f t="shared" si="488"/>
        <v>-4</v>
      </c>
      <c r="K301">
        <f t="shared" si="489"/>
        <v>-1</v>
      </c>
      <c r="L301">
        <f t="shared" si="490"/>
        <v>-5</v>
      </c>
      <c r="M301">
        <f t="shared" si="491"/>
        <v>-2</v>
      </c>
      <c r="N301">
        <f t="shared" si="492"/>
        <v>-1</v>
      </c>
      <c r="P301" t="str">
        <f t="shared" si="487"/>
        <v>-1, 0, 0, 0</v>
      </c>
    </row>
    <row r="302" spans="1:16" x14ac:dyDescent="0.2">
      <c r="A302">
        <f t="shared" si="483"/>
        <v>300</v>
      </c>
      <c r="B302" s="1" t="s">
        <v>1206</v>
      </c>
      <c r="C302">
        <v>0</v>
      </c>
      <c r="D302">
        <v>0</v>
      </c>
      <c r="E302">
        <v>0</v>
      </c>
      <c r="F302">
        <v>0</v>
      </c>
      <c r="G302">
        <v>0</v>
      </c>
      <c r="H302">
        <f>_xlfn.XLOOKUP(I302,$B$2:$B$1096,$A$2:$A$1096,65535)</f>
        <v>65535</v>
      </c>
      <c r="J302">
        <f t="shared" si="488"/>
        <v>-5</v>
      </c>
      <c r="K302">
        <f t="shared" si="489"/>
        <v>0</v>
      </c>
      <c r="L302">
        <f t="shared" si="490"/>
        <v>-5</v>
      </c>
      <c r="M302">
        <f t="shared" si="491"/>
        <v>-2</v>
      </c>
      <c r="N302">
        <f t="shared" si="492"/>
        <v>-1</v>
      </c>
      <c r="P302" t="str">
        <f t="shared" si="487"/>
        <v>0, 0, 0, 0</v>
      </c>
    </row>
    <row r="303" spans="1:16" x14ac:dyDescent="0.2">
      <c r="A303">
        <f t="shared" si="483"/>
        <v>301</v>
      </c>
      <c r="B303" s="1" t="s">
        <v>1207</v>
      </c>
      <c r="C303">
        <v>34</v>
      </c>
      <c r="D303">
        <v>1</v>
      </c>
      <c r="E303">
        <v>0</v>
      </c>
      <c r="F303">
        <v>0</v>
      </c>
      <c r="G303">
        <v>0</v>
      </c>
      <c r="H303">
        <f>_xlfn.XLOOKUP(I303,$B$2:$B$1096,$A$2:$A$1096,65535)</f>
        <v>65535</v>
      </c>
      <c r="J303">
        <f t="shared" si="488"/>
        <v>28</v>
      </c>
      <c r="K303">
        <f t="shared" si="489"/>
        <v>1</v>
      </c>
      <c r="L303">
        <f t="shared" si="490"/>
        <v>-5</v>
      </c>
      <c r="M303">
        <f t="shared" si="491"/>
        <v>-2</v>
      </c>
      <c r="N303">
        <f t="shared" si="492"/>
        <v>-1</v>
      </c>
      <c r="P303" t="str">
        <f t="shared" si="487"/>
        <v>1, 0, 0, 0</v>
      </c>
    </row>
    <row r="304" spans="1:16" x14ac:dyDescent="0.2">
      <c r="A304">
        <f t="shared" si="483"/>
        <v>302</v>
      </c>
      <c r="B304" s="1" t="s">
        <v>1208</v>
      </c>
      <c r="C304">
        <v>34</v>
      </c>
      <c r="D304">
        <v>2</v>
      </c>
      <c r="E304">
        <v>0</v>
      </c>
      <c r="F304">
        <v>0</v>
      </c>
      <c r="G304">
        <v>0</v>
      </c>
      <c r="H304">
        <f>_xlfn.XLOOKUP(I304,$B$2:$B$1096,$A$2:$A$1096,65535)</f>
        <v>65535</v>
      </c>
      <c r="J304">
        <f t="shared" si="488"/>
        <v>29</v>
      </c>
      <c r="K304">
        <f t="shared" si="489"/>
        <v>5</v>
      </c>
      <c r="L304">
        <f t="shared" si="490"/>
        <v>-5</v>
      </c>
      <c r="M304">
        <f t="shared" si="491"/>
        <v>-2</v>
      </c>
      <c r="N304">
        <f t="shared" si="492"/>
        <v>-1</v>
      </c>
      <c r="P304" t="str">
        <f t="shared" si="487"/>
        <v>2, 0, 0, 0</v>
      </c>
    </row>
    <row r="305" spans="1:16" x14ac:dyDescent="0.2">
      <c r="A305">
        <f t="shared" si="483"/>
        <v>303</v>
      </c>
      <c r="B305" s="1" t="s">
        <v>1209</v>
      </c>
      <c r="C305">
        <v>34</v>
      </c>
      <c r="D305">
        <v>3</v>
      </c>
      <c r="E305">
        <v>0</v>
      </c>
      <c r="F305">
        <v>0</v>
      </c>
      <c r="G305">
        <v>0</v>
      </c>
      <c r="H305">
        <f>_xlfn.XLOOKUP(I305,$B$2:$B$1096,$A$2:$A$1096,65535)</f>
        <v>65535</v>
      </c>
      <c r="J305">
        <f t="shared" si="488"/>
        <v>-2</v>
      </c>
      <c r="K305">
        <f t="shared" si="489"/>
        <v>5</v>
      </c>
      <c r="L305">
        <f t="shared" si="490"/>
        <v>-5</v>
      </c>
      <c r="M305">
        <f t="shared" si="491"/>
        <v>-2</v>
      </c>
      <c r="N305">
        <f t="shared" si="492"/>
        <v>-1</v>
      </c>
      <c r="P305" t="str">
        <f t="shared" si="487"/>
        <v>3, 0, 0, 0</v>
      </c>
    </row>
    <row r="306" spans="1:16" x14ac:dyDescent="0.2">
      <c r="A306">
        <f t="shared" si="483"/>
        <v>304</v>
      </c>
      <c r="B306" s="1" t="s">
        <v>1210</v>
      </c>
      <c r="C306">
        <v>34</v>
      </c>
      <c r="D306">
        <v>3</v>
      </c>
      <c r="E306">
        <v>0</v>
      </c>
      <c r="F306">
        <v>0</v>
      </c>
      <c r="G306">
        <v>0</v>
      </c>
      <c r="H306">
        <f>_xlfn.XLOOKUP(I306,$B$2:$B$1096,$A$2:$A$1096,65535)</f>
        <v>65535</v>
      </c>
      <c r="J306">
        <f t="shared" si="488"/>
        <v>-2</v>
      </c>
      <c r="K306">
        <f t="shared" si="489"/>
        <v>5</v>
      </c>
      <c r="L306">
        <f t="shared" si="490"/>
        <v>-5</v>
      </c>
      <c r="M306">
        <f t="shared" si="491"/>
        <v>-2</v>
      </c>
      <c r="N306">
        <f t="shared" si="492"/>
        <v>-1</v>
      </c>
      <c r="P306" t="str">
        <f t="shared" si="487"/>
        <v>3, 0, 0, 0</v>
      </c>
    </row>
    <row r="307" spans="1:16" x14ac:dyDescent="0.2">
      <c r="A307">
        <f t="shared" si="483"/>
        <v>305</v>
      </c>
      <c r="B307" s="1" t="s">
        <v>1211</v>
      </c>
      <c r="C307">
        <v>34</v>
      </c>
      <c r="D307">
        <v>4</v>
      </c>
      <c r="E307">
        <v>0</v>
      </c>
      <c r="F307">
        <v>0</v>
      </c>
      <c r="G307">
        <v>0</v>
      </c>
      <c r="H307">
        <f>_xlfn.XLOOKUP(I307,$B$2:$B$1096,$A$2:$A$1096,65535)</f>
        <v>65535</v>
      </c>
      <c r="J307">
        <f t="shared" si="488"/>
        <v>-2</v>
      </c>
      <c r="K307">
        <f t="shared" si="489"/>
        <v>6</v>
      </c>
      <c r="L307">
        <f t="shared" si="490"/>
        <v>-5</v>
      </c>
      <c r="M307">
        <f t="shared" si="491"/>
        <v>-2</v>
      </c>
      <c r="N307">
        <f t="shared" si="492"/>
        <v>-1</v>
      </c>
      <c r="P307" t="str">
        <f t="shared" si="487"/>
        <v>4, 0, 0, 0</v>
      </c>
    </row>
    <row r="308" spans="1:16" x14ac:dyDescent="0.2">
      <c r="A308">
        <f t="shared" si="483"/>
        <v>306</v>
      </c>
      <c r="B308" s="1" t="s">
        <v>1212</v>
      </c>
      <c r="C308">
        <v>34</v>
      </c>
      <c r="D308">
        <v>4</v>
      </c>
      <c r="E308">
        <v>0</v>
      </c>
      <c r="F308">
        <v>0</v>
      </c>
      <c r="G308">
        <v>0</v>
      </c>
      <c r="H308">
        <f>_xlfn.XLOOKUP(I308,$B$2:$B$1096,$A$2:$A$1096,65535)</f>
        <v>65535</v>
      </c>
      <c r="J308">
        <f t="shared" ref="J308:K308" si="493">C308-C378</f>
        <v>-2</v>
      </c>
      <c r="K308">
        <f t="shared" si="493"/>
        <v>6</v>
      </c>
      <c r="L308">
        <f t="shared" ref="L308:N308" si="494">E308+E378</f>
        <v>-5</v>
      </c>
      <c r="M308">
        <f t="shared" si="494"/>
        <v>-2</v>
      </c>
      <c r="N308">
        <f t="shared" si="494"/>
        <v>-1</v>
      </c>
      <c r="P308" t="str">
        <f t="shared" si="487"/>
        <v>4, 0, 0, 0</v>
      </c>
    </row>
    <row r="309" spans="1:16" x14ac:dyDescent="0.2">
      <c r="A309">
        <f t="shared" si="483"/>
        <v>307</v>
      </c>
      <c r="B309" s="1" t="s">
        <v>1213</v>
      </c>
      <c r="C309">
        <v>34</v>
      </c>
      <c r="D309">
        <v>0</v>
      </c>
      <c r="E309">
        <v>0</v>
      </c>
      <c r="F309">
        <v>0</v>
      </c>
      <c r="G309">
        <v>0</v>
      </c>
      <c r="H309">
        <f>_xlfn.XLOOKUP(I309,$B$2:$B$1096,$A$2:$A$1096,65535)</f>
        <v>269</v>
      </c>
      <c r="I309" s="8" t="s">
        <v>306</v>
      </c>
      <c r="J309">
        <f t="shared" ref="J309:K324" si="495">C309-C379</f>
        <v>-2</v>
      </c>
      <c r="K309">
        <f t="shared" si="495"/>
        <v>1</v>
      </c>
      <c r="L309">
        <f t="shared" ref="L309:N324" si="496">E309+E379</f>
        <v>-5</v>
      </c>
      <c r="M309">
        <f t="shared" si="496"/>
        <v>-2</v>
      </c>
      <c r="N309">
        <f t="shared" si="496"/>
        <v>-1</v>
      </c>
      <c r="P309" t="str">
        <f t="shared" si="487"/>
        <v>0, 0, 0, 0</v>
      </c>
    </row>
    <row r="310" spans="1:16" x14ac:dyDescent="0.2">
      <c r="A310">
        <f t="shared" si="483"/>
        <v>308</v>
      </c>
      <c r="B310" s="1" t="s">
        <v>1082</v>
      </c>
      <c r="C310" s="2">
        <v>4</v>
      </c>
      <c r="D310" s="2">
        <v>0</v>
      </c>
      <c r="E310" s="2">
        <v>0</v>
      </c>
      <c r="F310" s="2">
        <v>0</v>
      </c>
      <c r="G310" s="2">
        <v>0</v>
      </c>
      <c r="H310">
        <f>_xlfn.XLOOKUP(I310,$B$2:$B$1096,$A$2:$A$1096,65535)</f>
        <v>65535</v>
      </c>
      <c r="I310" s="2"/>
      <c r="J310">
        <f t="shared" si="495"/>
        <v>-32</v>
      </c>
      <c r="K310">
        <f t="shared" si="495"/>
        <v>0</v>
      </c>
      <c r="L310">
        <f t="shared" si="496"/>
        <v>0</v>
      </c>
      <c r="M310">
        <f t="shared" si="496"/>
        <v>0</v>
      </c>
      <c r="N310">
        <f t="shared" si="496"/>
        <v>0</v>
      </c>
      <c r="P310" t="str">
        <f t="shared" ref="P310:P343" si="497">_xlfn.CONCAT(D310,", ",E310,", ",F310,", ",G310)</f>
        <v>0, 0, 0, 0</v>
      </c>
    </row>
    <row r="311" spans="1:16" x14ac:dyDescent="0.2">
      <c r="A311">
        <f t="shared" si="483"/>
        <v>309</v>
      </c>
      <c r="B311" s="1" t="s">
        <v>1083</v>
      </c>
      <c r="C311">
        <v>4</v>
      </c>
      <c r="D311">
        <v>4</v>
      </c>
      <c r="E311">
        <v>0</v>
      </c>
      <c r="F311">
        <v>0</v>
      </c>
      <c r="G311">
        <v>0</v>
      </c>
      <c r="H311">
        <f>_xlfn.XLOOKUP(I311,$B$2:$B$1096,$A$2:$A$1096,65535)</f>
        <v>65535</v>
      </c>
      <c r="J311">
        <f t="shared" si="495"/>
        <v>-32</v>
      </c>
      <c r="K311">
        <f t="shared" si="495"/>
        <v>6</v>
      </c>
      <c r="L311">
        <f t="shared" si="496"/>
        <v>-5</v>
      </c>
      <c r="M311">
        <f t="shared" si="496"/>
        <v>-2</v>
      </c>
      <c r="N311">
        <f t="shared" si="496"/>
        <v>-1</v>
      </c>
      <c r="P311" t="str">
        <f t="shared" si="497"/>
        <v>4, 0, 0, 0</v>
      </c>
    </row>
    <row r="312" spans="1:16" x14ac:dyDescent="0.2">
      <c r="A312">
        <f t="shared" si="483"/>
        <v>310</v>
      </c>
      <c r="B312" s="1" t="s">
        <v>1084</v>
      </c>
      <c r="C312">
        <v>34</v>
      </c>
      <c r="D312">
        <v>-1</v>
      </c>
      <c r="E312">
        <v>0</v>
      </c>
      <c r="F312">
        <v>0</v>
      </c>
      <c r="G312">
        <v>0</v>
      </c>
      <c r="H312">
        <f>_xlfn.XLOOKUP(I312,$B$2:$B$1096,$A$2:$A$1096,65535)</f>
        <v>65535</v>
      </c>
      <c r="J312">
        <f t="shared" si="495"/>
        <v>-2</v>
      </c>
      <c r="K312">
        <f t="shared" si="495"/>
        <v>1</v>
      </c>
      <c r="L312">
        <f t="shared" si="496"/>
        <v>-5</v>
      </c>
      <c r="M312">
        <f t="shared" si="496"/>
        <v>-2</v>
      </c>
      <c r="N312">
        <f t="shared" si="496"/>
        <v>-1</v>
      </c>
      <c r="P312" t="str">
        <f t="shared" si="497"/>
        <v>-1, 0, 0, 0</v>
      </c>
    </row>
    <row r="313" spans="1:16" x14ac:dyDescent="0.2">
      <c r="A313">
        <f t="shared" si="483"/>
        <v>311</v>
      </c>
      <c r="B313" s="1" t="s">
        <v>1085</v>
      </c>
      <c r="C313">
        <v>34</v>
      </c>
      <c r="D313">
        <v>1</v>
      </c>
      <c r="E313">
        <v>0</v>
      </c>
      <c r="F313">
        <v>0</v>
      </c>
      <c r="G313">
        <v>0</v>
      </c>
      <c r="H313">
        <f>_xlfn.XLOOKUP(I313,$B$2:$B$1096,$A$2:$A$1096,65535)</f>
        <v>65535</v>
      </c>
      <c r="J313">
        <f t="shared" si="495"/>
        <v>-2</v>
      </c>
      <c r="K313">
        <f t="shared" si="495"/>
        <v>3</v>
      </c>
      <c r="L313">
        <f t="shared" si="496"/>
        <v>-5</v>
      </c>
      <c r="M313">
        <f t="shared" si="496"/>
        <v>-2</v>
      </c>
      <c r="N313">
        <f t="shared" si="496"/>
        <v>-1</v>
      </c>
      <c r="P313" t="str">
        <f t="shared" si="497"/>
        <v>1, 0, 0, 0</v>
      </c>
    </row>
    <row r="314" spans="1:16" x14ac:dyDescent="0.2">
      <c r="A314">
        <f t="shared" si="483"/>
        <v>312</v>
      </c>
      <c r="B314" s="1" t="s">
        <v>1086</v>
      </c>
      <c r="C314">
        <v>34</v>
      </c>
      <c r="D314">
        <v>2</v>
      </c>
      <c r="E314">
        <v>0</v>
      </c>
      <c r="F314">
        <v>0</v>
      </c>
      <c r="G314">
        <v>0</v>
      </c>
      <c r="H314">
        <f>_xlfn.XLOOKUP(I314,$B$2:$B$1096,$A$2:$A$1096,65535)</f>
        <v>65535</v>
      </c>
      <c r="J314">
        <f t="shared" si="495"/>
        <v>-2</v>
      </c>
      <c r="K314">
        <f t="shared" si="495"/>
        <v>4</v>
      </c>
      <c r="L314">
        <f t="shared" si="496"/>
        <v>-5</v>
      </c>
      <c r="M314">
        <f t="shared" si="496"/>
        <v>-2</v>
      </c>
      <c r="N314">
        <f t="shared" si="496"/>
        <v>-1</v>
      </c>
      <c r="P314" t="str">
        <f t="shared" si="497"/>
        <v>2, 0, 0, 0</v>
      </c>
    </row>
    <row r="315" spans="1:16" x14ac:dyDescent="0.2">
      <c r="A315">
        <f t="shared" si="483"/>
        <v>313</v>
      </c>
      <c r="B315" s="1" t="s">
        <v>1087</v>
      </c>
      <c r="C315">
        <v>34</v>
      </c>
      <c r="D315">
        <v>1</v>
      </c>
      <c r="E315">
        <v>0</v>
      </c>
      <c r="F315">
        <v>0</v>
      </c>
      <c r="G315">
        <v>0</v>
      </c>
      <c r="H315">
        <f>_xlfn.XLOOKUP(I315,$B$2:$B$1096,$A$2:$A$1096,65535)</f>
        <v>65535</v>
      </c>
      <c r="J315">
        <f t="shared" si="495"/>
        <v>-2</v>
      </c>
      <c r="K315">
        <f t="shared" si="495"/>
        <v>3</v>
      </c>
      <c r="L315">
        <f t="shared" si="496"/>
        <v>-5</v>
      </c>
      <c r="M315">
        <f t="shared" si="496"/>
        <v>-2</v>
      </c>
      <c r="N315">
        <f t="shared" si="496"/>
        <v>-1</v>
      </c>
      <c r="P315" t="str">
        <f t="shared" si="497"/>
        <v>1, 0, 0, 0</v>
      </c>
    </row>
    <row r="316" spans="1:16" x14ac:dyDescent="0.2">
      <c r="A316">
        <f t="shared" si="483"/>
        <v>314</v>
      </c>
      <c r="B316" s="1" t="s">
        <v>1088</v>
      </c>
      <c r="C316">
        <v>34</v>
      </c>
      <c r="D316">
        <v>0</v>
      </c>
      <c r="E316">
        <v>0</v>
      </c>
      <c r="F316">
        <v>0</v>
      </c>
      <c r="G316">
        <v>0</v>
      </c>
      <c r="H316">
        <f>_xlfn.XLOOKUP(I316,$B$2:$B$1096,$A$2:$A$1096,65535)</f>
        <v>65535</v>
      </c>
      <c r="J316">
        <f t="shared" si="495"/>
        <v>-2</v>
      </c>
      <c r="K316">
        <f t="shared" si="495"/>
        <v>2</v>
      </c>
      <c r="L316">
        <f t="shared" si="496"/>
        <v>-5</v>
      </c>
      <c r="M316">
        <f t="shared" si="496"/>
        <v>-2</v>
      </c>
      <c r="N316">
        <f t="shared" si="496"/>
        <v>-1</v>
      </c>
      <c r="P316" t="str">
        <f t="shared" si="497"/>
        <v>0, 0, 0, 0</v>
      </c>
    </row>
    <row r="317" spans="1:16" x14ac:dyDescent="0.2">
      <c r="A317">
        <f t="shared" si="483"/>
        <v>315</v>
      </c>
      <c r="B317" s="1" t="s">
        <v>1089</v>
      </c>
      <c r="C317">
        <v>0</v>
      </c>
      <c r="D317">
        <v>-1</v>
      </c>
      <c r="E317">
        <v>0</v>
      </c>
      <c r="F317">
        <v>0</v>
      </c>
      <c r="G317">
        <v>0</v>
      </c>
      <c r="H317">
        <f>_xlfn.XLOOKUP(I317,$B$2:$B$1096,$A$2:$A$1096,65535)</f>
        <v>65535</v>
      </c>
      <c r="J317">
        <f t="shared" si="495"/>
        <v>-36</v>
      </c>
      <c r="K317">
        <f t="shared" si="495"/>
        <v>1</v>
      </c>
      <c r="L317">
        <f t="shared" si="496"/>
        <v>-5</v>
      </c>
      <c r="M317">
        <f t="shared" si="496"/>
        <v>-2</v>
      </c>
      <c r="N317">
        <f t="shared" si="496"/>
        <v>-1</v>
      </c>
      <c r="P317" t="str">
        <f t="shared" si="497"/>
        <v>-1, 0, 0, 0</v>
      </c>
    </row>
    <row r="318" spans="1:16" x14ac:dyDescent="0.2">
      <c r="A318">
        <f t="shared" si="483"/>
        <v>316</v>
      </c>
      <c r="B318" s="1" t="s">
        <v>1090</v>
      </c>
      <c r="C318">
        <v>0</v>
      </c>
      <c r="D318">
        <v>-2</v>
      </c>
      <c r="E318">
        <v>0</v>
      </c>
      <c r="F318">
        <v>0</v>
      </c>
      <c r="G318">
        <v>0</v>
      </c>
      <c r="H318">
        <f>_xlfn.XLOOKUP(I318,$B$2:$B$1096,$A$2:$A$1096,65535)</f>
        <v>65535</v>
      </c>
      <c r="J318">
        <f t="shared" si="495"/>
        <v>-36</v>
      </c>
      <c r="K318">
        <f t="shared" si="495"/>
        <v>0</v>
      </c>
      <c r="L318">
        <f t="shared" si="496"/>
        <v>-5</v>
      </c>
      <c r="M318">
        <f t="shared" si="496"/>
        <v>-2</v>
      </c>
      <c r="N318">
        <f t="shared" si="496"/>
        <v>-1</v>
      </c>
      <c r="P318" t="str">
        <f t="shared" si="497"/>
        <v>-2, 0, 0, 0</v>
      </c>
    </row>
    <row r="319" spans="1:16" x14ac:dyDescent="0.2">
      <c r="A319">
        <f t="shared" si="483"/>
        <v>317</v>
      </c>
      <c r="B319" s="1" t="s">
        <v>1091</v>
      </c>
      <c r="C319">
        <v>0</v>
      </c>
      <c r="D319">
        <v>-1</v>
      </c>
      <c r="E319">
        <v>0</v>
      </c>
      <c r="F319">
        <v>0</v>
      </c>
      <c r="G319">
        <v>0</v>
      </c>
      <c r="H319">
        <f>_xlfn.XLOOKUP(I319,$B$2:$B$1096,$A$2:$A$1096,65535)</f>
        <v>65535</v>
      </c>
      <c r="J319">
        <f t="shared" si="495"/>
        <v>-5</v>
      </c>
      <c r="K319">
        <f t="shared" si="495"/>
        <v>-1</v>
      </c>
      <c r="L319">
        <f t="shared" si="496"/>
        <v>-5</v>
      </c>
      <c r="M319">
        <f t="shared" si="496"/>
        <v>-2</v>
      </c>
      <c r="N319">
        <f t="shared" si="496"/>
        <v>-1</v>
      </c>
      <c r="P319" t="str">
        <f t="shared" si="497"/>
        <v>-1, 0, 0, 0</v>
      </c>
    </row>
    <row r="320" spans="1:16" x14ac:dyDescent="0.2">
      <c r="A320">
        <f t="shared" si="483"/>
        <v>318</v>
      </c>
      <c r="B320" s="1" t="s">
        <v>1092</v>
      </c>
      <c r="C320">
        <v>0</v>
      </c>
      <c r="D320" s="2">
        <v>0</v>
      </c>
      <c r="E320" s="2">
        <v>0</v>
      </c>
      <c r="F320" s="2">
        <v>0</v>
      </c>
      <c r="G320" s="2">
        <v>0</v>
      </c>
      <c r="H320">
        <f>_xlfn.XLOOKUP(I320,$B$2:$B$1096,$A$2:$A$1096,65535)</f>
        <v>65535</v>
      </c>
      <c r="I320" s="2"/>
      <c r="J320">
        <f t="shared" si="495"/>
        <v>-4</v>
      </c>
      <c r="K320">
        <f t="shared" si="495"/>
        <v>0</v>
      </c>
      <c r="L320">
        <f t="shared" si="496"/>
        <v>-5</v>
      </c>
      <c r="M320">
        <f t="shared" si="496"/>
        <v>-2</v>
      </c>
      <c r="N320">
        <f t="shared" si="496"/>
        <v>-1</v>
      </c>
      <c r="P320" t="str">
        <f t="shared" si="497"/>
        <v>0, 0, 0, 0</v>
      </c>
    </row>
    <row r="321" spans="1:16" x14ac:dyDescent="0.2">
      <c r="A321">
        <f t="shared" si="483"/>
        <v>319</v>
      </c>
      <c r="B321" s="1" t="s">
        <v>1093</v>
      </c>
      <c r="C321">
        <v>34</v>
      </c>
      <c r="D321">
        <v>1</v>
      </c>
      <c r="E321">
        <v>0</v>
      </c>
      <c r="F321">
        <v>0</v>
      </c>
      <c r="G321">
        <v>0</v>
      </c>
      <c r="H321">
        <f>_xlfn.XLOOKUP(I321,$B$2:$B$1096,$A$2:$A$1096,65535)</f>
        <v>65535</v>
      </c>
      <c r="J321">
        <f t="shared" si="495"/>
        <v>29</v>
      </c>
      <c r="K321">
        <f t="shared" si="495"/>
        <v>1</v>
      </c>
      <c r="L321">
        <f t="shared" si="496"/>
        <v>-5</v>
      </c>
      <c r="M321">
        <f t="shared" si="496"/>
        <v>-2</v>
      </c>
      <c r="N321">
        <f t="shared" si="496"/>
        <v>-1</v>
      </c>
      <c r="P321" t="str">
        <f t="shared" si="497"/>
        <v>1, 0, 0, 0</v>
      </c>
    </row>
    <row r="322" spans="1:16" x14ac:dyDescent="0.2">
      <c r="A322">
        <f t="shared" si="483"/>
        <v>320</v>
      </c>
      <c r="B322" s="1" t="s">
        <v>1094</v>
      </c>
      <c r="C322">
        <v>34</v>
      </c>
      <c r="D322">
        <v>2</v>
      </c>
      <c r="E322">
        <v>0</v>
      </c>
      <c r="F322">
        <v>0</v>
      </c>
      <c r="G322">
        <v>0</v>
      </c>
      <c r="H322">
        <f>_xlfn.XLOOKUP(I322,$B$2:$B$1096,$A$2:$A$1096,65535)</f>
        <v>65535</v>
      </c>
      <c r="J322">
        <f t="shared" si="495"/>
        <v>28</v>
      </c>
      <c r="K322">
        <f t="shared" si="495"/>
        <v>2</v>
      </c>
      <c r="L322">
        <f t="shared" si="496"/>
        <v>-5</v>
      </c>
      <c r="M322">
        <f t="shared" si="496"/>
        <v>-2</v>
      </c>
      <c r="N322">
        <f t="shared" si="496"/>
        <v>-1</v>
      </c>
      <c r="P322" t="str">
        <f t="shared" si="497"/>
        <v>2, 0, 0, 0</v>
      </c>
    </row>
    <row r="323" spans="1:16" x14ac:dyDescent="0.2">
      <c r="A323">
        <f t="shared" si="483"/>
        <v>321</v>
      </c>
      <c r="B323" s="1" t="s">
        <v>1095</v>
      </c>
      <c r="C323">
        <v>34</v>
      </c>
      <c r="D323">
        <v>3</v>
      </c>
      <c r="E323">
        <v>0</v>
      </c>
      <c r="F323">
        <v>0</v>
      </c>
      <c r="G323">
        <v>0</v>
      </c>
      <c r="H323">
        <f>_xlfn.XLOOKUP(I323,$B$2:$B$1096,$A$2:$A$1096,65535)</f>
        <v>65535</v>
      </c>
      <c r="J323">
        <f t="shared" si="495"/>
        <v>29</v>
      </c>
      <c r="K323">
        <f t="shared" si="495"/>
        <v>6</v>
      </c>
      <c r="L323">
        <f t="shared" si="496"/>
        <v>0</v>
      </c>
      <c r="M323">
        <f t="shared" si="496"/>
        <v>0</v>
      </c>
      <c r="N323">
        <f t="shared" si="496"/>
        <v>0</v>
      </c>
      <c r="P323" t="str">
        <f t="shared" si="497"/>
        <v>3, 0, 0, 0</v>
      </c>
    </row>
    <row r="324" spans="1:16" x14ac:dyDescent="0.2">
      <c r="A324">
        <f t="shared" si="483"/>
        <v>322</v>
      </c>
      <c r="B324" s="1" t="s">
        <v>1096</v>
      </c>
      <c r="C324">
        <v>34</v>
      </c>
      <c r="D324">
        <v>3</v>
      </c>
      <c r="E324">
        <v>0</v>
      </c>
      <c r="F324">
        <v>0</v>
      </c>
      <c r="G324">
        <v>0</v>
      </c>
      <c r="H324">
        <f>_xlfn.XLOOKUP(I324,$B$2:$B$1096,$A$2:$A$1096,65535)</f>
        <v>65535</v>
      </c>
      <c r="J324">
        <f t="shared" si="495"/>
        <v>-2</v>
      </c>
      <c r="K324">
        <f t="shared" si="495"/>
        <v>5</v>
      </c>
      <c r="L324">
        <f t="shared" si="496"/>
        <v>-5</v>
      </c>
      <c r="M324">
        <f t="shared" si="496"/>
        <v>-2</v>
      </c>
      <c r="N324">
        <f t="shared" si="496"/>
        <v>-1</v>
      </c>
      <c r="P324" t="str">
        <f t="shared" si="497"/>
        <v>3, 0, 0, 0</v>
      </c>
    </row>
    <row r="325" spans="1:16" x14ac:dyDescent="0.2">
      <c r="A325">
        <f t="shared" si="483"/>
        <v>323</v>
      </c>
      <c r="B325" s="1" t="s">
        <v>1097</v>
      </c>
      <c r="C325">
        <v>34</v>
      </c>
      <c r="D325">
        <v>2</v>
      </c>
      <c r="E325">
        <v>0</v>
      </c>
      <c r="F325">
        <v>0</v>
      </c>
      <c r="G325">
        <v>0</v>
      </c>
      <c r="H325">
        <f>_xlfn.XLOOKUP(I325,$B$2:$B$1096,$A$2:$A$1096,65535)</f>
        <v>65535</v>
      </c>
      <c r="J325">
        <f t="shared" ref="J325:J343" si="498">C325-C395</f>
        <v>-2</v>
      </c>
      <c r="K325">
        <f t="shared" ref="K325:K343" si="499">D325-D395</f>
        <v>4</v>
      </c>
      <c r="L325">
        <f t="shared" ref="L325:L343" si="500">E325+E395</f>
        <v>-5</v>
      </c>
      <c r="M325">
        <f t="shared" ref="M325:M343" si="501">F325+F395</f>
        <v>-2</v>
      </c>
      <c r="N325">
        <f t="shared" ref="N325:N343" si="502">G325+G395</f>
        <v>-1</v>
      </c>
      <c r="P325" t="str">
        <f t="shared" si="497"/>
        <v>2, 0, 0, 0</v>
      </c>
    </row>
    <row r="326" spans="1:16" x14ac:dyDescent="0.2">
      <c r="A326">
        <f t="shared" si="483"/>
        <v>324</v>
      </c>
      <c r="B326" s="1" t="s">
        <v>1098</v>
      </c>
      <c r="C326">
        <v>34</v>
      </c>
      <c r="D326">
        <v>1</v>
      </c>
      <c r="E326">
        <v>0</v>
      </c>
      <c r="F326">
        <v>0</v>
      </c>
      <c r="G326">
        <v>0</v>
      </c>
      <c r="H326">
        <f>_xlfn.XLOOKUP(I326,$B$2:$B$1096,$A$2:$A$1096,65535)</f>
        <v>65535</v>
      </c>
      <c r="J326">
        <f t="shared" si="498"/>
        <v>-2</v>
      </c>
      <c r="K326">
        <f t="shared" si="499"/>
        <v>3</v>
      </c>
      <c r="L326">
        <f t="shared" si="500"/>
        <v>-5</v>
      </c>
      <c r="M326">
        <f t="shared" si="501"/>
        <v>-2</v>
      </c>
      <c r="N326">
        <f t="shared" si="502"/>
        <v>-1</v>
      </c>
      <c r="P326" t="str">
        <f t="shared" si="497"/>
        <v>1, 0, 0, 0</v>
      </c>
    </row>
    <row r="327" spans="1:16" x14ac:dyDescent="0.2">
      <c r="A327">
        <f t="shared" si="483"/>
        <v>325</v>
      </c>
      <c r="B327" s="1" t="s">
        <v>1099</v>
      </c>
      <c r="C327">
        <v>34</v>
      </c>
      <c r="D327">
        <v>0</v>
      </c>
      <c r="E327">
        <v>0</v>
      </c>
      <c r="F327">
        <v>0</v>
      </c>
      <c r="G327">
        <v>0</v>
      </c>
      <c r="H327">
        <f>_xlfn.XLOOKUP(I327,$B$2:$B$1096,$A$2:$A$1096,65535)</f>
        <v>65535</v>
      </c>
      <c r="J327">
        <f t="shared" si="498"/>
        <v>-2</v>
      </c>
      <c r="K327">
        <f t="shared" si="499"/>
        <v>2</v>
      </c>
      <c r="L327">
        <f t="shared" si="500"/>
        <v>-5</v>
      </c>
      <c r="M327">
        <f t="shared" si="501"/>
        <v>-2</v>
      </c>
      <c r="N327">
        <f t="shared" si="502"/>
        <v>-1</v>
      </c>
      <c r="P327" t="str">
        <f t="shared" si="497"/>
        <v>0, 0, 0, 0</v>
      </c>
    </row>
    <row r="328" spans="1:16" x14ac:dyDescent="0.2">
      <c r="A328">
        <f t="shared" si="483"/>
        <v>326</v>
      </c>
      <c r="B328" s="1" t="s">
        <v>1100</v>
      </c>
      <c r="C328">
        <v>0</v>
      </c>
      <c r="D328">
        <v>-1</v>
      </c>
      <c r="E328">
        <v>0</v>
      </c>
      <c r="F328">
        <v>0</v>
      </c>
      <c r="G328">
        <v>0</v>
      </c>
      <c r="H328">
        <f>_xlfn.XLOOKUP(I328,$B$2:$B$1096,$A$2:$A$1096,65535)</f>
        <v>65535</v>
      </c>
      <c r="J328">
        <f t="shared" si="498"/>
        <v>-36</v>
      </c>
      <c r="K328">
        <f t="shared" si="499"/>
        <v>1</v>
      </c>
      <c r="L328">
        <f t="shared" si="500"/>
        <v>-5</v>
      </c>
      <c r="M328">
        <f t="shared" si="501"/>
        <v>-2</v>
      </c>
      <c r="N328">
        <f t="shared" si="502"/>
        <v>-1</v>
      </c>
      <c r="P328" t="str">
        <f t="shared" si="497"/>
        <v>-1, 0, 0, 0</v>
      </c>
    </row>
    <row r="329" spans="1:16" x14ac:dyDescent="0.2">
      <c r="A329">
        <f t="shared" si="483"/>
        <v>327</v>
      </c>
      <c r="B329" s="1" t="s">
        <v>1101</v>
      </c>
      <c r="C329">
        <v>0</v>
      </c>
      <c r="D329">
        <v>-2</v>
      </c>
      <c r="E329">
        <v>0</v>
      </c>
      <c r="F329">
        <v>0</v>
      </c>
      <c r="G329">
        <v>0</v>
      </c>
      <c r="H329">
        <f>_xlfn.XLOOKUP(I329,$B$2:$B$1096,$A$2:$A$1096,65535)</f>
        <v>65535</v>
      </c>
      <c r="J329">
        <f t="shared" si="498"/>
        <v>-36</v>
      </c>
      <c r="K329">
        <f t="shared" si="499"/>
        <v>0</v>
      </c>
      <c r="L329">
        <f t="shared" si="500"/>
        <v>-5</v>
      </c>
      <c r="M329">
        <f t="shared" si="501"/>
        <v>-2</v>
      </c>
      <c r="N329">
        <f t="shared" si="502"/>
        <v>-1</v>
      </c>
      <c r="P329" t="str">
        <f t="shared" si="497"/>
        <v>-2, 0, 0, 0</v>
      </c>
    </row>
    <row r="330" spans="1:16" x14ac:dyDescent="0.2">
      <c r="A330">
        <f t="shared" si="483"/>
        <v>328</v>
      </c>
      <c r="B330" s="1" t="s">
        <v>1102</v>
      </c>
      <c r="C330">
        <v>0</v>
      </c>
      <c r="D330">
        <v>-3</v>
      </c>
      <c r="E330">
        <v>0</v>
      </c>
      <c r="F330">
        <v>0</v>
      </c>
      <c r="G330">
        <v>0</v>
      </c>
      <c r="H330">
        <f>_xlfn.XLOOKUP(I330,$B$2:$B$1096,$A$2:$A$1096,65535)</f>
        <v>65535</v>
      </c>
      <c r="J330">
        <f t="shared" si="498"/>
        <v>-36</v>
      </c>
      <c r="K330">
        <f t="shared" si="499"/>
        <v>-2</v>
      </c>
      <c r="L330">
        <f t="shared" si="500"/>
        <v>-5</v>
      </c>
      <c r="M330">
        <f t="shared" si="501"/>
        <v>-2</v>
      </c>
      <c r="N330">
        <f t="shared" si="502"/>
        <v>-1</v>
      </c>
      <c r="P330" t="str">
        <f t="shared" si="497"/>
        <v>-3, 0, 0, 0</v>
      </c>
    </row>
    <row r="331" spans="1:16" x14ac:dyDescent="0.2">
      <c r="A331">
        <f t="shared" si="483"/>
        <v>329</v>
      </c>
      <c r="B331" s="1" t="s">
        <v>1103</v>
      </c>
      <c r="C331">
        <v>0</v>
      </c>
      <c r="D331">
        <v>-3</v>
      </c>
      <c r="E331">
        <v>0</v>
      </c>
      <c r="F331">
        <v>0</v>
      </c>
      <c r="G331">
        <v>0</v>
      </c>
      <c r="H331">
        <f>_xlfn.XLOOKUP(I331,$B$2:$B$1096,$A$2:$A$1096,65535)</f>
        <v>65535</v>
      </c>
      <c r="J331">
        <f t="shared" si="498"/>
        <v>-5</v>
      </c>
      <c r="K331">
        <f t="shared" si="499"/>
        <v>-3</v>
      </c>
      <c r="L331">
        <f t="shared" si="500"/>
        <v>-5</v>
      </c>
      <c r="M331">
        <f t="shared" si="501"/>
        <v>-2</v>
      </c>
      <c r="N331">
        <f t="shared" si="502"/>
        <v>-1</v>
      </c>
      <c r="P331" t="str">
        <f t="shared" si="497"/>
        <v>-3, 0, 0, 0</v>
      </c>
    </row>
    <row r="332" spans="1:16" x14ac:dyDescent="0.2">
      <c r="A332">
        <f t="shared" si="483"/>
        <v>330</v>
      </c>
      <c r="B332" s="1" t="s">
        <v>1104</v>
      </c>
      <c r="C332">
        <v>0</v>
      </c>
      <c r="D332">
        <v>-2</v>
      </c>
      <c r="E332">
        <v>0</v>
      </c>
      <c r="F332">
        <v>0</v>
      </c>
      <c r="G332">
        <v>0</v>
      </c>
      <c r="H332">
        <f>_xlfn.XLOOKUP(I332,$B$2:$B$1096,$A$2:$A$1096,65535)</f>
        <v>65535</v>
      </c>
      <c r="J332">
        <f t="shared" si="498"/>
        <v>-37</v>
      </c>
      <c r="K332">
        <f t="shared" si="499"/>
        <v>-2</v>
      </c>
      <c r="L332">
        <f t="shared" si="500"/>
        <v>0</v>
      </c>
      <c r="M332">
        <f t="shared" si="501"/>
        <v>0</v>
      </c>
      <c r="N332">
        <f t="shared" si="502"/>
        <v>0</v>
      </c>
      <c r="P332" t="str">
        <f t="shared" si="497"/>
        <v>-2, 0, 0, 0</v>
      </c>
    </row>
    <row r="333" spans="1:16" x14ac:dyDescent="0.2">
      <c r="A333">
        <f t="shared" si="483"/>
        <v>331</v>
      </c>
      <c r="B333" s="1" t="s">
        <v>1105</v>
      </c>
      <c r="C333">
        <v>0</v>
      </c>
      <c r="D333">
        <v>-1</v>
      </c>
      <c r="E333">
        <v>0</v>
      </c>
      <c r="F333">
        <v>0</v>
      </c>
      <c r="G333">
        <v>0</v>
      </c>
      <c r="H333">
        <f>_xlfn.XLOOKUP(I333,$B$2:$B$1096,$A$2:$A$1096,65535)</f>
        <v>65535</v>
      </c>
      <c r="J333">
        <f t="shared" si="498"/>
        <v>-38</v>
      </c>
      <c r="K333">
        <f t="shared" si="499"/>
        <v>-1</v>
      </c>
      <c r="L333">
        <f t="shared" si="500"/>
        <v>0</v>
      </c>
      <c r="M333">
        <f t="shared" si="501"/>
        <v>0</v>
      </c>
      <c r="N333">
        <f t="shared" si="502"/>
        <v>0</v>
      </c>
      <c r="P333" t="str">
        <f t="shared" si="497"/>
        <v>-1, 0, 0, 0</v>
      </c>
    </row>
    <row r="334" spans="1:16" x14ac:dyDescent="0.2">
      <c r="A334">
        <f t="shared" si="483"/>
        <v>332</v>
      </c>
      <c r="B334" s="1" t="s">
        <v>1106</v>
      </c>
      <c r="C334">
        <v>0</v>
      </c>
      <c r="D334">
        <v>0</v>
      </c>
      <c r="E334">
        <v>0</v>
      </c>
      <c r="F334">
        <v>0</v>
      </c>
      <c r="G334">
        <v>0</v>
      </c>
      <c r="H334">
        <f>_xlfn.XLOOKUP(I334,$B$2:$B$1096,$A$2:$A$1096,65535)</f>
        <v>65535</v>
      </c>
      <c r="J334">
        <f t="shared" si="498"/>
        <v>-39</v>
      </c>
      <c r="K334">
        <f t="shared" si="499"/>
        <v>0</v>
      </c>
      <c r="L334">
        <f t="shared" si="500"/>
        <v>0</v>
      </c>
      <c r="M334">
        <f t="shared" si="501"/>
        <v>0</v>
      </c>
      <c r="N334">
        <f t="shared" si="502"/>
        <v>0</v>
      </c>
      <c r="P334" t="str">
        <f t="shared" si="497"/>
        <v>0, 0, 0, 0</v>
      </c>
    </row>
    <row r="335" spans="1:16" x14ac:dyDescent="0.2">
      <c r="A335">
        <f t="shared" ref="A335:A398" si="503">A334+1</f>
        <v>333</v>
      </c>
      <c r="B335" s="1" t="s">
        <v>1107</v>
      </c>
      <c r="C335">
        <v>34</v>
      </c>
      <c r="D335">
        <v>1</v>
      </c>
      <c r="E335">
        <v>0</v>
      </c>
      <c r="F335">
        <v>0</v>
      </c>
      <c r="G335">
        <v>0</v>
      </c>
      <c r="H335">
        <f>_xlfn.XLOOKUP(I335,$B$2:$B$1096,$A$2:$A$1096,65535)</f>
        <v>65535</v>
      </c>
      <c r="J335">
        <f t="shared" si="498"/>
        <v>-4</v>
      </c>
      <c r="K335">
        <f t="shared" si="499"/>
        <v>1</v>
      </c>
      <c r="L335">
        <f t="shared" si="500"/>
        <v>0</v>
      </c>
      <c r="M335">
        <f t="shared" si="501"/>
        <v>0</v>
      </c>
      <c r="N335">
        <f t="shared" si="502"/>
        <v>0</v>
      </c>
      <c r="P335" t="str">
        <f t="shared" si="497"/>
        <v>1, 0, 0, 0</v>
      </c>
    </row>
    <row r="336" spans="1:16" x14ac:dyDescent="0.2">
      <c r="A336">
        <f t="shared" si="503"/>
        <v>334</v>
      </c>
      <c r="B336" s="1" t="s">
        <v>1108</v>
      </c>
      <c r="C336">
        <v>34</v>
      </c>
      <c r="D336">
        <v>2</v>
      </c>
      <c r="E336">
        <v>0</v>
      </c>
      <c r="F336">
        <v>0</v>
      </c>
      <c r="G336">
        <v>0</v>
      </c>
      <c r="H336">
        <f>_xlfn.XLOOKUP(I336,$B$2:$B$1096,$A$2:$A$1096,65535)</f>
        <v>65535</v>
      </c>
      <c r="J336">
        <f t="shared" si="498"/>
        <v>-3</v>
      </c>
      <c r="K336">
        <f t="shared" si="499"/>
        <v>2</v>
      </c>
      <c r="L336">
        <f t="shared" si="500"/>
        <v>0</v>
      </c>
      <c r="M336">
        <f t="shared" si="501"/>
        <v>0</v>
      </c>
      <c r="N336">
        <f t="shared" si="502"/>
        <v>0</v>
      </c>
      <c r="P336" t="str">
        <f t="shared" si="497"/>
        <v>2, 0, 0, 0</v>
      </c>
    </row>
    <row r="337" spans="1:16" x14ac:dyDescent="0.2">
      <c r="A337">
        <f t="shared" si="503"/>
        <v>335</v>
      </c>
      <c r="B337" s="1" t="s">
        <v>1109</v>
      </c>
      <c r="C337">
        <v>34</v>
      </c>
      <c r="D337">
        <v>3</v>
      </c>
      <c r="E337">
        <v>0</v>
      </c>
      <c r="F337">
        <v>0</v>
      </c>
      <c r="G337">
        <v>0</v>
      </c>
      <c r="H337">
        <f>_xlfn.XLOOKUP(I337,$B$2:$B$1096,$A$2:$A$1096,65535)</f>
        <v>65535</v>
      </c>
      <c r="J337">
        <f t="shared" si="498"/>
        <v>-4</v>
      </c>
      <c r="K337">
        <f t="shared" si="499"/>
        <v>3</v>
      </c>
      <c r="L337">
        <f t="shared" si="500"/>
        <v>0</v>
      </c>
      <c r="M337">
        <f t="shared" si="501"/>
        <v>0</v>
      </c>
      <c r="N337">
        <f t="shared" si="502"/>
        <v>0</v>
      </c>
      <c r="P337" t="str">
        <f t="shared" si="497"/>
        <v>3, 0, 0, 0</v>
      </c>
    </row>
    <row r="338" spans="1:16" x14ac:dyDescent="0.2">
      <c r="A338">
        <f t="shared" si="503"/>
        <v>336</v>
      </c>
      <c r="B338" s="1" t="s">
        <v>1110</v>
      </c>
      <c r="C338">
        <v>34</v>
      </c>
      <c r="D338">
        <v>3</v>
      </c>
      <c r="E338">
        <v>0</v>
      </c>
      <c r="F338">
        <v>0</v>
      </c>
      <c r="G338">
        <v>0</v>
      </c>
      <c r="H338">
        <f>_xlfn.XLOOKUP(I338,$B$2:$B$1096,$A$2:$A$1096,65535)</f>
        <v>65535</v>
      </c>
      <c r="J338">
        <f t="shared" si="498"/>
        <v>-5</v>
      </c>
      <c r="K338">
        <f t="shared" si="499"/>
        <v>3</v>
      </c>
      <c r="L338">
        <f t="shared" si="500"/>
        <v>0</v>
      </c>
      <c r="M338">
        <f t="shared" si="501"/>
        <v>0</v>
      </c>
      <c r="N338">
        <f t="shared" si="502"/>
        <v>0</v>
      </c>
      <c r="P338" t="str">
        <f t="shared" si="497"/>
        <v>3, 0, 0, 0</v>
      </c>
    </row>
    <row r="339" spans="1:16" x14ac:dyDescent="0.2">
      <c r="A339">
        <f t="shared" si="503"/>
        <v>337</v>
      </c>
      <c r="B339" s="1" t="s">
        <v>1111</v>
      </c>
      <c r="C339">
        <v>34</v>
      </c>
      <c r="D339">
        <v>4</v>
      </c>
      <c r="E339">
        <v>0</v>
      </c>
      <c r="F339">
        <v>0</v>
      </c>
      <c r="G339">
        <v>0</v>
      </c>
      <c r="H339">
        <f>_xlfn.XLOOKUP(I339,$B$2:$B$1096,$A$2:$A$1096,65535)</f>
        <v>65535</v>
      </c>
      <c r="J339">
        <f t="shared" si="498"/>
        <v>-4</v>
      </c>
      <c r="K339">
        <f t="shared" si="499"/>
        <v>4</v>
      </c>
      <c r="L339">
        <f t="shared" si="500"/>
        <v>0</v>
      </c>
      <c r="M339">
        <f t="shared" si="501"/>
        <v>0</v>
      </c>
      <c r="N339">
        <f t="shared" si="502"/>
        <v>0</v>
      </c>
      <c r="P339" t="str">
        <f t="shared" si="497"/>
        <v>4, 0, 0, 0</v>
      </c>
    </row>
    <row r="340" spans="1:16" x14ac:dyDescent="0.2">
      <c r="A340">
        <f t="shared" si="503"/>
        <v>338</v>
      </c>
      <c r="B340" s="21" t="s">
        <v>1112</v>
      </c>
      <c r="C340" s="22">
        <v>34</v>
      </c>
      <c r="D340" s="22">
        <v>4</v>
      </c>
      <c r="E340">
        <v>0</v>
      </c>
      <c r="F340">
        <v>0</v>
      </c>
      <c r="G340">
        <v>0</v>
      </c>
      <c r="H340">
        <f>_xlfn.XLOOKUP(I340,$B$2:$B$1096,$A$2:$A$1096,65535)</f>
        <v>65535</v>
      </c>
      <c r="J340">
        <f t="shared" si="498"/>
        <v>-3</v>
      </c>
      <c r="K340">
        <f t="shared" si="499"/>
        <v>4</v>
      </c>
      <c r="L340">
        <f t="shared" si="500"/>
        <v>0</v>
      </c>
      <c r="M340">
        <f t="shared" si="501"/>
        <v>0</v>
      </c>
      <c r="N340">
        <f t="shared" si="502"/>
        <v>0</v>
      </c>
      <c r="P340" t="str">
        <f t="shared" si="497"/>
        <v>4, 0, 0, 0</v>
      </c>
    </row>
    <row r="341" spans="1:16" x14ac:dyDescent="0.2">
      <c r="A341">
        <f t="shared" si="503"/>
        <v>339</v>
      </c>
      <c r="B341" s="21" t="s">
        <v>1113</v>
      </c>
      <c r="C341" s="22">
        <v>34</v>
      </c>
      <c r="D341" s="22">
        <v>4</v>
      </c>
      <c r="E341">
        <v>0</v>
      </c>
      <c r="F341">
        <v>0</v>
      </c>
      <c r="G341">
        <v>0</v>
      </c>
      <c r="H341">
        <f>_xlfn.XLOOKUP(I341,$B$2:$B$1096,$A$2:$A$1096,65535)</f>
        <v>65535</v>
      </c>
      <c r="J341">
        <f t="shared" si="498"/>
        <v>-4</v>
      </c>
      <c r="K341">
        <f t="shared" si="499"/>
        <v>4</v>
      </c>
      <c r="L341">
        <f t="shared" si="500"/>
        <v>0</v>
      </c>
      <c r="M341">
        <f t="shared" si="501"/>
        <v>0</v>
      </c>
      <c r="N341">
        <f t="shared" si="502"/>
        <v>0</v>
      </c>
      <c r="P341" t="str">
        <f t="shared" si="497"/>
        <v>4, 0, 0, 0</v>
      </c>
    </row>
    <row r="342" spans="1:16" x14ac:dyDescent="0.2">
      <c r="A342">
        <f t="shared" si="503"/>
        <v>340</v>
      </c>
      <c r="B342" s="1" t="s">
        <v>1114</v>
      </c>
      <c r="C342">
        <v>34</v>
      </c>
      <c r="D342">
        <v>4</v>
      </c>
      <c r="E342">
        <v>0</v>
      </c>
      <c r="F342">
        <v>0</v>
      </c>
      <c r="G342">
        <v>0</v>
      </c>
      <c r="H342">
        <f>_xlfn.XLOOKUP(I342,$B$2:$B$1096,$A$2:$A$1096,65535)</f>
        <v>65535</v>
      </c>
      <c r="J342">
        <f t="shared" si="498"/>
        <v>-5</v>
      </c>
      <c r="K342">
        <f t="shared" si="499"/>
        <v>4</v>
      </c>
      <c r="L342">
        <f t="shared" si="500"/>
        <v>0</v>
      </c>
      <c r="M342">
        <f t="shared" si="501"/>
        <v>0</v>
      </c>
      <c r="N342">
        <f t="shared" si="502"/>
        <v>0</v>
      </c>
      <c r="P342" t="str">
        <f t="shared" si="497"/>
        <v>4, 0, 0, 0</v>
      </c>
    </row>
    <row r="343" spans="1:16" x14ac:dyDescent="0.2">
      <c r="A343">
        <f t="shared" si="503"/>
        <v>341</v>
      </c>
      <c r="B343" s="1" t="s">
        <v>1115</v>
      </c>
      <c r="C343">
        <v>34</v>
      </c>
      <c r="D343">
        <v>0</v>
      </c>
      <c r="E343">
        <v>0</v>
      </c>
      <c r="F343">
        <v>0</v>
      </c>
      <c r="G343">
        <v>0</v>
      </c>
      <c r="H343">
        <f>_xlfn.XLOOKUP(I343,$B$2:$B$1096,$A$2:$A$1096,65535)</f>
        <v>269</v>
      </c>
      <c r="I343" s="8" t="s">
        <v>306</v>
      </c>
      <c r="J343">
        <f t="shared" si="498"/>
        <v>-6</v>
      </c>
      <c r="K343">
        <f t="shared" si="499"/>
        <v>0</v>
      </c>
      <c r="L343">
        <f t="shared" si="500"/>
        <v>0</v>
      </c>
      <c r="M343">
        <f t="shared" si="501"/>
        <v>0</v>
      </c>
      <c r="N343">
        <f t="shared" si="502"/>
        <v>0</v>
      </c>
      <c r="P343" t="str">
        <f t="shared" si="497"/>
        <v>0, 0, 0, 0</v>
      </c>
    </row>
    <row r="344" spans="1:16" x14ac:dyDescent="0.2">
      <c r="A344">
        <f t="shared" si="503"/>
        <v>342</v>
      </c>
      <c r="B344" s="1" t="s">
        <v>376</v>
      </c>
      <c r="C344">
        <v>5</v>
      </c>
      <c r="D344">
        <v>0</v>
      </c>
      <c r="E344">
        <v>-5</v>
      </c>
      <c r="F344">
        <v>-2</v>
      </c>
      <c r="G344">
        <v>-1</v>
      </c>
      <c r="H344">
        <f>_xlfn.XLOOKUP(I344,$B$2:$B$1096,$A$2:$A$1096,65535)</f>
        <v>65535</v>
      </c>
      <c r="J344">
        <f t="shared" ref="J344:K344" si="504">C344-C380</f>
        <v>-31</v>
      </c>
      <c r="K344">
        <f t="shared" si="504"/>
        <v>0</v>
      </c>
      <c r="L344">
        <f t="shared" ref="L344:N344" si="505">E344+E380</f>
        <v>-5</v>
      </c>
      <c r="M344">
        <f t="shared" si="505"/>
        <v>-2</v>
      </c>
      <c r="N344">
        <f t="shared" si="505"/>
        <v>-1</v>
      </c>
      <c r="P344" t="str">
        <f t="shared" si="487"/>
        <v>0, -5, -2, -1</v>
      </c>
    </row>
    <row r="345" spans="1:16" x14ac:dyDescent="0.2">
      <c r="A345">
        <f t="shared" si="503"/>
        <v>343</v>
      </c>
      <c r="B345" s="1" t="s">
        <v>377</v>
      </c>
      <c r="C345">
        <v>4</v>
      </c>
      <c r="D345">
        <v>0</v>
      </c>
      <c r="E345">
        <v>-5</v>
      </c>
      <c r="F345">
        <v>-2</v>
      </c>
      <c r="G345">
        <v>-1</v>
      </c>
      <c r="H345">
        <f>_xlfn.XLOOKUP(I345,$B$2:$B$1096,$A$2:$A$1096,65535)</f>
        <v>65535</v>
      </c>
      <c r="J345">
        <f t="shared" ref="J345:K345" si="506">C345-C381</f>
        <v>-32</v>
      </c>
      <c r="K345">
        <f t="shared" si="506"/>
        <v>2</v>
      </c>
      <c r="L345">
        <f t="shared" ref="L345:N345" si="507">E345+E381</f>
        <v>-10</v>
      </c>
      <c r="M345">
        <f t="shared" si="507"/>
        <v>-4</v>
      </c>
      <c r="N345">
        <f t="shared" si="507"/>
        <v>-2</v>
      </c>
      <c r="P345" t="str">
        <f t="shared" si="487"/>
        <v>0, -5, -2, -1</v>
      </c>
    </row>
    <row r="346" spans="1:16" x14ac:dyDescent="0.2">
      <c r="A346">
        <f t="shared" si="503"/>
        <v>344</v>
      </c>
      <c r="B346" s="1" t="s">
        <v>378</v>
      </c>
      <c r="C346">
        <v>5</v>
      </c>
      <c r="D346">
        <v>0</v>
      </c>
      <c r="E346">
        <v>-5</v>
      </c>
      <c r="F346">
        <v>-2</v>
      </c>
      <c r="G346">
        <v>-1</v>
      </c>
      <c r="H346">
        <f>_xlfn.XLOOKUP(I346,$B$2:$B$1096,$A$2:$A$1096,65535)</f>
        <v>65535</v>
      </c>
      <c r="J346">
        <f t="shared" ref="J346:K346" si="508">C346-C382</f>
        <v>-31</v>
      </c>
      <c r="K346">
        <f t="shared" si="508"/>
        <v>2</v>
      </c>
      <c r="L346">
        <f t="shared" ref="L346:N346" si="509">E346+E382</f>
        <v>-10</v>
      </c>
      <c r="M346">
        <f t="shared" si="509"/>
        <v>-4</v>
      </c>
      <c r="N346">
        <f t="shared" si="509"/>
        <v>-2</v>
      </c>
      <c r="P346" t="str">
        <f t="shared" si="487"/>
        <v>0, -5, -2, -1</v>
      </c>
    </row>
    <row r="347" spans="1:16" x14ac:dyDescent="0.2">
      <c r="A347">
        <f t="shared" si="503"/>
        <v>345</v>
      </c>
      <c r="B347" s="1" t="s">
        <v>379</v>
      </c>
      <c r="C347">
        <v>6</v>
      </c>
      <c r="D347">
        <v>0</v>
      </c>
      <c r="E347">
        <v>-5</v>
      </c>
      <c r="F347">
        <v>-2</v>
      </c>
      <c r="G347">
        <v>-1</v>
      </c>
      <c r="H347">
        <f>_xlfn.XLOOKUP(I347,$B$2:$B$1096,$A$2:$A$1096,65535)</f>
        <v>65535</v>
      </c>
      <c r="J347">
        <f t="shared" ref="J347:K347" si="510">C347-C383</f>
        <v>-30</v>
      </c>
      <c r="K347">
        <f t="shared" si="510"/>
        <v>2</v>
      </c>
      <c r="L347">
        <f t="shared" ref="L347:N347" si="511">E347+E383</f>
        <v>-10</v>
      </c>
      <c r="M347">
        <f t="shared" si="511"/>
        <v>-4</v>
      </c>
      <c r="N347">
        <f t="shared" si="511"/>
        <v>-2</v>
      </c>
      <c r="P347" t="str">
        <f t="shared" si="487"/>
        <v>0, -5, -2, -1</v>
      </c>
    </row>
    <row r="348" spans="1:16" x14ac:dyDescent="0.2">
      <c r="A348">
        <f t="shared" si="503"/>
        <v>346</v>
      </c>
      <c r="B348" s="1" t="s">
        <v>380</v>
      </c>
      <c r="C348">
        <v>5</v>
      </c>
      <c r="D348">
        <v>-3</v>
      </c>
      <c r="E348">
        <v>0</v>
      </c>
      <c r="F348">
        <v>0</v>
      </c>
      <c r="G348">
        <v>0</v>
      </c>
      <c r="H348">
        <f>_xlfn.XLOOKUP(I348,$B$2:$B$1096,$A$2:$A$1096,65535)</f>
        <v>65535</v>
      </c>
      <c r="J348">
        <f t="shared" ref="J348:K348" si="512">C348-C384</f>
        <v>-31</v>
      </c>
      <c r="K348">
        <f t="shared" si="512"/>
        <v>-1</v>
      </c>
      <c r="L348">
        <f t="shared" ref="L348:N348" si="513">E348+E384</f>
        <v>-5</v>
      </c>
      <c r="M348">
        <f t="shared" si="513"/>
        <v>-2</v>
      </c>
      <c r="N348">
        <f t="shared" si="513"/>
        <v>-1</v>
      </c>
      <c r="P348" t="str">
        <f t="shared" si="487"/>
        <v>-3, 0, 0, 0</v>
      </c>
    </row>
    <row r="349" spans="1:16" x14ac:dyDescent="0.2">
      <c r="A349">
        <f t="shared" si="503"/>
        <v>347</v>
      </c>
      <c r="B349" s="1" t="s">
        <v>381</v>
      </c>
      <c r="C349">
        <v>36</v>
      </c>
      <c r="D349">
        <v>-2</v>
      </c>
      <c r="E349">
        <v>-5</v>
      </c>
      <c r="F349">
        <v>-2</v>
      </c>
      <c r="G349">
        <v>-1</v>
      </c>
      <c r="H349">
        <f>_xlfn.XLOOKUP(I349,$B$2:$B$1096,$A$2:$A$1096,65535)</f>
        <v>65535</v>
      </c>
      <c r="J349">
        <f t="shared" ref="J349:K349" si="514">C349-C385</f>
        <v>0</v>
      </c>
      <c r="K349">
        <f t="shared" si="514"/>
        <v>0</v>
      </c>
      <c r="L349">
        <f t="shared" ref="L349:N349" si="515">E349+E385</f>
        <v>-10</v>
      </c>
      <c r="M349">
        <f t="shared" si="515"/>
        <v>-4</v>
      </c>
      <c r="N349">
        <f t="shared" si="515"/>
        <v>-2</v>
      </c>
      <c r="P349" t="str">
        <f t="shared" si="487"/>
        <v>-2, -5, -2, -1</v>
      </c>
    </row>
    <row r="350" spans="1:16" x14ac:dyDescent="0.2">
      <c r="A350">
        <f t="shared" si="503"/>
        <v>348</v>
      </c>
      <c r="B350" s="1" t="s">
        <v>382</v>
      </c>
      <c r="C350">
        <v>36</v>
      </c>
      <c r="D350">
        <v>-2</v>
      </c>
      <c r="E350">
        <v>-5</v>
      </c>
      <c r="F350">
        <v>-2</v>
      </c>
      <c r="G350">
        <v>-1</v>
      </c>
      <c r="H350">
        <f>_xlfn.XLOOKUP(I350,$B$2:$B$1096,$A$2:$A$1096,65535)</f>
        <v>65535</v>
      </c>
      <c r="J350">
        <f t="shared" ref="J350:K350" si="516">C350-C386</f>
        <v>0</v>
      </c>
      <c r="K350">
        <f t="shared" si="516"/>
        <v>0</v>
      </c>
      <c r="L350">
        <f t="shared" ref="L350:N350" si="517">E350+E386</f>
        <v>-10</v>
      </c>
      <c r="M350">
        <f t="shared" si="517"/>
        <v>-4</v>
      </c>
      <c r="N350">
        <f t="shared" si="517"/>
        <v>-2</v>
      </c>
      <c r="P350" t="str">
        <f t="shared" si="487"/>
        <v>-2, -5, -2, -1</v>
      </c>
    </row>
    <row r="351" spans="1:16" x14ac:dyDescent="0.2">
      <c r="A351">
        <f t="shared" si="503"/>
        <v>349</v>
      </c>
      <c r="B351" s="1" t="s">
        <v>383</v>
      </c>
      <c r="C351">
        <v>36</v>
      </c>
      <c r="D351">
        <v>-2</v>
      </c>
      <c r="E351">
        <v>-5</v>
      </c>
      <c r="F351">
        <v>-2</v>
      </c>
      <c r="G351">
        <v>-1</v>
      </c>
      <c r="H351">
        <f>_xlfn.XLOOKUP(I351,$B$2:$B$1096,$A$2:$A$1096,65535)</f>
        <v>65535</v>
      </c>
      <c r="J351">
        <f t="shared" ref="J351:K351" si="518">C351-C387</f>
        <v>0</v>
      </c>
      <c r="K351">
        <f t="shared" si="518"/>
        <v>0</v>
      </c>
      <c r="L351">
        <f t="shared" ref="L351:N351" si="519">E351+E387</f>
        <v>-10</v>
      </c>
      <c r="M351">
        <f t="shared" si="519"/>
        <v>-4</v>
      </c>
      <c r="N351">
        <f t="shared" si="519"/>
        <v>-2</v>
      </c>
      <c r="P351" t="str">
        <f t="shared" si="487"/>
        <v>-2, -5, -2, -1</v>
      </c>
    </row>
    <row r="352" spans="1:16" x14ac:dyDescent="0.2">
      <c r="A352">
        <f t="shared" si="503"/>
        <v>350</v>
      </c>
      <c r="B352" s="1" t="s">
        <v>384</v>
      </c>
      <c r="C352">
        <v>36</v>
      </c>
      <c r="D352">
        <v>-2</v>
      </c>
      <c r="E352">
        <v>-5</v>
      </c>
      <c r="F352">
        <v>-2</v>
      </c>
      <c r="G352">
        <v>-1</v>
      </c>
      <c r="H352">
        <f>_xlfn.XLOOKUP(I352,$B$2:$B$1096,$A$2:$A$1096,65535)</f>
        <v>65535</v>
      </c>
      <c r="J352">
        <f t="shared" ref="J352:K352" si="520">C352-C388</f>
        <v>0</v>
      </c>
      <c r="K352">
        <f t="shared" si="520"/>
        <v>0</v>
      </c>
      <c r="L352">
        <f t="shared" ref="L352:N352" si="521">E352+E388</f>
        <v>-10</v>
      </c>
      <c r="M352">
        <f t="shared" si="521"/>
        <v>-4</v>
      </c>
      <c r="N352">
        <f t="shared" si="521"/>
        <v>-2</v>
      </c>
      <c r="P352" t="str">
        <f t="shared" si="487"/>
        <v>-2, -5, -2, -1</v>
      </c>
    </row>
    <row r="353" spans="1:16" x14ac:dyDescent="0.2">
      <c r="A353">
        <f t="shared" si="503"/>
        <v>351</v>
      </c>
      <c r="B353" s="1" t="s">
        <v>385</v>
      </c>
      <c r="C353">
        <v>5</v>
      </c>
      <c r="D353">
        <v>-1</v>
      </c>
      <c r="E353">
        <v>0</v>
      </c>
      <c r="F353">
        <v>0</v>
      </c>
      <c r="G353">
        <v>0</v>
      </c>
      <c r="H353">
        <f>_xlfn.XLOOKUP(I353,$B$2:$B$1096,$A$2:$A$1096,65535)</f>
        <v>65535</v>
      </c>
      <c r="J353">
        <f t="shared" ref="J353:K353" si="522">C353-C389</f>
        <v>0</v>
      </c>
      <c r="K353">
        <f t="shared" si="522"/>
        <v>-1</v>
      </c>
      <c r="L353">
        <f t="shared" ref="L353:N353" si="523">E353+E389</f>
        <v>-5</v>
      </c>
      <c r="M353">
        <f t="shared" si="523"/>
        <v>-2</v>
      </c>
      <c r="N353">
        <f t="shared" si="523"/>
        <v>-1</v>
      </c>
      <c r="P353" t="str">
        <f t="shared" si="487"/>
        <v>-1, 0, 0, 0</v>
      </c>
    </row>
    <row r="354" spans="1:16" x14ac:dyDescent="0.2">
      <c r="A354">
        <f t="shared" si="503"/>
        <v>352</v>
      </c>
      <c r="B354" s="1" t="s">
        <v>386</v>
      </c>
      <c r="C354">
        <v>5</v>
      </c>
      <c r="D354">
        <v>-4</v>
      </c>
      <c r="E354">
        <v>0</v>
      </c>
      <c r="F354">
        <v>0</v>
      </c>
      <c r="G354">
        <v>0</v>
      </c>
      <c r="H354">
        <f>_xlfn.XLOOKUP(I354,$B$2:$B$1096,$A$2:$A$1096,65535)</f>
        <v>65535</v>
      </c>
      <c r="J354">
        <f t="shared" ref="J354:K354" si="524">C354-C390</f>
        <v>1</v>
      </c>
      <c r="K354">
        <f t="shared" si="524"/>
        <v>-4</v>
      </c>
      <c r="L354">
        <f t="shared" ref="L354:N354" si="525">E354+E390</f>
        <v>-5</v>
      </c>
      <c r="M354">
        <f t="shared" si="525"/>
        <v>-2</v>
      </c>
      <c r="N354">
        <f t="shared" si="525"/>
        <v>-1</v>
      </c>
      <c r="P354" t="str">
        <f t="shared" si="487"/>
        <v>-4, 0, 0, 0</v>
      </c>
    </row>
    <row r="355" spans="1:16" x14ac:dyDescent="0.2">
      <c r="A355">
        <f t="shared" si="503"/>
        <v>353</v>
      </c>
      <c r="B355" s="1" t="s">
        <v>387</v>
      </c>
      <c r="C355">
        <v>5</v>
      </c>
      <c r="D355">
        <v>0</v>
      </c>
      <c r="E355">
        <v>-5</v>
      </c>
      <c r="F355">
        <v>-2</v>
      </c>
      <c r="G355">
        <v>-1</v>
      </c>
      <c r="H355">
        <f>_xlfn.XLOOKUP(I355,$B$2:$B$1096,$A$2:$A$1096,65535)</f>
        <v>65535</v>
      </c>
      <c r="J355">
        <f t="shared" ref="J355:K355" si="526">C355-C391</f>
        <v>0</v>
      </c>
      <c r="K355">
        <f t="shared" si="526"/>
        <v>0</v>
      </c>
      <c r="L355">
        <f t="shared" ref="L355:N355" si="527">E355+E391</f>
        <v>-10</v>
      </c>
      <c r="M355">
        <f t="shared" si="527"/>
        <v>-4</v>
      </c>
      <c r="N355">
        <f t="shared" si="527"/>
        <v>-2</v>
      </c>
      <c r="P355" t="str">
        <f t="shared" si="487"/>
        <v>0, -5, -2, -1</v>
      </c>
    </row>
    <row r="356" spans="1:16" x14ac:dyDescent="0.2">
      <c r="A356">
        <f t="shared" si="503"/>
        <v>354</v>
      </c>
      <c r="B356" s="1" t="s">
        <v>388</v>
      </c>
      <c r="C356">
        <v>4</v>
      </c>
      <c r="D356">
        <v>0</v>
      </c>
      <c r="E356">
        <v>-5</v>
      </c>
      <c r="F356">
        <v>-2</v>
      </c>
      <c r="G356">
        <v>-1</v>
      </c>
      <c r="H356">
        <f>_xlfn.XLOOKUP(I356,$B$2:$B$1096,$A$2:$A$1096,65535)</f>
        <v>65535</v>
      </c>
      <c r="I356" s="1"/>
      <c r="J356">
        <f t="shared" ref="J356:K356" si="528">C356-C392</f>
        <v>-2</v>
      </c>
      <c r="K356">
        <f t="shared" si="528"/>
        <v>0</v>
      </c>
      <c r="L356">
        <f t="shared" ref="L356:N356" si="529">E356+E392</f>
        <v>-10</v>
      </c>
      <c r="M356">
        <f t="shared" si="529"/>
        <v>-4</v>
      </c>
      <c r="N356">
        <f t="shared" si="529"/>
        <v>-2</v>
      </c>
      <c r="P356" t="str">
        <f t="shared" si="487"/>
        <v>0, -5, -2, -1</v>
      </c>
    </row>
    <row r="357" spans="1:16" x14ac:dyDescent="0.2">
      <c r="A357">
        <f t="shared" si="503"/>
        <v>355</v>
      </c>
      <c r="B357" s="1" t="s">
        <v>389</v>
      </c>
      <c r="C357">
        <v>5</v>
      </c>
      <c r="D357">
        <v>0</v>
      </c>
      <c r="E357">
        <v>-5</v>
      </c>
      <c r="F357">
        <v>-2</v>
      </c>
      <c r="G357">
        <v>-1</v>
      </c>
      <c r="H357">
        <f>_xlfn.XLOOKUP(I357,$B$2:$B$1096,$A$2:$A$1096,65535)</f>
        <v>65535</v>
      </c>
      <c r="J357">
        <f t="shared" ref="J357:K357" si="530">C357-C393</f>
        <v>0</v>
      </c>
      <c r="K357">
        <f t="shared" si="530"/>
        <v>3</v>
      </c>
      <c r="L357">
        <f t="shared" ref="L357:N357" si="531">E357+E393</f>
        <v>-5</v>
      </c>
      <c r="M357">
        <f t="shared" si="531"/>
        <v>-2</v>
      </c>
      <c r="N357">
        <f t="shared" si="531"/>
        <v>-1</v>
      </c>
      <c r="P357" t="str">
        <f t="shared" si="487"/>
        <v>0, -5, -2, -1</v>
      </c>
    </row>
    <row r="358" spans="1:16" x14ac:dyDescent="0.2">
      <c r="A358">
        <f t="shared" si="503"/>
        <v>356</v>
      </c>
      <c r="B358" s="1" t="s">
        <v>390</v>
      </c>
      <c r="C358">
        <v>6</v>
      </c>
      <c r="D358">
        <v>0</v>
      </c>
      <c r="E358">
        <v>-5</v>
      </c>
      <c r="F358">
        <v>-2</v>
      </c>
      <c r="G358">
        <v>-1</v>
      </c>
      <c r="H358">
        <f>_xlfn.XLOOKUP(I358,$B$2:$B$1096,$A$2:$A$1096,65535)</f>
        <v>65535</v>
      </c>
      <c r="J358">
        <f t="shared" ref="J358:K358" si="532">C358-C394</f>
        <v>-30</v>
      </c>
      <c r="K358">
        <f t="shared" si="532"/>
        <v>2</v>
      </c>
      <c r="L358">
        <f t="shared" ref="L358:N358" si="533">E358+E394</f>
        <v>-10</v>
      </c>
      <c r="M358">
        <f t="shared" si="533"/>
        <v>-4</v>
      </c>
      <c r="N358">
        <f t="shared" si="533"/>
        <v>-2</v>
      </c>
      <c r="P358" t="str">
        <f t="shared" si="487"/>
        <v>0, -5, -2, -1</v>
      </c>
    </row>
    <row r="359" spans="1:16" x14ac:dyDescent="0.2">
      <c r="A359">
        <f t="shared" si="503"/>
        <v>357</v>
      </c>
      <c r="B359" s="1" t="s">
        <v>391</v>
      </c>
      <c r="C359">
        <v>5</v>
      </c>
      <c r="D359">
        <v>-3</v>
      </c>
      <c r="E359">
        <v>0</v>
      </c>
      <c r="F359">
        <v>0</v>
      </c>
      <c r="G359">
        <v>0</v>
      </c>
      <c r="H359">
        <f>_xlfn.XLOOKUP(I359,$B$2:$B$1096,$A$2:$A$1096,65535)</f>
        <v>65535</v>
      </c>
      <c r="J359">
        <f t="shared" ref="J359:K359" si="534">C359-C395</f>
        <v>-31</v>
      </c>
      <c r="K359">
        <f t="shared" si="534"/>
        <v>-1</v>
      </c>
      <c r="L359">
        <f t="shared" ref="L359:N359" si="535">E359+E395</f>
        <v>-5</v>
      </c>
      <c r="M359">
        <f t="shared" si="535"/>
        <v>-2</v>
      </c>
      <c r="N359">
        <f t="shared" si="535"/>
        <v>-1</v>
      </c>
      <c r="P359" t="str">
        <f t="shared" si="487"/>
        <v>-3, 0, 0, 0</v>
      </c>
    </row>
    <row r="360" spans="1:16" x14ac:dyDescent="0.2">
      <c r="A360">
        <f t="shared" si="503"/>
        <v>358</v>
      </c>
      <c r="B360" s="1" t="s">
        <v>392</v>
      </c>
      <c r="C360">
        <v>36</v>
      </c>
      <c r="D360">
        <v>-2</v>
      </c>
      <c r="E360">
        <v>-5</v>
      </c>
      <c r="F360">
        <v>-2</v>
      </c>
      <c r="G360">
        <v>-1</v>
      </c>
      <c r="H360">
        <f>_xlfn.XLOOKUP(I360,$B$2:$B$1096,$A$2:$A$1096,65535)</f>
        <v>65535</v>
      </c>
      <c r="I360" s="1"/>
      <c r="J360">
        <f t="shared" ref="J360:K360" si="536">C360-C396</f>
        <v>0</v>
      </c>
      <c r="K360">
        <f t="shared" si="536"/>
        <v>0</v>
      </c>
      <c r="L360">
        <f t="shared" ref="L360:N360" si="537">E360+E396</f>
        <v>-10</v>
      </c>
      <c r="M360">
        <f t="shared" si="537"/>
        <v>-4</v>
      </c>
      <c r="N360">
        <f t="shared" si="537"/>
        <v>-2</v>
      </c>
      <c r="P360" t="str">
        <f t="shared" si="487"/>
        <v>-2, -5, -2, -1</v>
      </c>
    </row>
    <row r="361" spans="1:16" x14ac:dyDescent="0.2">
      <c r="A361">
        <f t="shared" si="503"/>
        <v>359</v>
      </c>
      <c r="B361" s="1" t="s">
        <v>393</v>
      </c>
      <c r="C361">
        <v>36</v>
      </c>
      <c r="D361">
        <v>-2</v>
      </c>
      <c r="E361">
        <v>-5</v>
      </c>
      <c r="F361">
        <v>-2</v>
      </c>
      <c r="G361">
        <v>-1</v>
      </c>
      <c r="H361">
        <f>_xlfn.XLOOKUP(I361,$B$2:$B$1096,$A$2:$A$1096,65535)</f>
        <v>65535</v>
      </c>
      <c r="J361">
        <f t="shared" ref="J361:K361" si="538">C361-C397</f>
        <v>0</v>
      </c>
      <c r="K361">
        <f t="shared" si="538"/>
        <v>0</v>
      </c>
      <c r="L361">
        <f t="shared" ref="L361:N361" si="539">E361+E397</f>
        <v>-10</v>
      </c>
      <c r="M361">
        <f t="shared" si="539"/>
        <v>-4</v>
      </c>
      <c r="N361">
        <f t="shared" si="539"/>
        <v>-2</v>
      </c>
      <c r="P361" t="str">
        <f t="shared" si="487"/>
        <v>-2, -5, -2, -1</v>
      </c>
    </row>
    <row r="362" spans="1:16" x14ac:dyDescent="0.2">
      <c r="A362">
        <f t="shared" si="503"/>
        <v>360</v>
      </c>
      <c r="B362" s="1" t="s">
        <v>394</v>
      </c>
      <c r="C362">
        <v>36</v>
      </c>
      <c r="D362">
        <v>-2</v>
      </c>
      <c r="E362">
        <v>-5</v>
      </c>
      <c r="F362">
        <v>-2</v>
      </c>
      <c r="G362">
        <v>-1</v>
      </c>
      <c r="H362">
        <f>_xlfn.XLOOKUP(I362,$B$2:$B$1096,$A$2:$A$1096,65535)</f>
        <v>65535</v>
      </c>
      <c r="J362">
        <f t="shared" ref="J362:K362" si="540">C362-C398</f>
        <v>0</v>
      </c>
      <c r="K362">
        <f t="shared" si="540"/>
        <v>0</v>
      </c>
      <c r="L362">
        <f t="shared" ref="L362:N362" si="541">E362+E398</f>
        <v>-10</v>
      </c>
      <c r="M362">
        <f t="shared" si="541"/>
        <v>-4</v>
      </c>
      <c r="N362">
        <f t="shared" si="541"/>
        <v>-2</v>
      </c>
      <c r="P362" t="str">
        <f t="shared" si="487"/>
        <v>-2, -5, -2, -1</v>
      </c>
    </row>
    <row r="363" spans="1:16" x14ac:dyDescent="0.2">
      <c r="A363">
        <f t="shared" si="503"/>
        <v>361</v>
      </c>
      <c r="B363" s="1" t="s">
        <v>395</v>
      </c>
      <c r="C363">
        <v>36</v>
      </c>
      <c r="D363">
        <v>-2</v>
      </c>
      <c r="E363">
        <v>-5</v>
      </c>
      <c r="F363">
        <v>-2</v>
      </c>
      <c r="G363">
        <v>-1</v>
      </c>
      <c r="H363">
        <f>_xlfn.XLOOKUP(I363,$B$2:$B$1096,$A$2:$A$1096,65535)</f>
        <v>65535</v>
      </c>
      <c r="J363">
        <f t="shared" ref="J363:K363" si="542">C363-C399</f>
        <v>0</v>
      </c>
      <c r="K363">
        <f t="shared" si="542"/>
        <v>0</v>
      </c>
      <c r="L363">
        <f t="shared" ref="L363:N363" si="543">E363+E399</f>
        <v>-10</v>
      </c>
      <c r="M363">
        <f t="shared" si="543"/>
        <v>-4</v>
      </c>
      <c r="N363">
        <f t="shared" si="543"/>
        <v>-2</v>
      </c>
      <c r="P363" t="str">
        <f t="shared" si="487"/>
        <v>-2, -5, -2, -1</v>
      </c>
    </row>
    <row r="364" spans="1:16" x14ac:dyDescent="0.2">
      <c r="A364">
        <f t="shared" si="503"/>
        <v>362</v>
      </c>
      <c r="B364" s="1" t="s">
        <v>396</v>
      </c>
      <c r="C364">
        <v>36</v>
      </c>
      <c r="D364">
        <v>-2</v>
      </c>
      <c r="E364">
        <v>-5</v>
      </c>
      <c r="F364">
        <v>-2</v>
      </c>
      <c r="G364">
        <v>-1</v>
      </c>
      <c r="H364">
        <f>_xlfn.XLOOKUP(I364,$B$2:$B$1096,$A$2:$A$1096,65535)</f>
        <v>65535</v>
      </c>
      <c r="I364" s="1"/>
      <c r="J364">
        <f t="shared" ref="J364:K364" si="544">C364-C400</f>
        <v>0</v>
      </c>
      <c r="K364">
        <f t="shared" si="544"/>
        <v>-1</v>
      </c>
      <c r="L364">
        <f t="shared" ref="L364:N364" si="545">E364+E400</f>
        <v>-10</v>
      </c>
      <c r="M364">
        <f t="shared" si="545"/>
        <v>-4</v>
      </c>
      <c r="N364">
        <f t="shared" si="545"/>
        <v>-2</v>
      </c>
      <c r="P364" t="str">
        <f t="shared" si="487"/>
        <v>-2, -5, -2, -1</v>
      </c>
    </row>
    <row r="365" spans="1:16" x14ac:dyDescent="0.2">
      <c r="A365">
        <f t="shared" si="503"/>
        <v>363</v>
      </c>
      <c r="B365" s="1" t="s">
        <v>397</v>
      </c>
      <c r="C365">
        <v>36</v>
      </c>
      <c r="D365">
        <v>-2</v>
      </c>
      <c r="E365">
        <v>-5</v>
      </c>
      <c r="F365">
        <v>-2</v>
      </c>
      <c r="G365">
        <v>-1</v>
      </c>
      <c r="H365">
        <f>_xlfn.XLOOKUP(I365,$B$2:$B$1096,$A$2:$A$1096,65535)</f>
        <v>65535</v>
      </c>
      <c r="J365">
        <f t="shared" ref="J365:K365" si="546">C365-C401</f>
        <v>31</v>
      </c>
      <c r="K365">
        <f t="shared" si="546"/>
        <v>-2</v>
      </c>
      <c r="L365">
        <f t="shared" ref="L365:N365" si="547">E365+E401</f>
        <v>-10</v>
      </c>
      <c r="M365">
        <f t="shared" si="547"/>
        <v>-4</v>
      </c>
      <c r="N365">
        <f t="shared" si="547"/>
        <v>-2</v>
      </c>
      <c r="P365" t="str">
        <f t="shared" si="487"/>
        <v>-2, -5, -2, -1</v>
      </c>
    </row>
    <row r="366" spans="1:16" x14ac:dyDescent="0.2">
      <c r="A366">
        <f t="shared" si="503"/>
        <v>364</v>
      </c>
      <c r="B366" s="1" t="s">
        <v>398</v>
      </c>
      <c r="C366">
        <v>36</v>
      </c>
      <c r="D366">
        <v>-1</v>
      </c>
      <c r="E366">
        <v>-5</v>
      </c>
      <c r="F366">
        <v>-2</v>
      </c>
      <c r="G366">
        <v>-1</v>
      </c>
      <c r="H366">
        <f>_xlfn.XLOOKUP(I366,$B$2:$B$1096,$A$2:$A$1096,65535)</f>
        <v>65535</v>
      </c>
      <c r="J366">
        <f t="shared" ref="J366:K366" si="548">C366-C402</f>
        <v>-1</v>
      </c>
      <c r="K366">
        <f t="shared" si="548"/>
        <v>-1</v>
      </c>
      <c r="L366">
        <f t="shared" ref="L366:N366" si="549">E366+E402</f>
        <v>-5</v>
      </c>
      <c r="M366">
        <f t="shared" si="549"/>
        <v>-2</v>
      </c>
      <c r="N366">
        <f t="shared" si="549"/>
        <v>-1</v>
      </c>
      <c r="P366" t="str">
        <f t="shared" si="487"/>
        <v>-1, -5, -2, -1</v>
      </c>
    </row>
    <row r="367" spans="1:16" x14ac:dyDescent="0.2">
      <c r="A367">
        <f t="shared" si="503"/>
        <v>365</v>
      </c>
      <c r="B367" s="1" t="s">
        <v>399</v>
      </c>
      <c r="C367">
        <v>5</v>
      </c>
      <c r="D367">
        <v>0</v>
      </c>
      <c r="E367">
        <v>-5</v>
      </c>
      <c r="F367">
        <v>-2</v>
      </c>
      <c r="G367">
        <v>-1</v>
      </c>
      <c r="H367">
        <f>_xlfn.XLOOKUP(I367,$B$2:$B$1096,$A$2:$A$1096,65535)</f>
        <v>65535</v>
      </c>
      <c r="I367" s="1"/>
      <c r="J367">
        <f t="shared" ref="J367:K367" si="550">C367-C403</f>
        <v>-33</v>
      </c>
      <c r="K367">
        <f t="shared" si="550"/>
        <v>0</v>
      </c>
      <c r="L367">
        <f t="shared" ref="L367:N367" si="551">E367+E403</f>
        <v>-5</v>
      </c>
      <c r="M367">
        <f t="shared" si="551"/>
        <v>-2</v>
      </c>
      <c r="N367">
        <f t="shared" si="551"/>
        <v>-1</v>
      </c>
      <c r="P367" t="str">
        <f t="shared" si="487"/>
        <v>0, -5, -2, -1</v>
      </c>
    </row>
    <row r="368" spans="1:16" x14ac:dyDescent="0.2">
      <c r="A368">
        <f t="shared" si="503"/>
        <v>366</v>
      </c>
      <c r="B368" s="1" t="s">
        <v>966</v>
      </c>
      <c r="C368">
        <v>5</v>
      </c>
      <c r="D368">
        <v>0</v>
      </c>
      <c r="E368">
        <v>-5</v>
      </c>
      <c r="F368">
        <v>-2</v>
      </c>
      <c r="G368">
        <v>-1</v>
      </c>
      <c r="H368">
        <f>_xlfn.XLOOKUP(I368,$B$2:$B$1096,$A$2:$A$1096,65535)</f>
        <v>65535</v>
      </c>
      <c r="J368">
        <f t="shared" ref="J368:K368" si="552">C368-C404</f>
        <v>-34</v>
      </c>
      <c r="K368">
        <f t="shared" si="552"/>
        <v>0</v>
      </c>
      <c r="L368">
        <f t="shared" ref="L368:N368" si="553">E368+E404</f>
        <v>-5</v>
      </c>
      <c r="M368">
        <f t="shared" si="553"/>
        <v>-2</v>
      </c>
      <c r="N368">
        <f t="shared" si="553"/>
        <v>-1</v>
      </c>
      <c r="P368" t="str">
        <f t="shared" si="487"/>
        <v>0, -5, -2, -1</v>
      </c>
    </row>
    <row r="369" spans="1:16" x14ac:dyDescent="0.2">
      <c r="A369">
        <f t="shared" si="503"/>
        <v>367</v>
      </c>
      <c r="B369" s="1" t="s">
        <v>967</v>
      </c>
      <c r="C369">
        <v>4</v>
      </c>
      <c r="D369">
        <v>0</v>
      </c>
      <c r="E369">
        <v>-5</v>
      </c>
      <c r="F369">
        <v>-2</v>
      </c>
      <c r="G369">
        <v>-1</v>
      </c>
      <c r="H369">
        <f>_xlfn.XLOOKUP(I369,$B$2:$B$1096,$A$2:$A$1096,65535)</f>
        <v>65535</v>
      </c>
      <c r="I369" s="1"/>
      <c r="J369">
        <f t="shared" ref="J369:K369" si="554">C369-C405</f>
        <v>-34</v>
      </c>
      <c r="K369">
        <f t="shared" si="554"/>
        <v>0</v>
      </c>
      <c r="L369">
        <f t="shared" ref="L369:N369" si="555">E369+E405</f>
        <v>-5</v>
      </c>
      <c r="M369">
        <f t="shared" si="555"/>
        <v>-2</v>
      </c>
      <c r="N369">
        <f t="shared" si="555"/>
        <v>-1</v>
      </c>
      <c r="P369" t="str">
        <f t="shared" si="487"/>
        <v>0, -5, -2, -1</v>
      </c>
    </row>
    <row r="370" spans="1:16" x14ac:dyDescent="0.2">
      <c r="A370">
        <f t="shared" si="503"/>
        <v>368</v>
      </c>
      <c r="B370" s="1" t="s">
        <v>968</v>
      </c>
      <c r="C370">
        <v>5</v>
      </c>
      <c r="D370">
        <v>0</v>
      </c>
      <c r="E370">
        <v>-5</v>
      </c>
      <c r="F370">
        <v>-2</v>
      </c>
      <c r="G370">
        <v>-1</v>
      </c>
      <c r="H370">
        <f>_xlfn.XLOOKUP(I370,$B$2:$B$1096,$A$2:$A$1096,65535)</f>
        <v>65535</v>
      </c>
      <c r="J370">
        <f t="shared" ref="J370:K370" si="556">C370-C406</f>
        <v>-32</v>
      </c>
      <c r="K370">
        <f t="shared" si="556"/>
        <v>0</v>
      </c>
      <c r="L370">
        <f t="shared" ref="L370:N370" si="557">E370+E406</f>
        <v>-5</v>
      </c>
      <c r="M370">
        <f t="shared" si="557"/>
        <v>-2</v>
      </c>
      <c r="N370">
        <f t="shared" si="557"/>
        <v>-1</v>
      </c>
      <c r="P370" t="str">
        <f t="shared" ref="P370:P433" si="558">_xlfn.CONCAT(D370,", ",E370,", ",F370,", ",G370)</f>
        <v>0, -5, -2, -1</v>
      </c>
    </row>
    <row r="371" spans="1:16" x14ac:dyDescent="0.2">
      <c r="A371">
        <f t="shared" si="503"/>
        <v>369</v>
      </c>
      <c r="B371" s="1" t="s">
        <v>969</v>
      </c>
      <c r="C371">
        <v>6</v>
      </c>
      <c r="D371">
        <v>0</v>
      </c>
      <c r="E371">
        <v>-5</v>
      </c>
      <c r="F371">
        <v>-2</v>
      </c>
      <c r="G371">
        <v>-1</v>
      </c>
      <c r="H371">
        <f>_xlfn.XLOOKUP(I371,$B$2:$B$1096,$A$2:$A$1096,65535)</f>
        <v>65535</v>
      </c>
      <c r="J371">
        <f t="shared" ref="J371:K371" si="559">C371-C407</f>
        <v>-32</v>
      </c>
      <c r="K371">
        <f t="shared" si="559"/>
        <v>0</v>
      </c>
      <c r="L371">
        <f t="shared" ref="L371:N371" si="560">E371+E407</f>
        <v>-5</v>
      </c>
      <c r="M371">
        <f t="shared" si="560"/>
        <v>-2</v>
      </c>
      <c r="N371">
        <f t="shared" si="560"/>
        <v>-1</v>
      </c>
      <c r="P371" t="str">
        <f t="shared" si="558"/>
        <v>0, -5, -2, -1</v>
      </c>
    </row>
    <row r="372" spans="1:16" x14ac:dyDescent="0.2">
      <c r="A372">
        <f t="shared" si="503"/>
        <v>370</v>
      </c>
      <c r="B372" s="1" t="s">
        <v>970</v>
      </c>
      <c r="C372">
        <v>5</v>
      </c>
      <c r="D372">
        <v>-3</v>
      </c>
      <c r="E372">
        <v>-5</v>
      </c>
      <c r="F372">
        <v>-2</v>
      </c>
      <c r="G372">
        <v>-1</v>
      </c>
      <c r="H372">
        <f>_xlfn.XLOOKUP(I372,$B$2:$B$1096,$A$2:$A$1096,65535)</f>
        <v>65535</v>
      </c>
      <c r="J372">
        <f t="shared" ref="J372:K372" si="561">C372-C408</f>
        <v>-34</v>
      </c>
      <c r="K372">
        <f t="shared" si="561"/>
        <v>-3</v>
      </c>
      <c r="L372">
        <f t="shared" ref="L372:N372" si="562">E372+E408</f>
        <v>-5</v>
      </c>
      <c r="M372">
        <f t="shared" si="562"/>
        <v>-2</v>
      </c>
      <c r="N372">
        <f t="shared" si="562"/>
        <v>-1</v>
      </c>
      <c r="P372" t="str">
        <f t="shared" si="558"/>
        <v>-3, -5, -2, -1</v>
      </c>
    </row>
    <row r="373" spans="1:16" x14ac:dyDescent="0.2">
      <c r="A373">
        <f t="shared" si="503"/>
        <v>371</v>
      </c>
      <c r="B373" s="1" t="s">
        <v>971</v>
      </c>
      <c r="C373">
        <v>36</v>
      </c>
      <c r="D373">
        <v>-2</v>
      </c>
      <c r="E373">
        <v>-5</v>
      </c>
      <c r="F373">
        <v>-2</v>
      </c>
      <c r="G373">
        <v>-1</v>
      </c>
      <c r="H373">
        <f>_xlfn.XLOOKUP(I373,$B$2:$B$1096,$A$2:$A$1096,65535)</f>
        <v>65535</v>
      </c>
      <c r="I373" s="1"/>
      <c r="J373">
        <f t="shared" ref="J373:K373" si="563">C373-C409</f>
        <v>-2</v>
      </c>
      <c r="K373">
        <f t="shared" si="563"/>
        <v>-2</v>
      </c>
      <c r="L373">
        <f t="shared" ref="L373:N373" si="564">E373+E409</f>
        <v>-5</v>
      </c>
      <c r="M373">
        <f t="shared" si="564"/>
        <v>-2</v>
      </c>
      <c r="N373">
        <f t="shared" si="564"/>
        <v>-1</v>
      </c>
      <c r="P373" t="str">
        <f t="shared" si="558"/>
        <v>-2, -5, -2, -1</v>
      </c>
    </row>
    <row r="374" spans="1:16" x14ac:dyDescent="0.2">
      <c r="A374">
        <f t="shared" si="503"/>
        <v>372</v>
      </c>
      <c r="B374" s="1" t="s">
        <v>972</v>
      </c>
      <c r="C374">
        <v>36</v>
      </c>
      <c r="D374">
        <v>-2</v>
      </c>
      <c r="E374">
        <v>-5</v>
      </c>
      <c r="F374">
        <v>-2</v>
      </c>
      <c r="G374">
        <v>-1</v>
      </c>
      <c r="H374">
        <f>_xlfn.XLOOKUP(I374,$B$2:$B$1096,$A$2:$A$1096,65535)</f>
        <v>65535</v>
      </c>
      <c r="J374">
        <f t="shared" ref="J374:K374" si="565">C374-C410</f>
        <v>-1</v>
      </c>
      <c r="K374">
        <f t="shared" si="565"/>
        <v>-2</v>
      </c>
      <c r="L374">
        <f t="shared" ref="L374:N374" si="566">E374+E410</f>
        <v>-5</v>
      </c>
      <c r="M374">
        <f t="shared" si="566"/>
        <v>-2</v>
      </c>
      <c r="N374">
        <f t="shared" si="566"/>
        <v>-1</v>
      </c>
      <c r="P374" t="str">
        <f t="shared" si="558"/>
        <v>-2, -5, -2, -1</v>
      </c>
    </row>
    <row r="375" spans="1:16" x14ac:dyDescent="0.2">
      <c r="A375">
        <f t="shared" si="503"/>
        <v>373</v>
      </c>
      <c r="B375" s="1" t="s">
        <v>973</v>
      </c>
      <c r="C375">
        <v>36</v>
      </c>
      <c r="D375">
        <v>-2</v>
      </c>
      <c r="E375">
        <v>-5</v>
      </c>
      <c r="F375">
        <v>-2</v>
      </c>
      <c r="G375">
        <v>-1</v>
      </c>
      <c r="H375">
        <f>_xlfn.XLOOKUP(I375,$B$2:$B$1096,$A$2:$A$1096,65535)</f>
        <v>65535</v>
      </c>
      <c r="J375">
        <f t="shared" ref="J375:K375" si="567">C375-C411</f>
        <v>-2</v>
      </c>
      <c r="K375">
        <f t="shared" si="567"/>
        <v>-2</v>
      </c>
      <c r="L375">
        <f t="shared" ref="L375:N375" si="568">E375+E411</f>
        <v>-5</v>
      </c>
      <c r="M375">
        <f t="shared" si="568"/>
        <v>-2</v>
      </c>
      <c r="N375">
        <f t="shared" si="568"/>
        <v>-1</v>
      </c>
      <c r="P375" t="str">
        <f t="shared" si="558"/>
        <v>-2, -5, -2, -1</v>
      </c>
    </row>
    <row r="376" spans="1:16" x14ac:dyDescent="0.2">
      <c r="A376">
        <f t="shared" si="503"/>
        <v>374</v>
      </c>
      <c r="B376" s="1" t="s">
        <v>974</v>
      </c>
      <c r="C376">
        <v>36</v>
      </c>
      <c r="D376">
        <v>-2</v>
      </c>
      <c r="E376">
        <v>-5</v>
      </c>
      <c r="F376">
        <v>-2</v>
      </c>
      <c r="G376">
        <v>-1</v>
      </c>
      <c r="H376">
        <f>_xlfn.XLOOKUP(I376,$B$2:$B$1096,$A$2:$A$1096,65535)</f>
        <v>65535</v>
      </c>
      <c r="J376">
        <f t="shared" ref="J376:K376" si="569">C376-C412</f>
        <v>-3</v>
      </c>
      <c r="K376">
        <f t="shared" si="569"/>
        <v>-2</v>
      </c>
      <c r="L376">
        <f t="shared" ref="L376:N376" si="570">E376+E412</f>
        <v>-5</v>
      </c>
      <c r="M376">
        <f t="shared" si="570"/>
        <v>-2</v>
      </c>
      <c r="N376">
        <f t="shared" si="570"/>
        <v>-1</v>
      </c>
      <c r="P376" t="str">
        <f t="shared" si="558"/>
        <v>-2, -5, -2, -1</v>
      </c>
    </row>
    <row r="377" spans="1:16" x14ac:dyDescent="0.2">
      <c r="A377">
        <f t="shared" si="503"/>
        <v>375</v>
      </c>
      <c r="B377" s="1" t="s">
        <v>975</v>
      </c>
      <c r="C377">
        <v>36</v>
      </c>
      <c r="D377">
        <v>-2</v>
      </c>
      <c r="E377">
        <v>-5</v>
      </c>
      <c r="F377">
        <v>-2</v>
      </c>
      <c r="G377">
        <v>-1</v>
      </c>
      <c r="H377">
        <f>_xlfn.XLOOKUP(I377,$B$2:$B$1096,$A$2:$A$1096,65535)</f>
        <v>65535</v>
      </c>
      <c r="I377" s="1"/>
      <c r="J377">
        <f t="shared" ref="J377:K377" si="571">C377-C413</f>
        <v>-4</v>
      </c>
      <c r="K377">
        <f t="shared" si="571"/>
        <v>-2</v>
      </c>
      <c r="L377">
        <f t="shared" ref="L377:N377" si="572">E377+E413</f>
        <v>-5</v>
      </c>
      <c r="M377">
        <f t="shared" si="572"/>
        <v>-2</v>
      </c>
      <c r="N377">
        <f t="shared" si="572"/>
        <v>-1</v>
      </c>
      <c r="P377" t="str">
        <f t="shared" si="558"/>
        <v>-2, -5, -2, -1</v>
      </c>
    </row>
    <row r="378" spans="1:16" x14ac:dyDescent="0.2">
      <c r="A378">
        <f t="shared" si="503"/>
        <v>376</v>
      </c>
      <c r="B378" s="1" t="s">
        <v>976</v>
      </c>
      <c r="C378">
        <v>36</v>
      </c>
      <c r="D378">
        <v>-2</v>
      </c>
      <c r="E378">
        <v>-5</v>
      </c>
      <c r="F378">
        <v>-2</v>
      </c>
      <c r="G378">
        <v>-1</v>
      </c>
      <c r="H378">
        <f>_xlfn.XLOOKUP(I378,$B$2:$B$1096,$A$2:$A$1096,65535)</f>
        <v>65535</v>
      </c>
      <c r="J378">
        <f t="shared" ref="J378:K378" si="573">C378-C414</f>
        <v>-5</v>
      </c>
      <c r="K378">
        <f t="shared" si="573"/>
        <v>-2</v>
      </c>
      <c r="L378">
        <f t="shared" ref="L378:N378" si="574">E378+E414</f>
        <v>-5</v>
      </c>
      <c r="M378">
        <f t="shared" si="574"/>
        <v>-2</v>
      </c>
      <c r="N378">
        <f t="shared" si="574"/>
        <v>-1</v>
      </c>
      <c r="P378" t="str">
        <f t="shared" si="558"/>
        <v>-2, -5, -2, -1</v>
      </c>
    </row>
    <row r="379" spans="1:16" x14ac:dyDescent="0.2">
      <c r="A379">
        <f t="shared" si="503"/>
        <v>377</v>
      </c>
      <c r="B379" s="1" t="s">
        <v>977</v>
      </c>
      <c r="C379">
        <v>36</v>
      </c>
      <c r="D379">
        <v>-1</v>
      </c>
      <c r="E379">
        <v>-5</v>
      </c>
      <c r="F379">
        <v>-2</v>
      </c>
      <c r="G379">
        <v>-1</v>
      </c>
      <c r="H379">
        <f>_xlfn.XLOOKUP(I379,$B$2:$B$1096,$A$2:$A$1096,65535)</f>
        <v>65535</v>
      </c>
      <c r="J379">
        <f t="shared" ref="J379:K379" si="575">C379-C415</f>
        <v>-6</v>
      </c>
      <c r="K379">
        <f t="shared" si="575"/>
        <v>-1</v>
      </c>
      <c r="L379">
        <f t="shared" ref="L379:N379" si="576">E379+E415</f>
        <v>-5</v>
      </c>
      <c r="M379">
        <f t="shared" si="576"/>
        <v>-2</v>
      </c>
      <c r="N379">
        <f t="shared" si="576"/>
        <v>-1</v>
      </c>
      <c r="P379" t="str">
        <f t="shared" si="558"/>
        <v>-1, -5, -2, -1</v>
      </c>
    </row>
    <row r="380" spans="1:16" x14ac:dyDescent="0.2">
      <c r="A380">
        <f t="shared" si="503"/>
        <v>378</v>
      </c>
      <c r="B380" s="1" t="s">
        <v>978</v>
      </c>
      <c r="C380">
        <v>36</v>
      </c>
      <c r="D380">
        <v>0</v>
      </c>
      <c r="E380">
        <v>0</v>
      </c>
      <c r="F380">
        <v>0</v>
      </c>
      <c r="G380">
        <v>0</v>
      </c>
      <c r="H380">
        <f>_xlfn.XLOOKUP(I380,$B$2:$B$1096,$A$2:$A$1096,65535)</f>
        <v>65535</v>
      </c>
      <c r="I380" s="1"/>
      <c r="J380">
        <f t="shared" ref="J380:K380" si="577">C380-C416</f>
        <v>-5</v>
      </c>
      <c r="K380">
        <f t="shared" si="577"/>
        <v>0</v>
      </c>
      <c r="L380">
        <f t="shared" ref="L380:N380" si="578">E380+E416</f>
        <v>0</v>
      </c>
      <c r="M380">
        <f t="shared" si="578"/>
        <v>0</v>
      </c>
      <c r="N380">
        <f t="shared" si="578"/>
        <v>0</v>
      </c>
      <c r="P380" t="str">
        <f t="shared" si="558"/>
        <v>0, 0, 0, 0</v>
      </c>
    </row>
    <row r="381" spans="1:16" x14ac:dyDescent="0.2">
      <c r="A381">
        <f t="shared" si="503"/>
        <v>379</v>
      </c>
      <c r="B381" s="1" t="s">
        <v>945</v>
      </c>
      <c r="C381">
        <v>36</v>
      </c>
      <c r="D381">
        <v>-2</v>
      </c>
      <c r="E381">
        <v>-5</v>
      </c>
      <c r="F381">
        <v>-2</v>
      </c>
      <c r="G381">
        <v>-1</v>
      </c>
      <c r="H381">
        <f>_xlfn.XLOOKUP(I381,$B$2:$B$1096,$A$2:$A$1096,65535)</f>
        <v>65535</v>
      </c>
      <c r="J381">
        <f t="shared" ref="J381:K381" si="579">C381-C417</f>
        <v>-4</v>
      </c>
      <c r="K381">
        <f t="shared" si="579"/>
        <v>-2</v>
      </c>
      <c r="L381">
        <f t="shared" ref="L381:N381" si="580">E381+E417</f>
        <v>-5</v>
      </c>
      <c r="M381">
        <f t="shared" si="580"/>
        <v>-2</v>
      </c>
      <c r="N381">
        <f t="shared" si="580"/>
        <v>-1</v>
      </c>
      <c r="P381" t="str">
        <f t="shared" si="558"/>
        <v>-2, -5, -2, -1</v>
      </c>
    </row>
    <row r="382" spans="1:16" x14ac:dyDescent="0.2">
      <c r="A382">
        <f t="shared" si="503"/>
        <v>380</v>
      </c>
      <c r="B382" s="1" t="s">
        <v>946</v>
      </c>
      <c r="C382">
        <v>36</v>
      </c>
      <c r="D382">
        <v>-2</v>
      </c>
      <c r="E382">
        <v>-5</v>
      </c>
      <c r="F382">
        <v>-2</v>
      </c>
      <c r="G382">
        <v>-1</v>
      </c>
      <c r="H382">
        <f>_xlfn.XLOOKUP(I382,$B$2:$B$1096,$A$2:$A$1096,65535)</f>
        <v>65535</v>
      </c>
      <c r="I382" s="1"/>
      <c r="J382">
        <f t="shared" ref="J382:K382" si="581">C382-C418</f>
        <v>-5</v>
      </c>
      <c r="K382">
        <f t="shared" si="581"/>
        <v>-2</v>
      </c>
      <c r="L382">
        <f t="shared" ref="L382:N382" si="582">E382+E418</f>
        <v>-5</v>
      </c>
      <c r="M382">
        <f t="shared" si="582"/>
        <v>-2</v>
      </c>
      <c r="N382">
        <f t="shared" si="582"/>
        <v>-1</v>
      </c>
      <c r="P382" t="str">
        <f t="shared" si="558"/>
        <v>-2, -5, -2, -1</v>
      </c>
    </row>
    <row r="383" spans="1:16" x14ac:dyDescent="0.2">
      <c r="A383">
        <f t="shared" si="503"/>
        <v>381</v>
      </c>
      <c r="B383" s="1" t="s">
        <v>947</v>
      </c>
      <c r="C383">
        <v>36</v>
      </c>
      <c r="D383">
        <v>-2</v>
      </c>
      <c r="E383">
        <v>-5</v>
      </c>
      <c r="F383">
        <v>-2</v>
      </c>
      <c r="G383">
        <v>-1</v>
      </c>
      <c r="H383">
        <f>_xlfn.XLOOKUP(I383,$B$2:$B$1096,$A$2:$A$1096,65535)</f>
        <v>65535</v>
      </c>
      <c r="J383">
        <f t="shared" ref="J383:K383" si="583">C383-C419</f>
        <v>-6</v>
      </c>
      <c r="K383">
        <f t="shared" si="583"/>
        <v>-2</v>
      </c>
      <c r="L383">
        <f t="shared" ref="L383:N383" si="584">E383+E419</f>
        <v>-5</v>
      </c>
      <c r="M383">
        <f t="shared" si="584"/>
        <v>-2</v>
      </c>
      <c r="N383">
        <f t="shared" si="584"/>
        <v>-1</v>
      </c>
      <c r="P383" t="str">
        <f t="shared" si="558"/>
        <v>-2, -5, -2, -1</v>
      </c>
    </row>
    <row r="384" spans="1:16" x14ac:dyDescent="0.2">
      <c r="A384">
        <f t="shared" si="503"/>
        <v>382</v>
      </c>
      <c r="B384" s="1" t="s">
        <v>948</v>
      </c>
      <c r="C384">
        <v>36</v>
      </c>
      <c r="D384">
        <v>-2</v>
      </c>
      <c r="E384">
        <v>-5</v>
      </c>
      <c r="F384">
        <v>-2</v>
      </c>
      <c r="G384">
        <v>-1</v>
      </c>
      <c r="H384">
        <f>_xlfn.XLOOKUP(I384,$B$2:$B$1096,$A$2:$A$1096,65535)</f>
        <v>65535</v>
      </c>
      <c r="J384">
        <f t="shared" ref="J384:K384" si="585">C384-C420</f>
        <v>-5</v>
      </c>
      <c r="K384">
        <f t="shared" si="585"/>
        <v>-2</v>
      </c>
      <c r="L384">
        <f t="shared" ref="L384:N384" si="586">E384+E420</f>
        <v>-5</v>
      </c>
      <c r="M384">
        <f t="shared" si="586"/>
        <v>-2</v>
      </c>
      <c r="N384">
        <f t="shared" si="586"/>
        <v>-1</v>
      </c>
      <c r="P384" t="str">
        <f t="shared" si="558"/>
        <v>-2, -5, -2, -1</v>
      </c>
    </row>
    <row r="385" spans="1:16" x14ac:dyDescent="0.2">
      <c r="A385">
        <f t="shared" si="503"/>
        <v>383</v>
      </c>
      <c r="B385" s="1" t="s">
        <v>949</v>
      </c>
      <c r="C385">
        <v>36</v>
      </c>
      <c r="D385">
        <v>-2</v>
      </c>
      <c r="E385">
        <v>-5</v>
      </c>
      <c r="F385">
        <v>-2</v>
      </c>
      <c r="G385">
        <v>-1</v>
      </c>
      <c r="H385">
        <f>_xlfn.XLOOKUP(I385,$B$2:$B$1096,$A$2:$A$1096,65535)</f>
        <v>65535</v>
      </c>
      <c r="J385">
        <f t="shared" ref="J385:K385" si="587">C385-C421</f>
        <v>-4</v>
      </c>
      <c r="K385">
        <f t="shared" si="587"/>
        <v>-2</v>
      </c>
      <c r="L385">
        <f t="shared" ref="L385:N385" si="588">E385+E421</f>
        <v>-5</v>
      </c>
      <c r="M385">
        <f t="shared" si="588"/>
        <v>-2</v>
      </c>
      <c r="N385">
        <f t="shared" si="588"/>
        <v>-1</v>
      </c>
      <c r="P385" t="str">
        <f t="shared" si="558"/>
        <v>-2, -5, -2, -1</v>
      </c>
    </row>
    <row r="386" spans="1:16" x14ac:dyDescent="0.2">
      <c r="A386">
        <f t="shared" si="503"/>
        <v>384</v>
      </c>
      <c r="B386" s="1" t="s">
        <v>950</v>
      </c>
      <c r="C386">
        <v>36</v>
      </c>
      <c r="D386">
        <v>-2</v>
      </c>
      <c r="E386">
        <v>-5</v>
      </c>
      <c r="F386">
        <v>-2</v>
      </c>
      <c r="G386">
        <v>-1</v>
      </c>
      <c r="H386">
        <f>_xlfn.XLOOKUP(I386,$B$2:$B$1096,$A$2:$A$1096,65535)</f>
        <v>65535</v>
      </c>
      <c r="I386" s="1"/>
      <c r="J386">
        <f t="shared" ref="J386:K386" si="589">C386-C422</f>
        <v>-5</v>
      </c>
      <c r="K386">
        <f t="shared" si="589"/>
        <v>-2</v>
      </c>
      <c r="L386">
        <f t="shared" ref="L386:N386" si="590">E386+E422</f>
        <v>-5</v>
      </c>
      <c r="M386">
        <f t="shared" si="590"/>
        <v>-2</v>
      </c>
      <c r="N386">
        <f t="shared" si="590"/>
        <v>-1</v>
      </c>
      <c r="P386" t="str">
        <f t="shared" si="558"/>
        <v>-2, -5, -2, -1</v>
      </c>
    </row>
    <row r="387" spans="1:16" x14ac:dyDescent="0.2">
      <c r="A387">
        <f t="shared" si="503"/>
        <v>385</v>
      </c>
      <c r="B387" s="1" t="s">
        <v>951</v>
      </c>
      <c r="C387">
        <v>36</v>
      </c>
      <c r="D387">
        <v>-2</v>
      </c>
      <c r="E387">
        <v>-5</v>
      </c>
      <c r="F387">
        <v>-2</v>
      </c>
      <c r="G387">
        <v>-1</v>
      </c>
      <c r="H387">
        <f>_xlfn.XLOOKUP(I387,$B$2:$B$1096,$A$2:$A$1096,65535)</f>
        <v>65535</v>
      </c>
      <c r="J387">
        <f t="shared" ref="J387:K387" si="591">C387-C423</f>
        <v>-6</v>
      </c>
      <c r="K387">
        <f t="shared" si="591"/>
        <v>-2</v>
      </c>
      <c r="L387">
        <f t="shared" ref="L387:N387" si="592">E387+E423</f>
        <v>-5</v>
      </c>
      <c r="M387">
        <f t="shared" si="592"/>
        <v>-2</v>
      </c>
      <c r="N387">
        <f t="shared" si="592"/>
        <v>-1</v>
      </c>
      <c r="P387" t="str">
        <f t="shared" si="558"/>
        <v>-2, -5, -2, -1</v>
      </c>
    </row>
    <row r="388" spans="1:16" x14ac:dyDescent="0.2">
      <c r="A388">
        <f t="shared" si="503"/>
        <v>386</v>
      </c>
      <c r="B388" s="1" t="s">
        <v>952</v>
      </c>
      <c r="C388">
        <v>36</v>
      </c>
      <c r="D388">
        <v>-2</v>
      </c>
      <c r="E388">
        <v>-5</v>
      </c>
      <c r="F388">
        <v>-2</v>
      </c>
      <c r="G388">
        <v>-1</v>
      </c>
      <c r="H388">
        <f>_xlfn.XLOOKUP(I388,$B$2:$B$1096,$A$2:$A$1096,65535)</f>
        <v>65535</v>
      </c>
      <c r="J388">
        <f t="shared" ref="J388:K388" si="593">C388-C424</f>
        <v>32</v>
      </c>
      <c r="K388">
        <f t="shared" si="593"/>
        <v>-2</v>
      </c>
      <c r="L388">
        <f t="shared" ref="L388:N388" si="594">E388+E424</f>
        <v>-10</v>
      </c>
      <c r="M388">
        <f t="shared" si="594"/>
        <v>-4</v>
      </c>
      <c r="N388">
        <f t="shared" si="594"/>
        <v>-2</v>
      </c>
      <c r="P388" t="str">
        <f t="shared" si="558"/>
        <v>-2, -5, -2, -1</v>
      </c>
    </row>
    <row r="389" spans="1:16" x14ac:dyDescent="0.2">
      <c r="A389">
        <f t="shared" si="503"/>
        <v>387</v>
      </c>
      <c r="B389" s="1" t="s">
        <v>400</v>
      </c>
      <c r="C389">
        <v>5</v>
      </c>
      <c r="D389">
        <v>0</v>
      </c>
      <c r="E389">
        <v>-5</v>
      </c>
      <c r="F389">
        <v>-2</v>
      </c>
      <c r="G389">
        <v>-1</v>
      </c>
      <c r="H389">
        <f>_xlfn.XLOOKUP(I389,$B$2:$B$1096,$A$2:$A$1096,65535)</f>
        <v>65535</v>
      </c>
      <c r="J389">
        <f t="shared" ref="J389:K389" si="595">C389-C425</f>
        <v>1</v>
      </c>
      <c r="K389">
        <f t="shared" si="595"/>
        <v>0</v>
      </c>
      <c r="L389">
        <f t="shared" ref="L389:N389" si="596">E389+E425</f>
        <v>-10</v>
      </c>
      <c r="M389">
        <f t="shared" si="596"/>
        <v>-4</v>
      </c>
      <c r="N389">
        <f t="shared" si="596"/>
        <v>-2</v>
      </c>
      <c r="P389" t="str">
        <f t="shared" si="558"/>
        <v>0, -5, -2, -1</v>
      </c>
    </row>
    <row r="390" spans="1:16" x14ac:dyDescent="0.2">
      <c r="A390">
        <f t="shared" si="503"/>
        <v>388</v>
      </c>
      <c r="B390" s="1" t="s">
        <v>401</v>
      </c>
      <c r="C390">
        <v>4</v>
      </c>
      <c r="D390">
        <v>0</v>
      </c>
      <c r="E390">
        <v>-5</v>
      </c>
      <c r="F390">
        <v>-2</v>
      </c>
      <c r="G390">
        <v>-1</v>
      </c>
      <c r="H390">
        <f>_xlfn.XLOOKUP(I390,$B$2:$B$1096,$A$2:$A$1096,65535)</f>
        <v>65535</v>
      </c>
      <c r="I390" s="1"/>
      <c r="J390">
        <f t="shared" ref="J390:K390" si="597">C390-C426</f>
        <v>0</v>
      </c>
      <c r="K390">
        <f t="shared" si="597"/>
        <v>0</v>
      </c>
      <c r="L390">
        <f t="shared" ref="L390:N390" si="598">E390+E426</f>
        <v>-10</v>
      </c>
      <c r="M390">
        <f t="shared" si="598"/>
        <v>-4</v>
      </c>
      <c r="N390">
        <f t="shared" si="598"/>
        <v>-2</v>
      </c>
      <c r="P390" t="str">
        <f t="shared" si="558"/>
        <v>0, -5, -2, -1</v>
      </c>
    </row>
    <row r="391" spans="1:16" x14ac:dyDescent="0.2">
      <c r="A391">
        <f t="shared" si="503"/>
        <v>389</v>
      </c>
      <c r="B391" s="1" t="s">
        <v>402</v>
      </c>
      <c r="C391">
        <v>5</v>
      </c>
      <c r="D391">
        <v>0</v>
      </c>
      <c r="E391">
        <v>-5</v>
      </c>
      <c r="F391">
        <v>-2</v>
      </c>
      <c r="G391">
        <v>-1</v>
      </c>
      <c r="H391">
        <f>_xlfn.XLOOKUP(I391,$B$2:$B$1096,$A$2:$A$1096,65535)</f>
        <v>65535</v>
      </c>
      <c r="J391">
        <f t="shared" ref="J391:K391" si="599">C391-C427</f>
        <v>1</v>
      </c>
      <c r="K391">
        <f t="shared" si="599"/>
        <v>0</v>
      </c>
      <c r="L391">
        <f t="shared" ref="L391:N391" si="600">E391+E427</f>
        <v>-10</v>
      </c>
      <c r="M391">
        <f t="shared" si="600"/>
        <v>-4</v>
      </c>
      <c r="N391">
        <f t="shared" si="600"/>
        <v>-2</v>
      </c>
      <c r="P391" t="str">
        <f t="shared" si="558"/>
        <v>0, -5, -2, -1</v>
      </c>
    </row>
    <row r="392" spans="1:16" x14ac:dyDescent="0.2">
      <c r="A392">
        <f t="shared" si="503"/>
        <v>390</v>
      </c>
      <c r="B392" s="1" t="s">
        <v>403</v>
      </c>
      <c r="C392">
        <v>6</v>
      </c>
      <c r="D392">
        <v>0</v>
      </c>
      <c r="E392">
        <v>-5</v>
      </c>
      <c r="F392">
        <v>-2</v>
      </c>
      <c r="G392">
        <v>-1</v>
      </c>
      <c r="H392">
        <f>_xlfn.XLOOKUP(I392,$B$2:$B$1096,$A$2:$A$1096,65535)</f>
        <v>65535</v>
      </c>
      <c r="J392">
        <f t="shared" ref="J392:K392" si="601">C392-C428</f>
        <v>2</v>
      </c>
      <c r="K392">
        <f t="shared" si="601"/>
        <v>0</v>
      </c>
      <c r="L392">
        <f t="shared" ref="L392:N392" si="602">E392+E428</f>
        <v>-10</v>
      </c>
      <c r="M392">
        <f t="shared" si="602"/>
        <v>-4</v>
      </c>
      <c r="N392">
        <f t="shared" si="602"/>
        <v>-2</v>
      </c>
      <c r="P392" t="str">
        <f t="shared" si="558"/>
        <v>0, -5, -2, -1</v>
      </c>
    </row>
    <row r="393" spans="1:16" x14ac:dyDescent="0.2">
      <c r="A393">
        <f t="shared" si="503"/>
        <v>391</v>
      </c>
      <c r="B393" s="1" t="s">
        <v>404</v>
      </c>
      <c r="C393">
        <v>5</v>
      </c>
      <c r="D393">
        <v>-3</v>
      </c>
      <c r="E393">
        <v>0</v>
      </c>
      <c r="F393">
        <v>0</v>
      </c>
      <c r="G393">
        <v>0</v>
      </c>
      <c r="H393">
        <f>_xlfn.XLOOKUP(I393,$B$2:$B$1096,$A$2:$A$1096,65535)</f>
        <v>65535</v>
      </c>
      <c r="J393">
        <f t="shared" ref="J393:K393" si="603">C393-C429</f>
        <v>0</v>
      </c>
      <c r="K393">
        <f t="shared" si="603"/>
        <v>-3</v>
      </c>
      <c r="L393">
        <f t="shared" ref="L393:N393" si="604">E393+E429</f>
        <v>-5</v>
      </c>
      <c r="M393">
        <f t="shared" si="604"/>
        <v>-2</v>
      </c>
      <c r="N393">
        <f t="shared" si="604"/>
        <v>-1</v>
      </c>
      <c r="P393" t="str">
        <f t="shared" si="558"/>
        <v>-3, 0, 0, 0</v>
      </c>
    </row>
    <row r="394" spans="1:16" x14ac:dyDescent="0.2">
      <c r="A394">
        <f t="shared" si="503"/>
        <v>392</v>
      </c>
      <c r="B394" s="1" t="s">
        <v>405</v>
      </c>
      <c r="C394">
        <v>36</v>
      </c>
      <c r="D394">
        <v>-2</v>
      </c>
      <c r="E394">
        <v>-5</v>
      </c>
      <c r="F394">
        <v>-2</v>
      </c>
      <c r="G394">
        <v>-1</v>
      </c>
      <c r="H394">
        <f>_xlfn.XLOOKUP(I394,$B$2:$B$1096,$A$2:$A$1096,65535)</f>
        <v>65535</v>
      </c>
      <c r="I394" s="1"/>
      <c r="J394">
        <f t="shared" ref="J394:K394" si="605">C394-C430</f>
        <v>32</v>
      </c>
      <c r="K394">
        <f t="shared" si="605"/>
        <v>-2</v>
      </c>
      <c r="L394">
        <f t="shared" ref="L394:N394" si="606">E394+E430</f>
        <v>-10</v>
      </c>
      <c r="M394">
        <f t="shared" si="606"/>
        <v>-4</v>
      </c>
      <c r="N394">
        <f t="shared" si="606"/>
        <v>-2</v>
      </c>
      <c r="P394" t="str">
        <f t="shared" si="558"/>
        <v>-2, -5, -2, -1</v>
      </c>
    </row>
    <row r="395" spans="1:16" x14ac:dyDescent="0.2">
      <c r="A395">
        <f t="shared" si="503"/>
        <v>393</v>
      </c>
      <c r="B395" s="1" t="s">
        <v>406</v>
      </c>
      <c r="C395">
        <v>36</v>
      </c>
      <c r="D395">
        <v>-2</v>
      </c>
      <c r="E395">
        <v>-5</v>
      </c>
      <c r="F395">
        <v>-2</v>
      </c>
      <c r="G395">
        <v>-1</v>
      </c>
      <c r="H395">
        <f>_xlfn.XLOOKUP(I395,$B$2:$B$1096,$A$2:$A$1096,65535)</f>
        <v>65535</v>
      </c>
      <c r="J395">
        <f t="shared" ref="J395:K395" si="607">C395-C431</f>
        <v>31</v>
      </c>
      <c r="K395">
        <f t="shared" si="607"/>
        <v>-2</v>
      </c>
      <c r="L395">
        <f t="shared" ref="L395:N395" si="608">E395+E431</f>
        <v>-10</v>
      </c>
      <c r="M395">
        <f t="shared" si="608"/>
        <v>-4</v>
      </c>
      <c r="N395">
        <f t="shared" si="608"/>
        <v>-2</v>
      </c>
      <c r="P395" t="str">
        <f t="shared" si="558"/>
        <v>-2, -5, -2, -1</v>
      </c>
    </row>
    <row r="396" spans="1:16" x14ac:dyDescent="0.2">
      <c r="A396">
        <f t="shared" si="503"/>
        <v>394</v>
      </c>
      <c r="B396" s="1" t="s">
        <v>407</v>
      </c>
      <c r="C396">
        <v>36</v>
      </c>
      <c r="D396">
        <v>-2</v>
      </c>
      <c r="E396">
        <v>-5</v>
      </c>
      <c r="F396">
        <v>-2</v>
      </c>
      <c r="G396">
        <v>-1</v>
      </c>
      <c r="H396">
        <f>_xlfn.XLOOKUP(I396,$B$2:$B$1096,$A$2:$A$1096,65535)</f>
        <v>65535</v>
      </c>
      <c r="J396">
        <f t="shared" ref="J396:K396" si="609">C396-C432</f>
        <v>32</v>
      </c>
      <c r="K396">
        <f t="shared" si="609"/>
        <v>-2</v>
      </c>
      <c r="L396">
        <f t="shared" ref="L396:N396" si="610">E396+E432</f>
        <v>-10</v>
      </c>
      <c r="M396">
        <f t="shared" si="610"/>
        <v>-4</v>
      </c>
      <c r="N396">
        <f t="shared" si="610"/>
        <v>-2</v>
      </c>
      <c r="P396" t="str">
        <f t="shared" si="558"/>
        <v>-2, -5, -2, -1</v>
      </c>
    </row>
    <row r="397" spans="1:16" x14ac:dyDescent="0.2">
      <c r="A397">
        <f t="shared" si="503"/>
        <v>395</v>
      </c>
      <c r="B397" s="1" t="s">
        <v>408</v>
      </c>
      <c r="C397">
        <v>36</v>
      </c>
      <c r="D397">
        <v>-2</v>
      </c>
      <c r="E397">
        <v>-5</v>
      </c>
      <c r="F397">
        <v>-2</v>
      </c>
      <c r="G397">
        <v>-1</v>
      </c>
      <c r="H397">
        <f>_xlfn.XLOOKUP(I397,$B$2:$B$1096,$A$2:$A$1096,65535)</f>
        <v>65535</v>
      </c>
      <c r="J397">
        <f t="shared" ref="J397:K397" si="611">C397-C433</f>
        <v>31</v>
      </c>
      <c r="K397">
        <f t="shared" si="611"/>
        <v>-2</v>
      </c>
      <c r="L397">
        <f t="shared" ref="L397:N397" si="612">E397+E433</f>
        <v>-10</v>
      </c>
      <c r="M397">
        <f t="shared" si="612"/>
        <v>-4</v>
      </c>
      <c r="N397">
        <f t="shared" si="612"/>
        <v>-2</v>
      </c>
      <c r="P397" t="str">
        <f t="shared" si="558"/>
        <v>-2, -5, -2, -1</v>
      </c>
    </row>
    <row r="398" spans="1:16" x14ac:dyDescent="0.2">
      <c r="A398">
        <f t="shared" si="503"/>
        <v>396</v>
      </c>
      <c r="B398" s="1" t="s">
        <v>409</v>
      </c>
      <c r="C398">
        <v>36</v>
      </c>
      <c r="D398">
        <v>-2</v>
      </c>
      <c r="E398">
        <v>-5</v>
      </c>
      <c r="F398">
        <v>-2</v>
      </c>
      <c r="G398">
        <v>-1</v>
      </c>
      <c r="H398">
        <f>_xlfn.XLOOKUP(I398,$B$2:$B$1096,$A$2:$A$1096,65535)</f>
        <v>65535</v>
      </c>
      <c r="I398" s="1"/>
      <c r="J398">
        <f t="shared" ref="J398:K398" si="613">C398-C434</f>
        <v>32</v>
      </c>
      <c r="K398">
        <f t="shared" si="613"/>
        <v>-2</v>
      </c>
      <c r="L398">
        <f t="shared" ref="L398:N398" si="614">E398+E434</f>
        <v>-10</v>
      </c>
      <c r="M398">
        <f t="shared" si="614"/>
        <v>-4</v>
      </c>
      <c r="N398">
        <f t="shared" si="614"/>
        <v>-2</v>
      </c>
      <c r="P398" t="str">
        <f t="shared" si="558"/>
        <v>-2, -5, -2, -1</v>
      </c>
    </row>
    <row r="399" spans="1:16" x14ac:dyDescent="0.2">
      <c r="A399">
        <f t="shared" ref="A399:A462" si="615">A398+1</f>
        <v>397</v>
      </c>
      <c r="B399" s="1" t="s">
        <v>410</v>
      </c>
      <c r="C399">
        <v>36</v>
      </c>
      <c r="D399">
        <v>-2</v>
      </c>
      <c r="E399">
        <v>-5</v>
      </c>
      <c r="F399">
        <v>-2</v>
      </c>
      <c r="G399">
        <v>-1</v>
      </c>
      <c r="H399">
        <f>_xlfn.XLOOKUP(I399,$B$2:$B$1096,$A$2:$A$1096,65535)</f>
        <v>65535</v>
      </c>
      <c r="J399">
        <f t="shared" ref="J399:K399" si="616">C399-C435</f>
        <v>31</v>
      </c>
      <c r="K399">
        <f t="shared" si="616"/>
        <v>-2</v>
      </c>
      <c r="L399">
        <f t="shared" ref="L399:N399" si="617">E399+E435</f>
        <v>-10</v>
      </c>
      <c r="M399">
        <f t="shared" si="617"/>
        <v>-4</v>
      </c>
      <c r="N399">
        <f t="shared" si="617"/>
        <v>-2</v>
      </c>
      <c r="P399" t="str">
        <f t="shared" si="558"/>
        <v>-2, -5, -2, -1</v>
      </c>
    </row>
    <row r="400" spans="1:16" x14ac:dyDescent="0.2">
      <c r="A400">
        <f t="shared" si="615"/>
        <v>398</v>
      </c>
      <c r="B400" s="1" t="s">
        <v>411</v>
      </c>
      <c r="C400">
        <v>36</v>
      </c>
      <c r="D400">
        <v>-1</v>
      </c>
      <c r="E400">
        <v>-5</v>
      </c>
      <c r="F400">
        <v>-2</v>
      </c>
      <c r="G400">
        <v>-1</v>
      </c>
      <c r="H400">
        <f>_xlfn.XLOOKUP(I400,$B$2:$B$1096,$A$2:$A$1096,65535)</f>
        <v>65535</v>
      </c>
      <c r="J400">
        <f t="shared" ref="J400:K400" si="618">C400-C436</f>
        <v>31</v>
      </c>
      <c r="K400">
        <f t="shared" si="618"/>
        <v>3</v>
      </c>
      <c r="L400">
        <f t="shared" ref="L400:N400" si="619">E400+E436</f>
        <v>-5</v>
      </c>
      <c r="M400">
        <f t="shared" si="619"/>
        <v>-2</v>
      </c>
      <c r="N400">
        <f t="shared" si="619"/>
        <v>-1</v>
      </c>
      <c r="P400" t="str">
        <f t="shared" si="558"/>
        <v>-1, -5, -2, -1</v>
      </c>
    </row>
    <row r="401" spans="1:16" x14ac:dyDescent="0.2">
      <c r="A401">
        <f t="shared" si="615"/>
        <v>399</v>
      </c>
      <c r="B401" s="1" t="s">
        <v>412</v>
      </c>
      <c r="C401">
        <v>5</v>
      </c>
      <c r="D401">
        <v>0</v>
      </c>
      <c r="E401">
        <v>-5</v>
      </c>
      <c r="F401">
        <v>-2</v>
      </c>
      <c r="G401">
        <v>-1</v>
      </c>
      <c r="H401">
        <f>_xlfn.XLOOKUP(I401,$B$2:$B$1096,$A$2:$A$1096,65535)</f>
        <v>65535</v>
      </c>
      <c r="I401" s="1"/>
      <c r="J401">
        <f t="shared" ref="J401:K401" si="620">C401-C437</f>
        <v>1</v>
      </c>
      <c r="K401">
        <f t="shared" si="620"/>
        <v>0</v>
      </c>
      <c r="L401">
        <f t="shared" ref="L401:N401" si="621">E401+E437</f>
        <v>-10</v>
      </c>
      <c r="M401">
        <f t="shared" si="621"/>
        <v>-4</v>
      </c>
      <c r="N401">
        <f t="shared" si="621"/>
        <v>-2</v>
      </c>
      <c r="P401" t="str">
        <f t="shared" si="558"/>
        <v>0, -5, -2, -1</v>
      </c>
    </row>
    <row r="402" spans="1:16" x14ac:dyDescent="0.2">
      <c r="A402">
        <f t="shared" si="615"/>
        <v>400</v>
      </c>
      <c r="B402" s="1" t="s">
        <v>450</v>
      </c>
      <c r="C402">
        <v>37</v>
      </c>
      <c r="D402">
        <v>0</v>
      </c>
      <c r="E402">
        <v>0</v>
      </c>
      <c r="F402">
        <v>0</v>
      </c>
      <c r="G402">
        <v>0</v>
      </c>
      <c r="H402">
        <f>_xlfn.XLOOKUP(I402,$B$2:$B$1096,$A$2:$A$1096,65535)</f>
        <v>65535</v>
      </c>
      <c r="I402" s="1"/>
      <c r="J402">
        <f t="shared" ref="J402:K402" si="622">C402-C438</f>
        <v>33</v>
      </c>
      <c r="K402">
        <f t="shared" si="622"/>
        <v>-2</v>
      </c>
      <c r="L402">
        <f t="shared" ref="L402:N402" si="623">E402+E438</f>
        <v>-5</v>
      </c>
      <c r="M402">
        <f t="shared" si="623"/>
        <v>-2</v>
      </c>
      <c r="N402">
        <f t="shared" si="623"/>
        <v>-1</v>
      </c>
      <c r="P402" t="str">
        <f t="shared" si="558"/>
        <v>0, 0, 0, 0</v>
      </c>
    </row>
    <row r="403" spans="1:16" x14ac:dyDescent="0.2">
      <c r="A403">
        <f t="shared" si="615"/>
        <v>401</v>
      </c>
      <c r="B403" s="1" t="s">
        <v>451</v>
      </c>
      <c r="C403">
        <v>38</v>
      </c>
      <c r="D403">
        <v>0</v>
      </c>
      <c r="E403">
        <v>0</v>
      </c>
      <c r="F403">
        <v>0</v>
      </c>
      <c r="G403">
        <v>0</v>
      </c>
      <c r="H403">
        <f>_xlfn.XLOOKUP(I403,$B$2:$B$1096,$A$2:$A$1096,65535)</f>
        <v>65535</v>
      </c>
      <c r="I403" s="1"/>
      <c r="J403">
        <f t="shared" ref="J403:K403" si="624">C403-C439</f>
        <v>-14</v>
      </c>
      <c r="K403">
        <f t="shared" si="624"/>
        <v>-2</v>
      </c>
      <c r="L403">
        <f t="shared" ref="L403:N403" si="625">E403+E439</f>
        <v>-8</v>
      </c>
      <c r="M403">
        <f t="shared" si="625"/>
        <v>-3</v>
      </c>
      <c r="N403">
        <f t="shared" si="625"/>
        <v>-2</v>
      </c>
      <c r="P403" t="str">
        <f t="shared" si="558"/>
        <v>0, 0, 0, 0</v>
      </c>
    </row>
    <row r="404" spans="1:16" x14ac:dyDescent="0.2">
      <c r="A404">
        <f t="shared" si="615"/>
        <v>402</v>
      </c>
      <c r="B404" s="1" t="s">
        <v>452</v>
      </c>
      <c r="C404">
        <v>39</v>
      </c>
      <c r="D404">
        <v>0</v>
      </c>
      <c r="E404">
        <v>0</v>
      </c>
      <c r="F404">
        <v>0</v>
      </c>
      <c r="G404">
        <v>0</v>
      </c>
      <c r="H404">
        <f>_xlfn.XLOOKUP(I404,$B$2:$B$1096,$A$2:$A$1096,65535)</f>
        <v>65535</v>
      </c>
      <c r="I404" s="1"/>
      <c r="J404">
        <f t="shared" ref="J404:K404" si="626">C404-C440</f>
        <v>-13</v>
      </c>
      <c r="K404">
        <f t="shared" si="626"/>
        <v>2</v>
      </c>
      <c r="L404">
        <f t="shared" ref="L404:N404" si="627">E404+E440</f>
        <v>-8</v>
      </c>
      <c r="M404">
        <f t="shared" si="627"/>
        <v>-4</v>
      </c>
      <c r="N404">
        <f t="shared" si="627"/>
        <v>-2</v>
      </c>
      <c r="P404" t="str">
        <f t="shared" si="558"/>
        <v>0, 0, 0, 0</v>
      </c>
    </row>
    <row r="405" spans="1:16" x14ac:dyDescent="0.2">
      <c r="A405">
        <f t="shared" si="615"/>
        <v>403</v>
      </c>
      <c r="B405" s="1" t="s">
        <v>453</v>
      </c>
      <c r="C405">
        <v>38</v>
      </c>
      <c r="D405">
        <v>0</v>
      </c>
      <c r="E405">
        <v>0</v>
      </c>
      <c r="F405">
        <v>0</v>
      </c>
      <c r="G405">
        <v>0</v>
      </c>
      <c r="H405">
        <f>_xlfn.XLOOKUP(I405,$B$2:$B$1096,$A$2:$A$1096,65535)</f>
        <v>65535</v>
      </c>
      <c r="I405" s="1"/>
      <c r="J405">
        <f t="shared" ref="J405:K405" si="628">C405-C441</f>
        <v>-14</v>
      </c>
      <c r="K405">
        <f t="shared" si="628"/>
        <v>2</v>
      </c>
      <c r="L405">
        <f t="shared" ref="L405:N405" si="629">E405+E441</f>
        <v>-8</v>
      </c>
      <c r="M405">
        <f t="shared" si="629"/>
        <v>-3</v>
      </c>
      <c r="N405">
        <f t="shared" si="629"/>
        <v>-2</v>
      </c>
      <c r="P405" t="str">
        <f t="shared" si="558"/>
        <v>0, 0, 0, 0</v>
      </c>
    </row>
    <row r="406" spans="1:16" x14ac:dyDescent="0.2">
      <c r="A406">
        <f t="shared" si="615"/>
        <v>404</v>
      </c>
      <c r="B406" s="1" t="s">
        <v>454</v>
      </c>
      <c r="C406">
        <v>37</v>
      </c>
      <c r="D406">
        <v>0</v>
      </c>
      <c r="E406">
        <v>0</v>
      </c>
      <c r="F406">
        <v>0</v>
      </c>
      <c r="G406">
        <v>0</v>
      </c>
      <c r="H406">
        <f>_xlfn.XLOOKUP(I406,$B$2:$B$1096,$A$2:$A$1096,65535)</f>
        <v>65535</v>
      </c>
      <c r="I406" s="1"/>
      <c r="J406">
        <f t="shared" ref="J406:K406" si="630">C406-C442</f>
        <v>-15</v>
      </c>
      <c r="K406">
        <f t="shared" si="630"/>
        <v>1</v>
      </c>
      <c r="L406">
        <f t="shared" ref="L406:N406" si="631">E406+E442</f>
        <v>-10</v>
      </c>
      <c r="M406">
        <f t="shared" si="631"/>
        <v>-3</v>
      </c>
      <c r="N406">
        <f t="shared" si="631"/>
        <v>-2</v>
      </c>
      <c r="P406" t="str">
        <f t="shared" si="558"/>
        <v>0, 0, 0, 0</v>
      </c>
    </row>
    <row r="407" spans="1:16" x14ac:dyDescent="0.2">
      <c r="A407">
        <f t="shared" si="615"/>
        <v>405</v>
      </c>
      <c r="B407" s="1" t="s">
        <v>455</v>
      </c>
      <c r="C407">
        <v>38</v>
      </c>
      <c r="D407">
        <v>0</v>
      </c>
      <c r="E407">
        <v>0</v>
      </c>
      <c r="F407">
        <v>0</v>
      </c>
      <c r="G407">
        <v>0</v>
      </c>
      <c r="H407">
        <f>_xlfn.XLOOKUP(I407,$B$2:$B$1096,$A$2:$A$1096,65535)</f>
        <v>65535</v>
      </c>
      <c r="I407" s="1"/>
      <c r="J407">
        <f t="shared" ref="J407:K407" si="632">C407-C443</f>
        <v>-14</v>
      </c>
      <c r="K407">
        <f t="shared" si="632"/>
        <v>0</v>
      </c>
      <c r="L407">
        <f t="shared" ref="L407:N407" si="633">E407+E443</f>
        <v>-10</v>
      </c>
      <c r="M407">
        <f t="shared" si="633"/>
        <v>-4</v>
      </c>
      <c r="N407">
        <f t="shared" si="633"/>
        <v>-2</v>
      </c>
      <c r="P407" t="str">
        <f t="shared" si="558"/>
        <v>0, 0, 0, 0</v>
      </c>
    </row>
    <row r="408" spans="1:16" x14ac:dyDescent="0.2">
      <c r="A408">
        <f t="shared" si="615"/>
        <v>406</v>
      </c>
      <c r="B408" s="1" t="s">
        <v>456</v>
      </c>
      <c r="C408">
        <v>39</v>
      </c>
      <c r="D408">
        <v>0</v>
      </c>
      <c r="E408">
        <v>0</v>
      </c>
      <c r="F408">
        <v>0</v>
      </c>
      <c r="G408">
        <v>0</v>
      </c>
      <c r="H408">
        <f>_xlfn.XLOOKUP(I408,$B$2:$B$1096,$A$2:$A$1096,65535)</f>
        <v>65535</v>
      </c>
      <c r="I408" s="1"/>
      <c r="J408">
        <f t="shared" ref="J408:K408" si="634">C408-C444</f>
        <v>-13</v>
      </c>
      <c r="K408">
        <f t="shared" si="634"/>
        <v>1</v>
      </c>
      <c r="L408">
        <f t="shared" ref="L408:N408" si="635">E408+E444</f>
        <v>-10</v>
      </c>
      <c r="M408">
        <f t="shared" si="635"/>
        <v>-4</v>
      </c>
      <c r="N408">
        <f t="shared" si="635"/>
        <v>-2</v>
      </c>
      <c r="P408" t="str">
        <f t="shared" si="558"/>
        <v>0, 0, 0, 0</v>
      </c>
    </row>
    <row r="409" spans="1:16" x14ac:dyDescent="0.2">
      <c r="A409">
        <f t="shared" si="615"/>
        <v>407</v>
      </c>
      <c r="B409" s="1" t="s">
        <v>457</v>
      </c>
      <c r="C409">
        <v>38</v>
      </c>
      <c r="D409">
        <v>0</v>
      </c>
      <c r="E409">
        <v>0</v>
      </c>
      <c r="F409">
        <v>0</v>
      </c>
      <c r="G409">
        <v>0</v>
      </c>
      <c r="H409">
        <f>_xlfn.XLOOKUP(I409,$B$2:$B$1096,$A$2:$A$1096,65535)</f>
        <v>65535</v>
      </c>
      <c r="I409" s="1"/>
      <c r="J409">
        <f t="shared" ref="J409:K409" si="636">C409-C445</f>
        <v>-14</v>
      </c>
      <c r="K409">
        <f t="shared" si="636"/>
        <v>0</v>
      </c>
      <c r="L409">
        <f t="shared" ref="L409:N409" si="637">E409+E445</f>
        <v>-10</v>
      </c>
      <c r="M409">
        <f t="shared" si="637"/>
        <v>-4</v>
      </c>
      <c r="N409">
        <f t="shared" si="637"/>
        <v>-2</v>
      </c>
      <c r="P409" t="str">
        <f t="shared" si="558"/>
        <v>0, 0, 0, 0</v>
      </c>
    </row>
    <row r="410" spans="1:16" x14ac:dyDescent="0.2">
      <c r="A410">
        <f t="shared" si="615"/>
        <v>408</v>
      </c>
      <c r="B410" s="1" t="s">
        <v>458</v>
      </c>
      <c r="C410">
        <v>37</v>
      </c>
      <c r="D410">
        <v>0</v>
      </c>
      <c r="E410">
        <v>0</v>
      </c>
      <c r="F410">
        <v>0</v>
      </c>
      <c r="G410">
        <v>0</v>
      </c>
      <c r="H410">
        <f>_xlfn.XLOOKUP(I410,$B$2:$B$1096,$A$2:$A$1096,65535)</f>
        <v>65535</v>
      </c>
      <c r="I410" s="1"/>
      <c r="J410">
        <f t="shared" ref="J410:K410" si="638">C410-C446</f>
        <v>-15</v>
      </c>
      <c r="K410">
        <f t="shared" si="638"/>
        <v>0</v>
      </c>
      <c r="L410">
        <f t="shared" ref="L410:N410" si="639">E410+E446</f>
        <v>-10</v>
      </c>
      <c r="M410">
        <f t="shared" si="639"/>
        <v>-4</v>
      </c>
      <c r="N410">
        <f t="shared" si="639"/>
        <v>-2</v>
      </c>
      <c r="P410" t="str">
        <f t="shared" si="558"/>
        <v>0, 0, 0, 0</v>
      </c>
    </row>
    <row r="411" spans="1:16" x14ac:dyDescent="0.2">
      <c r="A411">
        <f t="shared" si="615"/>
        <v>409</v>
      </c>
      <c r="B411" s="1" t="s">
        <v>459</v>
      </c>
      <c r="C411">
        <v>38</v>
      </c>
      <c r="D411">
        <v>0</v>
      </c>
      <c r="E411">
        <v>0</v>
      </c>
      <c r="F411">
        <v>0</v>
      </c>
      <c r="G411">
        <v>0</v>
      </c>
      <c r="H411">
        <f>_xlfn.XLOOKUP(I411,$B$2:$B$1096,$A$2:$A$1096,65535)</f>
        <v>65535</v>
      </c>
      <c r="I411" s="1"/>
      <c r="J411">
        <f t="shared" ref="J411:K411" si="640">C411-C447</f>
        <v>-14</v>
      </c>
      <c r="K411">
        <f t="shared" si="640"/>
        <v>-1</v>
      </c>
      <c r="L411">
        <f t="shared" ref="L411:N411" si="641">E411+E447</f>
        <v>-10</v>
      </c>
      <c r="M411">
        <f t="shared" si="641"/>
        <v>-4</v>
      </c>
      <c r="N411">
        <f t="shared" si="641"/>
        <v>-2</v>
      </c>
      <c r="P411" t="str">
        <f t="shared" si="558"/>
        <v>0, 0, 0, 0</v>
      </c>
    </row>
    <row r="412" spans="1:16" x14ac:dyDescent="0.2">
      <c r="A412">
        <f t="shared" si="615"/>
        <v>410</v>
      </c>
      <c r="B412" s="1" t="s">
        <v>460</v>
      </c>
      <c r="C412">
        <v>39</v>
      </c>
      <c r="D412">
        <v>0</v>
      </c>
      <c r="E412">
        <v>0</v>
      </c>
      <c r="F412">
        <v>0</v>
      </c>
      <c r="G412">
        <v>0</v>
      </c>
      <c r="H412">
        <f>_xlfn.XLOOKUP(I412,$B$2:$B$1096,$A$2:$A$1096,65535)</f>
        <v>129</v>
      </c>
      <c r="I412" s="1" t="s">
        <v>60</v>
      </c>
      <c r="J412">
        <f t="shared" ref="J412:K412" si="642">C412-C448</f>
        <v>-13</v>
      </c>
      <c r="K412">
        <f t="shared" si="642"/>
        <v>0</v>
      </c>
      <c r="L412">
        <f t="shared" ref="L412:N412" si="643">E412+E448</f>
        <v>-8</v>
      </c>
      <c r="M412">
        <f t="shared" si="643"/>
        <v>-3</v>
      </c>
      <c r="N412">
        <f t="shared" si="643"/>
        <v>-1</v>
      </c>
      <c r="P412" t="str">
        <f t="shared" si="558"/>
        <v>0, 0, 0, 0</v>
      </c>
    </row>
    <row r="413" spans="1:16" x14ac:dyDescent="0.2">
      <c r="A413">
        <f t="shared" si="615"/>
        <v>411</v>
      </c>
      <c r="B413" s="1" t="s">
        <v>461</v>
      </c>
      <c r="C413">
        <v>40</v>
      </c>
      <c r="D413">
        <v>0</v>
      </c>
      <c r="E413">
        <v>0</v>
      </c>
      <c r="F413">
        <v>0</v>
      </c>
      <c r="G413">
        <v>0</v>
      </c>
      <c r="H413">
        <f>_xlfn.XLOOKUP(I413,$B$2:$B$1096,$A$2:$A$1096,65535)</f>
        <v>65535</v>
      </c>
      <c r="I413" s="1"/>
      <c r="J413">
        <f t="shared" ref="J413:K413" si="644">C413-C449</f>
        <v>-12</v>
      </c>
      <c r="K413">
        <f t="shared" si="644"/>
        <v>-1</v>
      </c>
      <c r="L413">
        <f t="shared" ref="L413:N413" si="645">E413+E449</f>
        <v>-8</v>
      </c>
      <c r="M413">
        <f t="shared" si="645"/>
        <v>-3</v>
      </c>
      <c r="N413">
        <f t="shared" si="645"/>
        <v>-1</v>
      </c>
      <c r="P413" t="str">
        <f t="shared" si="558"/>
        <v>0, 0, 0, 0</v>
      </c>
    </row>
    <row r="414" spans="1:16" x14ac:dyDescent="0.2">
      <c r="A414">
        <f t="shared" si="615"/>
        <v>412</v>
      </c>
      <c r="B414" s="1" t="s">
        <v>462</v>
      </c>
      <c r="C414">
        <v>41</v>
      </c>
      <c r="D414">
        <v>0</v>
      </c>
      <c r="E414">
        <v>0</v>
      </c>
      <c r="F414">
        <v>0</v>
      </c>
      <c r="G414">
        <v>0</v>
      </c>
      <c r="H414">
        <f>_xlfn.XLOOKUP(I414,$B$2:$B$1096,$A$2:$A$1096,65535)</f>
        <v>65535</v>
      </c>
      <c r="I414" s="1"/>
      <c r="J414">
        <f t="shared" ref="J414:K414" si="646">C414-C450</f>
        <v>-11</v>
      </c>
      <c r="K414">
        <f t="shared" si="646"/>
        <v>-2</v>
      </c>
      <c r="L414">
        <f t="shared" ref="L414:N414" si="647">E414+E450</f>
        <v>-8</v>
      </c>
      <c r="M414">
        <f t="shared" si="647"/>
        <v>-3</v>
      </c>
      <c r="N414">
        <f t="shared" si="647"/>
        <v>-1</v>
      </c>
      <c r="P414" t="str">
        <f t="shared" si="558"/>
        <v>0, 0, 0, 0</v>
      </c>
    </row>
    <row r="415" spans="1:16" x14ac:dyDescent="0.2">
      <c r="A415">
        <f t="shared" si="615"/>
        <v>413</v>
      </c>
      <c r="B415" s="1" t="s">
        <v>463</v>
      </c>
      <c r="C415">
        <v>42</v>
      </c>
      <c r="D415">
        <v>0</v>
      </c>
      <c r="E415">
        <v>0</v>
      </c>
      <c r="F415">
        <v>0</v>
      </c>
      <c r="G415">
        <v>0</v>
      </c>
      <c r="H415">
        <f>_xlfn.XLOOKUP(I415,$B$2:$B$1096,$A$2:$A$1096,65535)</f>
        <v>65535</v>
      </c>
      <c r="I415" s="1"/>
      <c r="J415">
        <f t="shared" ref="J415:K415" si="648">C415-C451</f>
        <v>-10</v>
      </c>
      <c r="K415">
        <f t="shared" si="648"/>
        <v>-1</v>
      </c>
      <c r="L415">
        <f t="shared" ref="L415:N415" si="649">E415+E451</f>
        <v>-5</v>
      </c>
      <c r="M415">
        <f t="shared" si="649"/>
        <v>-2</v>
      </c>
      <c r="N415">
        <f t="shared" si="649"/>
        <v>-1</v>
      </c>
      <c r="P415" t="str">
        <f t="shared" si="558"/>
        <v>0, 0, 0, 0</v>
      </c>
    </row>
    <row r="416" spans="1:16" x14ac:dyDescent="0.2">
      <c r="A416">
        <f t="shared" si="615"/>
        <v>414</v>
      </c>
      <c r="B416" s="1" t="s">
        <v>464</v>
      </c>
      <c r="C416">
        <v>41</v>
      </c>
      <c r="D416">
        <v>0</v>
      </c>
      <c r="E416">
        <v>0</v>
      </c>
      <c r="F416">
        <v>0</v>
      </c>
      <c r="G416">
        <v>0</v>
      </c>
      <c r="H416">
        <f>_xlfn.XLOOKUP(I416,$B$2:$B$1096,$A$2:$A$1096,65535)</f>
        <v>65535</v>
      </c>
      <c r="I416" s="1"/>
      <c r="J416">
        <f t="shared" ref="J416:K416" si="650">C416-C452</f>
        <v>37</v>
      </c>
      <c r="K416">
        <f t="shared" si="650"/>
        <v>0</v>
      </c>
      <c r="L416">
        <f t="shared" ref="L416:N416" si="651">E416+E452</f>
        <v>-5</v>
      </c>
      <c r="M416">
        <f t="shared" si="651"/>
        <v>-2</v>
      </c>
      <c r="N416">
        <f t="shared" si="651"/>
        <v>-1</v>
      </c>
      <c r="P416" t="str">
        <f t="shared" si="558"/>
        <v>0, 0, 0, 0</v>
      </c>
    </row>
    <row r="417" spans="1:16" x14ac:dyDescent="0.2">
      <c r="A417">
        <f t="shared" si="615"/>
        <v>415</v>
      </c>
      <c r="B417" s="1" t="s">
        <v>465</v>
      </c>
      <c r="C417">
        <v>40</v>
      </c>
      <c r="D417">
        <v>0</v>
      </c>
      <c r="E417">
        <v>0</v>
      </c>
      <c r="F417">
        <v>0</v>
      </c>
      <c r="G417">
        <v>0</v>
      </c>
      <c r="H417">
        <f>_xlfn.XLOOKUP(I417,$B$2:$B$1096,$A$2:$A$1096,65535)</f>
        <v>65535</v>
      </c>
      <c r="I417" s="1"/>
      <c r="J417">
        <f t="shared" ref="J417:K417" si="652">C417-C453</f>
        <v>36</v>
      </c>
      <c r="K417">
        <f t="shared" si="652"/>
        <v>-1</v>
      </c>
      <c r="L417">
        <f t="shared" ref="L417:N417" si="653">E417+E453</f>
        <v>-5</v>
      </c>
      <c r="M417">
        <f t="shared" si="653"/>
        <v>-2</v>
      </c>
      <c r="N417">
        <f t="shared" si="653"/>
        <v>-1</v>
      </c>
      <c r="P417" t="str">
        <f t="shared" si="558"/>
        <v>0, 0, 0, 0</v>
      </c>
    </row>
    <row r="418" spans="1:16" x14ac:dyDescent="0.2">
      <c r="A418">
        <f t="shared" si="615"/>
        <v>416</v>
      </c>
      <c r="B418" s="1" t="s">
        <v>466</v>
      </c>
      <c r="C418">
        <v>41</v>
      </c>
      <c r="D418">
        <v>0</v>
      </c>
      <c r="E418">
        <v>0</v>
      </c>
      <c r="F418">
        <v>0</v>
      </c>
      <c r="G418">
        <v>0</v>
      </c>
      <c r="H418">
        <f>_xlfn.XLOOKUP(I418,$B$2:$B$1096,$A$2:$A$1096,65535)</f>
        <v>65535</v>
      </c>
      <c r="I418" s="1"/>
      <c r="J418">
        <f t="shared" ref="J418:K418" si="654">C418-C454</f>
        <v>35</v>
      </c>
      <c r="K418">
        <f t="shared" si="654"/>
        <v>2</v>
      </c>
      <c r="L418">
        <f t="shared" ref="L418:N418" si="655">E418+E454</f>
        <v>-5</v>
      </c>
      <c r="M418">
        <f t="shared" si="655"/>
        <v>-2</v>
      </c>
      <c r="N418">
        <f t="shared" si="655"/>
        <v>-1</v>
      </c>
      <c r="P418" t="str">
        <f t="shared" si="558"/>
        <v>0, 0, 0, 0</v>
      </c>
    </row>
    <row r="419" spans="1:16" x14ac:dyDescent="0.2">
      <c r="A419">
        <f t="shared" si="615"/>
        <v>417</v>
      </c>
      <c r="B419" s="1" t="s">
        <v>467</v>
      </c>
      <c r="C419">
        <v>42</v>
      </c>
      <c r="D419">
        <v>0</v>
      </c>
      <c r="E419">
        <v>0</v>
      </c>
      <c r="F419">
        <v>0</v>
      </c>
      <c r="G419">
        <v>0</v>
      </c>
      <c r="H419">
        <f>_xlfn.XLOOKUP(I419,$B$2:$B$1096,$A$2:$A$1096,65535)</f>
        <v>65535</v>
      </c>
      <c r="I419" s="1"/>
      <c r="J419">
        <f t="shared" ref="J419:K419" si="656">C419-C455</f>
        <v>35</v>
      </c>
      <c r="K419">
        <f t="shared" si="656"/>
        <v>2</v>
      </c>
      <c r="L419">
        <f t="shared" ref="L419:N419" si="657">E419+E455</f>
        <v>-5</v>
      </c>
      <c r="M419">
        <f t="shared" si="657"/>
        <v>-2</v>
      </c>
      <c r="N419">
        <f t="shared" si="657"/>
        <v>-1</v>
      </c>
      <c r="P419" t="str">
        <f t="shared" si="558"/>
        <v>0, 0, 0, 0</v>
      </c>
    </row>
    <row r="420" spans="1:16" x14ac:dyDescent="0.2">
      <c r="A420">
        <f t="shared" si="615"/>
        <v>418</v>
      </c>
      <c r="B420" s="1" t="s">
        <v>468</v>
      </c>
      <c r="C420">
        <v>41</v>
      </c>
      <c r="D420">
        <v>0</v>
      </c>
      <c r="E420">
        <v>0</v>
      </c>
      <c r="F420">
        <v>0</v>
      </c>
      <c r="G420">
        <v>0</v>
      </c>
      <c r="H420">
        <f>_xlfn.XLOOKUP(I420,$B$2:$B$1096,$A$2:$A$1096,65535)</f>
        <v>65535</v>
      </c>
      <c r="I420" s="1"/>
      <c r="J420">
        <f t="shared" ref="J420:K420" si="658">C420-C456</f>
        <v>36</v>
      </c>
      <c r="K420">
        <f t="shared" si="658"/>
        <v>0</v>
      </c>
      <c r="L420">
        <f t="shared" ref="L420:N420" si="659">E420+E456</f>
        <v>0</v>
      </c>
      <c r="M420">
        <f t="shared" si="659"/>
        <v>0</v>
      </c>
      <c r="N420">
        <f t="shared" si="659"/>
        <v>0</v>
      </c>
      <c r="P420" t="str">
        <f t="shared" si="558"/>
        <v>0, 0, 0, 0</v>
      </c>
    </row>
    <row r="421" spans="1:16" x14ac:dyDescent="0.2">
      <c r="A421">
        <f t="shared" si="615"/>
        <v>419</v>
      </c>
      <c r="B421" s="1" t="s">
        <v>469</v>
      </c>
      <c r="C421">
        <v>40</v>
      </c>
      <c r="D421">
        <v>0</v>
      </c>
      <c r="E421">
        <v>0</v>
      </c>
      <c r="F421">
        <v>0</v>
      </c>
      <c r="G421">
        <v>0</v>
      </c>
      <c r="H421">
        <f>_xlfn.XLOOKUP(I421,$B$2:$B$1096,$A$2:$A$1096,65535)</f>
        <v>65535</v>
      </c>
      <c r="I421" s="1"/>
      <c r="J421">
        <f t="shared" ref="J421:K421" si="660">C421-C457</f>
        <v>35</v>
      </c>
      <c r="K421">
        <f t="shared" si="660"/>
        <v>0</v>
      </c>
      <c r="L421">
        <f t="shared" ref="L421:N421" si="661">E421+E457</f>
        <v>0</v>
      </c>
      <c r="M421">
        <f t="shared" si="661"/>
        <v>0</v>
      </c>
      <c r="N421">
        <f t="shared" si="661"/>
        <v>0</v>
      </c>
      <c r="P421" t="str">
        <f t="shared" si="558"/>
        <v>0, 0, 0, 0</v>
      </c>
    </row>
    <row r="422" spans="1:16" x14ac:dyDescent="0.2">
      <c r="A422">
        <f t="shared" si="615"/>
        <v>420</v>
      </c>
      <c r="B422" s="1" t="s">
        <v>470</v>
      </c>
      <c r="C422">
        <v>41</v>
      </c>
      <c r="D422">
        <v>0</v>
      </c>
      <c r="E422">
        <v>0</v>
      </c>
      <c r="F422">
        <v>0</v>
      </c>
      <c r="G422">
        <v>0</v>
      </c>
      <c r="H422">
        <f>_xlfn.XLOOKUP(I422,$B$2:$B$1096,$A$2:$A$1096,65535)</f>
        <v>65535</v>
      </c>
      <c r="I422" s="1"/>
      <c r="J422">
        <f t="shared" ref="J422:K422" si="662">C422-C458</f>
        <v>37</v>
      </c>
      <c r="K422">
        <f t="shared" si="662"/>
        <v>-1</v>
      </c>
      <c r="L422">
        <f t="shared" ref="L422:N422" si="663">E422+E458</f>
        <v>-5</v>
      </c>
      <c r="M422">
        <f t="shared" si="663"/>
        <v>-2</v>
      </c>
      <c r="N422">
        <f t="shared" si="663"/>
        <v>-1</v>
      </c>
      <c r="P422" t="str">
        <f t="shared" si="558"/>
        <v>0, 0, 0, 0</v>
      </c>
    </row>
    <row r="423" spans="1:16" x14ac:dyDescent="0.2">
      <c r="A423">
        <f t="shared" si="615"/>
        <v>421</v>
      </c>
      <c r="B423" s="1" t="s">
        <v>471</v>
      </c>
      <c r="C423">
        <v>42</v>
      </c>
      <c r="D423">
        <v>0</v>
      </c>
      <c r="E423">
        <v>0</v>
      </c>
      <c r="F423">
        <v>0</v>
      </c>
      <c r="G423">
        <v>0</v>
      </c>
      <c r="H423">
        <f>_xlfn.XLOOKUP(I423,$B$2:$B$1096,$A$2:$A$1096,65535)</f>
        <v>129</v>
      </c>
      <c r="I423" s="1" t="s">
        <v>60</v>
      </c>
      <c r="J423">
        <f t="shared" ref="J423:K423" si="664">C423-C459</f>
        <v>38</v>
      </c>
      <c r="K423">
        <f t="shared" si="664"/>
        <v>-1</v>
      </c>
      <c r="L423">
        <f t="shared" ref="L423:N423" si="665">E423+E459</f>
        <v>-5</v>
      </c>
      <c r="M423">
        <f t="shared" si="665"/>
        <v>-2</v>
      </c>
      <c r="N423">
        <f t="shared" si="665"/>
        <v>-1</v>
      </c>
      <c r="P423" t="str">
        <f t="shared" si="558"/>
        <v>0, 0, 0, 0</v>
      </c>
    </row>
    <row r="424" spans="1:16" x14ac:dyDescent="0.2">
      <c r="A424">
        <f t="shared" si="615"/>
        <v>422</v>
      </c>
      <c r="B424" s="1" t="s">
        <v>516</v>
      </c>
      <c r="C424">
        <v>4</v>
      </c>
      <c r="D424">
        <v>0</v>
      </c>
      <c r="E424">
        <v>-5</v>
      </c>
      <c r="F424">
        <v>-2</v>
      </c>
      <c r="G424">
        <v>-1</v>
      </c>
      <c r="H424">
        <f>_xlfn.XLOOKUP(I424,$B$2:$B$1096,$A$2:$A$1096,65535)</f>
        <v>65535</v>
      </c>
      <c r="I424" s="1"/>
      <c r="J424">
        <f t="shared" ref="J424:K424" si="666">C424-C460</f>
        <v>0</v>
      </c>
      <c r="K424">
        <f t="shared" si="666"/>
        <v>-1</v>
      </c>
      <c r="L424">
        <f t="shared" ref="L424:N424" si="667">E424+E460</f>
        <v>-10</v>
      </c>
      <c r="M424">
        <f t="shared" si="667"/>
        <v>-4</v>
      </c>
      <c r="N424">
        <f t="shared" si="667"/>
        <v>-2</v>
      </c>
      <c r="P424" t="str">
        <f t="shared" si="558"/>
        <v>0, -5, -2, -1</v>
      </c>
    </row>
    <row r="425" spans="1:16" x14ac:dyDescent="0.2">
      <c r="A425">
        <f t="shared" si="615"/>
        <v>423</v>
      </c>
      <c r="B425" s="1" t="s">
        <v>517</v>
      </c>
      <c r="C425">
        <v>4</v>
      </c>
      <c r="D425">
        <v>0</v>
      </c>
      <c r="E425">
        <v>-5</v>
      </c>
      <c r="F425">
        <v>-2</v>
      </c>
      <c r="G425">
        <v>-1</v>
      </c>
      <c r="H425">
        <f>_xlfn.XLOOKUP(I425,$B$2:$B$1096,$A$2:$A$1096,65535)</f>
        <v>65535</v>
      </c>
      <c r="I425" s="1"/>
      <c r="J425">
        <f t="shared" ref="J425:K425" si="668">C425-C461</f>
        <v>0</v>
      </c>
      <c r="K425">
        <f t="shared" si="668"/>
        <v>0</v>
      </c>
      <c r="L425">
        <f t="shared" ref="L425:N425" si="669">E425+E461</f>
        <v>-10</v>
      </c>
      <c r="M425">
        <f t="shared" si="669"/>
        <v>-4</v>
      </c>
      <c r="N425">
        <f t="shared" si="669"/>
        <v>-2</v>
      </c>
      <c r="P425" t="str">
        <f t="shared" si="558"/>
        <v>0, -5, -2, -1</v>
      </c>
    </row>
    <row r="426" spans="1:16" x14ac:dyDescent="0.2">
      <c r="A426">
        <f t="shared" si="615"/>
        <v>424</v>
      </c>
      <c r="B426" s="1" t="s">
        <v>518</v>
      </c>
      <c r="C426">
        <v>4</v>
      </c>
      <c r="D426">
        <v>0</v>
      </c>
      <c r="E426">
        <v>-5</v>
      </c>
      <c r="F426">
        <v>-2</v>
      </c>
      <c r="G426">
        <v>-1</v>
      </c>
      <c r="H426">
        <f>_xlfn.XLOOKUP(I426,$B$2:$B$1096,$A$2:$A$1096,65535)</f>
        <v>65535</v>
      </c>
      <c r="I426" s="1"/>
      <c r="J426">
        <f t="shared" ref="J426:K426" si="670">C426-C462</f>
        <v>0</v>
      </c>
      <c r="K426">
        <f t="shared" si="670"/>
        <v>1</v>
      </c>
      <c r="L426">
        <f t="shared" ref="L426:N426" si="671">E426+E462</f>
        <v>-7</v>
      </c>
      <c r="M426">
        <f t="shared" si="671"/>
        <v>-3</v>
      </c>
      <c r="N426">
        <f t="shared" si="671"/>
        <v>-1</v>
      </c>
      <c r="P426" t="str">
        <f t="shared" si="558"/>
        <v>0, -5, -2, -1</v>
      </c>
    </row>
    <row r="427" spans="1:16" x14ac:dyDescent="0.2">
      <c r="A427">
        <f t="shared" si="615"/>
        <v>425</v>
      </c>
      <c r="B427" s="1" t="s">
        <v>519</v>
      </c>
      <c r="C427">
        <v>4</v>
      </c>
      <c r="D427">
        <v>0</v>
      </c>
      <c r="E427">
        <v>-5</v>
      </c>
      <c r="F427">
        <v>-2</v>
      </c>
      <c r="G427">
        <v>-1</v>
      </c>
      <c r="H427">
        <f>_xlfn.XLOOKUP(I427,$B$2:$B$1096,$A$2:$A$1096,65535)</f>
        <v>65535</v>
      </c>
      <c r="I427" s="1"/>
      <c r="J427">
        <f t="shared" ref="J427:K427" si="672">C427-C463</f>
        <v>-2</v>
      </c>
      <c r="K427">
        <f t="shared" si="672"/>
        <v>1</v>
      </c>
      <c r="L427">
        <f t="shared" ref="L427:N427" si="673">E427+E463</f>
        <v>-7</v>
      </c>
      <c r="M427">
        <f t="shared" si="673"/>
        <v>-3</v>
      </c>
      <c r="N427">
        <f t="shared" si="673"/>
        <v>-2</v>
      </c>
      <c r="P427" t="str">
        <f t="shared" si="558"/>
        <v>0, -5, -2, -1</v>
      </c>
    </row>
    <row r="428" spans="1:16" x14ac:dyDescent="0.2">
      <c r="A428">
        <f t="shared" si="615"/>
        <v>426</v>
      </c>
      <c r="B428" s="1" t="s">
        <v>520</v>
      </c>
      <c r="C428">
        <v>4</v>
      </c>
      <c r="D428">
        <v>0</v>
      </c>
      <c r="E428">
        <v>-5</v>
      </c>
      <c r="F428">
        <v>-2</v>
      </c>
      <c r="G428">
        <v>-1</v>
      </c>
      <c r="H428">
        <f>_xlfn.XLOOKUP(I428,$B$2:$B$1096,$A$2:$A$1096,65535)</f>
        <v>65535</v>
      </c>
      <c r="I428" s="1"/>
      <c r="J428">
        <f t="shared" ref="J428:K428" si="674">C428-C464</f>
        <v>-1</v>
      </c>
      <c r="K428">
        <f t="shared" si="674"/>
        <v>1</v>
      </c>
      <c r="L428">
        <f t="shared" ref="L428:N428" si="675">E428+E464</f>
        <v>-10</v>
      </c>
      <c r="M428">
        <f t="shared" si="675"/>
        <v>-4</v>
      </c>
      <c r="N428">
        <f t="shared" si="675"/>
        <v>-2</v>
      </c>
      <c r="P428" t="str">
        <f t="shared" si="558"/>
        <v>0, -5, -2, -1</v>
      </c>
    </row>
    <row r="429" spans="1:16" x14ac:dyDescent="0.2">
      <c r="A429">
        <f t="shared" si="615"/>
        <v>427</v>
      </c>
      <c r="B429" s="1" t="s">
        <v>523</v>
      </c>
      <c r="C429">
        <v>5</v>
      </c>
      <c r="D429">
        <v>0</v>
      </c>
      <c r="E429">
        <v>-5</v>
      </c>
      <c r="F429">
        <v>-2</v>
      </c>
      <c r="G429">
        <v>-1</v>
      </c>
      <c r="H429">
        <f>_xlfn.XLOOKUP(I429,$B$2:$B$1096,$A$2:$A$1096,65535)</f>
        <v>65535</v>
      </c>
      <c r="I429" s="1"/>
      <c r="J429">
        <f t="shared" ref="J429:K429" si="676">C429-C465</f>
        <v>0</v>
      </c>
      <c r="K429">
        <f t="shared" si="676"/>
        <v>0</v>
      </c>
      <c r="L429">
        <f t="shared" ref="L429:N429" si="677">E429+E465</f>
        <v>-5</v>
      </c>
      <c r="M429">
        <f t="shared" si="677"/>
        <v>-2</v>
      </c>
      <c r="N429">
        <f t="shared" si="677"/>
        <v>-1</v>
      </c>
      <c r="P429" t="str">
        <f t="shared" si="558"/>
        <v>0, -5, -2, -1</v>
      </c>
    </row>
    <row r="430" spans="1:16" x14ac:dyDescent="0.2">
      <c r="A430">
        <f t="shared" si="615"/>
        <v>428</v>
      </c>
      <c r="B430" s="1" t="s">
        <v>522</v>
      </c>
      <c r="C430">
        <v>4</v>
      </c>
      <c r="D430">
        <v>0</v>
      </c>
      <c r="E430">
        <v>-5</v>
      </c>
      <c r="F430">
        <v>-2</v>
      </c>
      <c r="G430">
        <v>-1</v>
      </c>
      <c r="H430">
        <f>_xlfn.XLOOKUP(I430,$B$2:$B$1096,$A$2:$A$1096,65535)</f>
        <v>65535</v>
      </c>
      <c r="I430" s="1"/>
      <c r="J430">
        <f t="shared" ref="J430:K430" si="678">C430-C466</f>
        <v>0</v>
      </c>
      <c r="K430">
        <f t="shared" si="678"/>
        <v>-1</v>
      </c>
      <c r="L430">
        <f t="shared" ref="L430:N430" si="679">E430+E466</f>
        <v>-10</v>
      </c>
      <c r="M430">
        <f t="shared" si="679"/>
        <v>-4</v>
      </c>
      <c r="N430">
        <f t="shared" si="679"/>
        <v>-2</v>
      </c>
      <c r="P430" t="str">
        <f t="shared" si="558"/>
        <v>0, -5, -2, -1</v>
      </c>
    </row>
    <row r="431" spans="1:16" x14ac:dyDescent="0.2">
      <c r="A431">
        <f t="shared" si="615"/>
        <v>429</v>
      </c>
      <c r="B431" s="1" t="s">
        <v>521</v>
      </c>
      <c r="C431">
        <v>5</v>
      </c>
      <c r="D431">
        <v>0</v>
      </c>
      <c r="E431">
        <v>-5</v>
      </c>
      <c r="F431">
        <v>-2</v>
      </c>
      <c r="G431">
        <v>-1</v>
      </c>
      <c r="H431">
        <f>_xlfn.XLOOKUP(I431,$B$2:$B$1096,$A$2:$A$1096,65535)</f>
        <v>65535</v>
      </c>
      <c r="I431" s="1"/>
      <c r="J431">
        <f t="shared" ref="J431:K431" si="680">C431-C467</f>
        <v>1</v>
      </c>
      <c r="K431">
        <f t="shared" si="680"/>
        <v>-1</v>
      </c>
      <c r="L431">
        <f t="shared" ref="L431:N431" si="681">E431+E467</f>
        <v>-10</v>
      </c>
      <c r="M431">
        <f t="shared" si="681"/>
        <v>-4</v>
      </c>
      <c r="N431">
        <f t="shared" si="681"/>
        <v>-2</v>
      </c>
      <c r="P431" t="str">
        <f t="shared" si="558"/>
        <v>0, -5, -2, -1</v>
      </c>
    </row>
    <row r="432" spans="1:16" x14ac:dyDescent="0.2">
      <c r="A432">
        <f t="shared" si="615"/>
        <v>430</v>
      </c>
      <c r="B432" s="1" t="s">
        <v>532</v>
      </c>
      <c r="C432">
        <v>4</v>
      </c>
      <c r="D432">
        <v>0</v>
      </c>
      <c r="E432">
        <v>-5</v>
      </c>
      <c r="F432">
        <v>-2</v>
      </c>
      <c r="G432">
        <v>-1</v>
      </c>
      <c r="H432">
        <f>_xlfn.XLOOKUP(I432,$B$2:$B$1096,$A$2:$A$1096,65535)</f>
        <v>65535</v>
      </c>
      <c r="I432" s="1"/>
      <c r="J432">
        <f t="shared" ref="J432:K432" si="682">C432-C468</f>
        <v>0</v>
      </c>
      <c r="K432">
        <f t="shared" si="682"/>
        <v>-1</v>
      </c>
      <c r="L432">
        <f t="shared" ref="L432:N432" si="683">E432+E468</f>
        <v>-10</v>
      </c>
      <c r="M432">
        <f t="shared" si="683"/>
        <v>-4</v>
      </c>
      <c r="N432">
        <f t="shared" si="683"/>
        <v>-2</v>
      </c>
      <c r="P432" t="str">
        <f t="shared" si="558"/>
        <v>0, -5, -2, -1</v>
      </c>
    </row>
    <row r="433" spans="1:16" x14ac:dyDescent="0.2">
      <c r="A433">
        <f t="shared" si="615"/>
        <v>431</v>
      </c>
      <c r="B433" s="1" t="s">
        <v>533</v>
      </c>
      <c r="C433">
        <v>5</v>
      </c>
      <c r="D433">
        <v>0</v>
      </c>
      <c r="E433">
        <v>-5</v>
      </c>
      <c r="F433">
        <v>-2</v>
      </c>
      <c r="G433">
        <v>-1</v>
      </c>
      <c r="H433">
        <f>_xlfn.XLOOKUP(I433,$B$2:$B$1096,$A$2:$A$1096,65535)</f>
        <v>65535</v>
      </c>
      <c r="I433" s="1"/>
      <c r="J433">
        <f t="shared" ref="J433:K433" si="684">C433-C469</f>
        <v>1</v>
      </c>
      <c r="K433">
        <f t="shared" si="684"/>
        <v>0</v>
      </c>
      <c r="L433">
        <f t="shared" ref="L433:N433" si="685">E433+E469</f>
        <v>-10</v>
      </c>
      <c r="M433">
        <f t="shared" si="685"/>
        <v>-4</v>
      </c>
      <c r="N433">
        <f t="shared" si="685"/>
        <v>-2</v>
      </c>
      <c r="P433" t="str">
        <f t="shared" si="558"/>
        <v>0, -5, -2, -1</v>
      </c>
    </row>
    <row r="434" spans="1:16" x14ac:dyDescent="0.2">
      <c r="A434">
        <f t="shared" si="615"/>
        <v>432</v>
      </c>
      <c r="B434" s="1" t="s">
        <v>534</v>
      </c>
      <c r="C434">
        <v>4</v>
      </c>
      <c r="D434">
        <v>0</v>
      </c>
      <c r="E434">
        <v>-5</v>
      </c>
      <c r="F434">
        <v>-2</v>
      </c>
      <c r="G434">
        <v>-1</v>
      </c>
      <c r="H434">
        <f>_xlfn.XLOOKUP(I434,$B$2:$B$1096,$A$2:$A$1096,65535)</f>
        <v>65535</v>
      </c>
      <c r="I434" s="1"/>
      <c r="J434">
        <f t="shared" ref="J434:K434" si="686">C434-C470</f>
        <v>0</v>
      </c>
      <c r="K434">
        <f t="shared" si="686"/>
        <v>1</v>
      </c>
      <c r="L434">
        <f t="shared" ref="L434:N434" si="687">E434+E470</f>
        <v>-7</v>
      </c>
      <c r="M434">
        <f t="shared" si="687"/>
        <v>-3</v>
      </c>
      <c r="N434">
        <f t="shared" si="687"/>
        <v>-1</v>
      </c>
      <c r="P434" t="str">
        <f t="shared" ref="P434:P497" si="688">_xlfn.CONCAT(D434,", ",E434,", ",F434,", ",G434)</f>
        <v>0, -5, -2, -1</v>
      </c>
    </row>
    <row r="435" spans="1:16" x14ac:dyDescent="0.2">
      <c r="A435">
        <f t="shared" si="615"/>
        <v>433</v>
      </c>
      <c r="B435" s="1" t="s">
        <v>535</v>
      </c>
      <c r="C435">
        <v>5</v>
      </c>
      <c r="D435">
        <v>0</v>
      </c>
      <c r="E435">
        <v>-5</v>
      </c>
      <c r="F435">
        <v>-2</v>
      </c>
      <c r="G435">
        <v>-1</v>
      </c>
      <c r="H435">
        <f>_xlfn.XLOOKUP(I435,$B$2:$B$1096,$A$2:$A$1096,65535)</f>
        <v>65535</v>
      </c>
      <c r="I435" s="1"/>
      <c r="J435">
        <f t="shared" ref="J435:K435" si="689">C435-C471</f>
        <v>-1</v>
      </c>
      <c r="K435">
        <f t="shared" si="689"/>
        <v>1</v>
      </c>
      <c r="L435">
        <f t="shared" ref="L435:N435" si="690">E435+E471</f>
        <v>-7</v>
      </c>
      <c r="M435">
        <f t="shared" si="690"/>
        <v>-3</v>
      </c>
      <c r="N435">
        <f t="shared" si="690"/>
        <v>-1</v>
      </c>
      <c r="P435" t="str">
        <f t="shared" si="688"/>
        <v>0, -5, -2, -1</v>
      </c>
    </row>
    <row r="436" spans="1:16" x14ac:dyDescent="0.2">
      <c r="A436">
        <f t="shared" si="615"/>
        <v>434</v>
      </c>
      <c r="B436" s="1" t="s">
        <v>536</v>
      </c>
      <c r="C436">
        <v>5</v>
      </c>
      <c r="D436">
        <v>-4</v>
      </c>
      <c r="E436">
        <v>0</v>
      </c>
      <c r="F436">
        <v>0</v>
      </c>
      <c r="G436">
        <v>0</v>
      </c>
      <c r="H436">
        <f>_xlfn.XLOOKUP(I436,$B$2:$B$1096,$A$2:$A$1096,65535)</f>
        <v>65535</v>
      </c>
      <c r="I436" s="1"/>
      <c r="J436">
        <f t="shared" ref="J436:K436" si="691">C436-C472</f>
        <v>-14</v>
      </c>
      <c r="K436">
        <f t="shared" si="691"/>
        <v>-3</v>
      </c>
      <c r="L436">
        <f t="shared" ref="L436:N436" si="692">E436+E472</f>
        <v>-5</v>
      </c>
      <c r="M436">
        <f t="shared" si="692"/>
        <v>-2</v>
      </c>
      <c r="N436">
        <f t="shared" si="692"/>
        <v>-1</v>
      </c>
      <c r="P436" t="str">
        <f t="shared" si="688"/>
        <v>-4, 0, 0, 0</v>
      </c>
    </row>
    <row r="437" spans="1:16" x14ac:dyDescent="0.2">
      <c r="A437">
        <f t="shared" si="615"/>
        <v>435</v>
      </c>
      <c r="B437" s="1" t="s">
        <v>542</v>
      </c>
      <c r="C437">
        <v>4</v>
      </c>
      <c r="D437">
        <v>0</v>
      </c>
      <c r="E437">
        <v>-5</v>
      </c>
      <c r="F437">
        <v>-2</v>
      </c>
      <c r="G437">
        <v>-1</v>
      </c>
      <c r="H437">
        <f>_xlfn.XLOOKUP(I437,$B$2:$B$1096,$A$2:$A$1096,65535)</f>
        <v>65535</v>
      </c>
      <c r="I437" s="1"/>
      <c r="J437">
        <f t="shared" ref="J437:K437" si="693">C437-C473</f>
        <v>-116</v>
      </c>
      <c r="K437">
        <f t="shared" si="693"/>
        <v>0</v>
      </c>
      <c r="L437">
        <f t="shared" ref="L437:N437" si="694">E437+E473</f>
        <v>-5</v>
      </c>
      <c r="M437">
        <f t="shared" si="694"/>
        <v>-2</v>
      </c>
      <c r="N437">
        <f t="shared" si="694"/>
        <v>-1</v>
      </c>
      <c r="P437" t="str">
        <f t="shared" si="688"/>
        <v>0, -5, -2, -1</v>
      </c>
    </row>
    <row r="438" spans="1:16" x14ac:dyDescent="0.2">
      <c r="A438">
        <f t="shared" si="615"/>
        <v>436</v>
      </c>
      <c r="B438" s="1" t="s">
        <v>543</v>
      </c>
      <c r="C438">
        <v>4</v>
      </c>
      <c r="D438">
        <v>2</v>
      </c>
      <c r="E438">
        <v>-5</v>
      </c>
      <c r="F438">
        <v>-2</v>
      </c>
      <c r="G438">
        <v>-1</v>
      </c>
      <c r="H438">
        <f>_xlfn.XLOOKUP(I438,$B$2:$B$1096,$A$2:$A$1096,65535)</f>
        <v>65535</v>
      </c>
      <c r="I438" s="1"/>
      <c r="J438">
        <f t="shared" ref="J438:K438" si="695">C438-C474</f>
        <v>-117</v>
      </c>
      <c r="K438">
        <f t="shared" si="695"/>
        <v>2</v>
      </c>
      <c r="L438">
        <f t="shared" ref="L438:N438" si="696">E438+E474</f>
        <v>-5</v>
      </c>
      <c r="M438">
        <f t="shared" si="696"/>
        <v>-2</v>
      </c>
      <c r="N438">
        <f t="shared" si="696"/>
        <v>-1</v>
      </c>
      <c r="P438" t="str">
        <f t="shared" si="688"/>
        <v>2, -5, -2, -1</v>
      </c>
    </row>
    <row r="439" spans="1:16" x14ac:dyDescent="0.2">
      <c r="A439">
        <f t="shared" si="615"/>
        <v>437</v>
      </c>
      <c r="B439" s="1" t="s">
        <v>544</v>
      </c>
      <c r="C439">
        <v>52</v>
      </c>
      <c r="D439">
        <v>2</v>
      </c>
      <c r="E439">
        <v>-8</v>
      </c>
      <c r="F439">
        <v>-3</v>
      </c>
      <c r="G439">
        <v>-2</v>
      </c>
      <c r="H439">
        <f>_xlfn.XLOOKUP(I439,$B$2:$B$1096,$A$2:$A$1096,65535)</f>
        <v>65535</v>
      </c>
      <c r="I439" s="1"/>
      <c r="J439">
        <f t="shared" ref="J439:K439" si="697">C439-C475</f>
        <v>-70</v>
      </c>
      <c r="K439">
        <f t="shared" si="697"/>
        <v>2</v>
      </c>
      <c r="L439">
        <f t="shared" ref="L439:N439" si="698">E439+E475</f>
        <v>-8</v>
      </c>
      <c r="M439">
        <f t="shared" si="698"/>
        <v>-3</v>
      </c>
      <c r="N439">
        <f t="shared" si="698"/>
        <v>-2</v>
      </c>
      <c r="P439" t="str">
        <f t="shared" si="688"/>
        <v>2, -8, -3, -2</v>
      </c>
    </row>
    <row r="440" spans="1:16" x14ac:dyDescent="0.2">
      <c r="A440">
        <f t="shared" si="615"/>
        <v>438</v>
      </c>
      <c r="B440" s="1" t="s">
        <v>545</v>
      </c>
      <c r="C440">
        <v>52</v>
      </c>
      <c r="D440">
        <v>-2</v>
      </c>
      <c r="E440">
        <v>-8</v>
      </c>
      <c r="F440">
        <v>-4</v>
      </c>
      <c r="G440">
        <v>-2</v>
      </c>
      <c r="H440">
        <f>_xlfn.XLOOKUP(I440,$B$2:$B$1096,$A$2:$A$1096,65535)</f>
        <v>65535</v>
      </c>
      <c r="I440" s="1"/>
      <c r="J440">
        <f t="shared" ref="J440:K440" si="699">C440-C476</f>
        <v>-71</v>
      </c>
      <c r="K440">
        <f t="shared" si="699"/>
        <v>-2</v>
      </c>
      <c r="L440">
        <f t="shared" ref="L440:N440" si="700">E440+E476</f>
        <v>-8</v>
      </c>
      <c r="M440">
        <f t="shared" si="700"/>
        <v>-4</v>
      </c>
      <c r="N440">
        <f t="shared" si="700"/>
        <v>-2</v>
      </c>
      <c r="P440" t="str">
        <f t="shared" si="688"/>
        <v>-2, -8, -4, -2</v>
      </c>
    </row>
    <row r="441" spans="1:16" x14ac:dyDescent="0.2">
      <c r="A441">
        <f t="shared" si="615"/>
        <v>439</v>
      </c>
      <c r="B441" s="1" t="s">
        <v>546</v>
      </c>
      <c r="C441">
        <v>52</v>
      </c>
      <c r="D441">
        <v>-2</v>
      </c>
      <c r="E441">
        <v>-8</v>
      </c>
      <c r="F441">
        <v>-3</v>
      </c>
      <c r="G441">
        <v>-2</v>
      </c>
      <c r="H441">
        <f>_xlfn.XLOOKUP(I441,$B$2:$B$1096,$A$2:$A$1096,65535)</f>
        <v>65535</v>
      </c>
      <c r="I441" s="1"/>
      <c r="J441">
        <f t="shared" ref="J441:K441" si="701">C441-C477</f>
        <v>-70</v>
      </c>
      <c r="K441">
        <f t="shared" si="701"/>
        <v>-2</v>
      </c>
      <c r="L441">
        <f t="shared" ref="L441:N441" si="702">E441+E477</f>
        <v>-8</v>
      </c>
      <c r="M441">
        <f t="shared" si="702"/>
        <v>-3</v>
      </c>
      <c r="N441">
        <f t="shared" si="702"/>
        <v>-2</v>
      </c>
      <c r="P441" t="str">
        <f t="shared" si="688"/>
        <v>-2, -8, -3, -2</v>
      </c>
    </row>
    <row r="442" spans="1:16" x14ac:dyDescent="0.2">
      <c r="A442">
        <f t="shared" si="615"/>
        <v>440</v>
      </c>
      <c r="B442" s="1" t="s">
        <v>547</v>
      </c>
      <c r="C442">
        <v>52</v>
      </c>
      <c r="D442">
        <v>-1</v>
      </c>
      <c r="E442">
        <v>-10</v>
      </c>
      <c r="F442">
        <v>-3</v>
      </c>
      <c r="G442">
        <v>-2</v>
      </c>
      <c r="H442">
        <f>_xlfn.XLOOKUP(I442,$B$2:$B$1096,$A$2:$A$1096,65535)</f>
        <v>65535</v>
      </c>
      <c r="I442" s="1"/>
      <c r="J442">
        <f t="shared" ref="J442:K442" si="703">C442-C478</f>
        <v>-69</v>
      </c>
      <c r="K442">
        <f t="shared" si="703"/>
        <v>-1</v>
      </c>
      <c r="L442">
        <f t="shared" ref="L442:N442" si="704">E442+E478</f>
        <v>-10</v>
      </c>
      <c r="M442">
        <f t="shared" si="704"/>
        <v>-3</v>
      </c>
      <c r="N442">
        <f t="shared" si="704"/>
        <v>-2</v>
      </c>
      <c r="P442" t="str">
        <f t="shared" si="688"/>
        <v>-1, -10, -3, -2</v>
      </c>
    </row>
    <row r="443" spans="1:16" x14ac:dyDescent="0.2">
      <c r="A443">
        <f t="shared" si="615"/>
        <v>441</v>
      </c>
      <c r="B443" s="1" t="s">
        <v>548</v>
      </c>
      <c r="C443">
        <v>52</v>
      </c>
      <c r="D443">
        <v>0</v>
      </c>
      <c r="E443">
        <v>-10</v>
      </c>
      <c r="F443">
        <v>-4</v>
      </c>
      <c r="G443">
        <v>-2</v>
      </c>
      <c r="H443">
        <f>_xlfn.XLOOKUP(I443,$B$2:$B$1096,$A$2:$A$1096,65535)</f>
        <v>65535</v>
      </c>
      <c r="I443" s="1"/>
      <c r="J443">
        <f t="shared" ref="J443:K443" si="705">C443-C479</f>
        <v>-68</v>
      </c>
      <c r="K443">
        <f t="shared" si="705"/>
        <v>0</v>
      </c>
      <c r="L443">
        <f t="shared" ref="L443:N443" si="706">E443+E479</f>
        <v>-10</v>
      </c>
      <c r="M443">
        <f t="shared" si="706"/>
        <v>-4</v>
      </c>
      <c r="N443">
        <f t="shared" si="706"/>
        <v>-2</v>
      </c>
      <c r="P443" t="str">
        <f t="shared" si="688"/>
        <v>0, -10, -4, -2</v>
      </c>
    </row>
    <row r="444" spans="1:16" x14ac:dyDescent="0.2">
      <c r="A444">
        <f t="shared" si="615"/>
        <v>442</v>
      </c>
      <c r="B444" s="1" t="s">
        <v>549</v>
      </c>
      <c r="C444">
        <v>52</v>
      </c>
      <c r="D444">
        <v>-1</v>
      </c>
      <c r="E444">
        <v>-10</v>
      </c>
      <c r="F444">
        <v>-4</v>
      </c>
      <c r="G444">
        <v>-2</v>
      </c>
      <c r="H444">
        <f>_xlfn.XLOOKUP(I444,$B$2:$B$1096,$A$2:$A$1096,65535)</f>
        <v>65535</v>
      </c>
      <c r="I444" s="1"/>
      <c r="J444">
        <f t="shared" ref="J444:K444" si="707">C444-C480</f>
        <v>-69</v>
      </c>
      <c r="K444">
        <f t="shared" si="707"/>
        <v>-1</v>
      </c>
      <c r="L444">
        <f t="shared" ref="L444:N444" si="708">E444+E480</f>
        <v>-15</v>
      </c>
      <c r="M444">
        <f t="shared" si="708"/>
        <v>-6</v>
      </c>
      <c r="N444">
        <f t="shared" si="708"/>
        <v>-3</v>
      </c>
      <c r="P444" t="str">
        <f t="shared" si="688"/>
        <v>-1, -10, -4, -2</v>
      </c>
    </row>
    <row r="445" spans="1:16" x14ac:dyDescent="0.2">
      <c r="A445">
        <f t="shared" si="615"/>
        <v>443</v>
      </c>
      <c r="B445" s="1" t="s">
        <v>550</v>
      </c>
      <c r="C445">
        <v>52</v>
      </c>
      <c r="D445">
        <v>0</v>
      </c>
      <c r="E445">
        <v>-10</v>
      </c>
      <c r="F445">
        <v>-4</v>
      </c>
      <c r="G445">
        <v>-2</v>
      </c>
      <c r="H445">
        <f>_xlfn.XLOOKUP(I445,$B$2:$B$1096,$A$2:$A$1096,65535)</f>
        <v>65535</v>
      </c>
      <c r="I445" s="1"/>
      <c r="J445">
        <f t="shared" ref="J445:K445" si="709">C445-C481</f>
        <v>-68</v>
      </c>
      <c r="K445">
        <f t="shared" si="709"/>
        <v>0</v>
      </c>
      <c r="L445">
        <f t="shared" ref="L445:N445" si="710">E445+E481</f>
        <v>-15</v>
      </c>
      <c r="M445">
        <f t="shared" si="710"/>
        <v>-6</v>
      </c>
      <c r="N445">
        <f t="shared" si="710"/>
        <v>-3</v>
      </c>
      <c r="P445" t="str">
        <f t="shared" si="688"/>
        <v>0, -10, -4, -2</v>
      </c>
    </row>
    <row r="446" spans="1:16" x14ac:dyDescent="0.2">
      <c r="A446">
        <f t="shared" si="615"/>
        <v>444</v>
      </c>
      <c r="B446" s="1" t="s">
        <v>551</v>
      </c>
      <c r="C446">
        <v>52</v>
      </c>
      <c r="D446">
        <v>0</v>
      </c>
      <c r="E446">
        <v>-10</v>
      </c>
      <c r="F446">
        <v>-4</v>
      </c>
      <c r="G446">
        <v>-2</v>
      </c>
      <c r="H446">
        <f>_xlfn.XLOOKUP(I446,$B$2:$B$1096,$A$2:$A$1096,65535)</f>
        <v>65535</v>
      </c>
      <c r="I446" s="1"/>
      <c r="J446">
        <f t="shared" ref="J446:K446" si="711">C446-C482</f>
        <v>-69</v>
      </c>
      <c r="K446">
        <f t="shared" si="711"/>
        <v>0</v>
      </c>
      <c r="L446">
        <f t="shared" ref="L446:N446" si="712">E446+E482</f>
        <v>-15</v>
      </c>
      <c r="M446">
        <f t="shared" si="712"/>
        <v>-6</v>
      </c>
      <c r="N446">
        <f t="shared" si="712"/>
        <v>-3</v>
      </c>
      <c r="P446" t="str">
        <f t="shared" si="688"/>
        <v>0, -10, -4, -2</v>
      </c>
    </row>
    <row r="447" spans="1:16" x14ac:dyDescent="0.2">
      <c r="A447">
        <f t="shared" si="615"/>
        <v>445</v>
      </c>
      <c r="B447" s="1" t="s">
        <v>552</v>
      </c>
      <c r="C447">
        <v>52</v>
      </c>
      <c r="D447">
        <v>1</v>
      </c>
      <c r="E447">
        <v>-10</v>
      </c>
      <c r="F447">
        <v>-4</v>
      </c>
      <c r="G447">
        <v>-2</v>
      </c>
      <c r="H447">
        <f>_xlfn.XLOOKUP(I447,$B$2:$B$1096,$A$2:$A$1096,65535)</f>
        <v>65535</v>
      </c>
      <c r="I447" s="1"/>
      <c r="J447">
        <f t="shared" ref="J447:K447" si="713">C447-C483</f>
        <v>-68</v>
      </c>
      <c r="K447">
        <f t="shared" si="713"/>
        <v>1</v>
      </c>
      <c r="L447">
        <f t="shared" ref="L447:N447" si="714">E447+E483</f>
        <v>-15</v>
      </c>
      <c r="M447">
        <f t="shared" si="714"/>
        <v>-6</v>
      </c>
      <c r="N447">
        <f t="shared" si="714"/>
        <v>-3</v>
      </c>
      <c r="P447" t="str">
        <f t="shared" si="688"/>
        <v>1, -10, -4, -2</v>
      </c>
    </row>
    <row r="448" spans="1:16" x14ac:dyDescent="0.2">
      <c r="A448">
        <f t="shared" si="615"/>
        <v>446</v>
      </c>
      <c r="B448" s="1" t="s">
        <v>553</v>
      </c>
      <c r="C448">
        <v>52</v>
      </c>
      <c r="D448">
        <v>0</v>
      </c>
      <c r="E448">
        <v>-8</v>
      </c>
      <c r="F448">
        <v>-3</v>
      </c>
      <c r="G448">
        <v>-1</v>
      </c>
      <c r="H448">
        <f>_xlfn.XLOOKUP(I448,$B$2:$B$1096,$A$2:$A$1096,65535)</f>
        <v>65535</v>
      </c>
      <c r="I448" s="1"/>
      <c r="J448">
        <f t="shared" ref="J448:K448" si="715">C448-C484</f>
        <v>-69</v>
      </c>
      <c r="K448">
        <f t="shared" si="715"/>
        <v>0</v>
      </c>
      <c r="L448">
        <f t="shared" ref="L448:N448" si="716">E448+E484</f>
        <v>-3</v>
      </c>
      <c r="M448">
        <f t="shared" si="716"/>
        <v>-1</v>
      </c>
      <c r="N448">
        <f t="shared" si="716"/>
        <v>0</v>
      </c>
      <c r="P448" t="str">
        <f t="shared" si="688"/>
        <v>0, -8, -3, -1</v>
      </c>
    </row>
    <row r="449" spans="1:16" x14ac:dyDescent="0.2">
      <c r="A449">
        <f t="shared" si="615"/>
        <v>447</v>
      </c>
      <c r="B449" s="1" t="s">
        <v>554</v>
      </c>
      <c r="C449">
        <v>52</v>
      </c>
      <c r="D449">
        <v>1</v>
      </c>
      <c r="E449">
        <v>-8</v>
      </c>
      <c r="F449">
        <v>-3</v>
      </c>
      <c r="G449">
        <v>-1</v>
      </c>
      <c r="H449">
        <f>_xlfn.XLOOKUP(I449,$B$2:$B$1096,$A$2:$A$1096,65535)</f>
        <v>65535</v>
      </c>
      <c r="I449" s="1"/>
      <c r="J449">
        <f t="shared" ref="J449:K449" si="717">C449-C485</f>
        <v>-68</v>
      </c>
      <c r="K449">
        <f t="shared" si="717"/>
        <v>1</v>
      </c>
      <c r="L449">
        <f t="shared" ref="L449:N449" si="718">E449+E485</f>
        <v>-3</v>
      </c>
      <c r="M449">
        <f t="shared" si="718"/>
        <v>-1</v>
      </c>
      <c r="N449">
        <f t="shared" si="718"/>
        <v>0</v>
      </c>
      <c r="P449" t="str">
        <f t="shared" si="688"/>
        <v>1, -8, -3, -1</v>
      </c>
    </row>
    <row r="450" spans="1:16" x14ac:dyDescent="0.2">
      <c r="A450">
        <f t="shared" si="615"/>
        <v>448</v>
      </c>
      <c r="B450" s="1" t="s">
        <v>555</v>
      </c>
      <c r="C450">
        <v>52</v>
      </c>
      <c r="D450">
        <v>2</v>
      </c>
      <c r="E450">
        <v>-8</v>
      </c>
      <c r="F450">
        <v>-3</v>
      </c>
      <c r="G450">
        <v>-1</v>
      </c>
      <c r="H450">
        <f>_xlfn.XLOOKUP(I450,$B$2:$B$1096,$A$2:$A$1096,65535)</f>
        <v>65535</v>
      </c>
      <c r="I450" s="1"/>
      <c r="J450">
        <f t="shared" ref="J450:K450" si="719">C450-C486</f>
        <v>-69</v>
      </c>
      <c r="K450">
        <f t="shared" si="719"/>
        <v>2</v>
      </c>
      <c r="L450">
        <f t="shared" ref="L450:N450" si="720">E450+E486</f>
        <v>-3</v>
      </c>
      <c r="M450">
        <f t="shared" si="720"/>
        <v>-1</v>
      </c>
      <c r="N450">
        <f t="shared" si="720"/>
        <v>0</v>
      </c>
      <c r="P450" t="str">
        <f t="shared" si="688"/>
        <v>2, -8, -3, -1</v>
      </c>
    </row>
    <row r="451" spans="1:16" x14ac:dyDescent="0.2">
      <c r="A451">
        <f t="shared" si="615"/>
        <v>449</v>
      </c>
      <c r="B451" s="1" t="s">
        <v>556</v>
      </c>
      <c r="C451">
        <v>52</v>
      </c>
      <c r="D451">
        <v>1</v>
      </c>
      <c r="E451">
        <v>-5</v>
      </c>
      <c r="F451">
        <v>-2</v>
      </c>
      <c r="G451">
        <v>-1</v>
      </c>
      <c r="H451">
        <f>_xlfn.XLOOKUP(I451,$B$2:$B$1096,$A$2:$A$1096,65535)</f>
        <v>65535</v>
      </c>
      <c r="I451" s="1"/>
      <c r="J451">
        <f t="shared" ref="J451:K451" si="721">C451-C487</f>
        <v>-68</v>
      </c>
      <c r="K451">
        <f t="shared" si="721"/>
        <v>1</v>
      </c>
      <c r="L451">
        <f t="shared" ref="L451:N451" si="722">E451+E487</f>
        <v>0</v>
      </c>
      <c r="M451">
        <f t="shared" si="722"/>
        <v>0</v>
      </c>
      <c r="N451">
        <f t="shared" si="722"/>
        <v>0</v>
      </c>
      <c r="P451" t="str">
        <f t="shared" si="688"/>
        <v>1, -5, -2, -1</v>
      </c>
    </row>
    <row r="452" spans="1:16" x14ac:dyDescent="0.2">
      <c r="A452">
        <f t="shared" si="615"/>
        <v>450</v>
      </c>
      <c r="B452" s="1" t="s">
        <v>557</v>
      </c>
      <c r="C452">
        <v>4</v>
      </c>
      <c r="D452">
        <v>0</v>
      </c>
      <c r="E452">
        <v>-5</v>
      </c>
      <c r="F452">
        <v>-2</v>
      </c>
      <c r="G452">
        <v>-1</v>
      </c>
      <c r="H452">
        <f>_xlfn.XLOOKUP(I452,$B$2:$B$1096,$A$2:$A$1096,65535)</f>
        <v>65535</v>
      </c>
      <c r="I452" s="1"/>
      <c r="J452">
        <f t="shared" ref="J452:K452" si="723">C452-C488</f>
        <v>-117</v>
      </c>
      <c r="K452">
        <f t="shared" si="723"/>
        <v>0</v>
      </c>
      <c r="L452">
        <f t="shared" ref="L452:N452" si="724">E452+E488</f>
        <v>-5</v>
      </c>
      <c r="M452">
        <f t="shared" si="724"/>
        <v>-2</v>
      </c>
      <c r="N452">
        <f t="shared" si="724"/>
        <v>-1</v>
      </c>
      <c r="P452" t="str">
        <f t="shared" si="688"/>
        <v>0, -5, -2, -1</v>
      </c>
    </row>
    <row r="453" spans="1:16" x14ac:dyDescent="0.2">
      <c r="A453">
        <f t="shared" si="615"/>
        <v>451</v>
      </c>
      <c r="B453" s="1" t="s">
        <v>558</v>
      </c>
      <c r="C453">
        <v>4</v>
      </c>
      <c r="D453">
        <v>1</v>
      </c>
      <c r="E453">
        <v>-5</v>
      </c>
      <c r="F453">
        <v>-2</v>
      </c>
      <c r="G453">
        <v>-1</v>
      </c>
      <c r="H453">
        <f>_xlfn.XLOOKUP(I453,$B$2:$B$1096,$A$2:$A$1096,65535)</f>
        <v>65535</v>
      </c>
      <c r="I453" s="1"/>
      <c r="J453">
        <f t="shared" ref="J453:K453" si="725">C453-C489</f>
        <v>-116</v>
      </c>
      <c r="K453">
        <f t="shared" si="725"/>
        <v>-2</v>
      </c>
      <c r="L453">
        <f t="shared" ref="L453:N453" si="726">E453+E489</f>
        <v>-5</v>
      </c>
      <c r="M453">
        <f t="shared" si="726"/>
        <v>-2</v>
      </c>
      <c r="N453">
        <f t="shared" si="726"/>
        <v>-1</v>
      </c>
      <c r="P453" t="str">
        <f t="shared" si="688"/>
        <v>1, -5, -2, -1</v>
      </c>
    </row>
    <row r="454" spans="1:16" x14ac:dyDescent="0.2">
      <c r="A454">
        <f t="shared" si="615"/>
        <v>452</v>
      </c>
      <c r="B454" s="1" t="s">
        <v>559</v>
      </c>
      <c r="C454">
        <v>6</v>
      </c>
      <c r="D454">
        <v>-2</v>
      </c>
      <c r="E454">
        <v>-5</v>
      </c>
      <c r="F454">
        <v>-2</v>
      </c>
      <c r="G454">
        <v>-1</v>
      </c>
      <c r="H454">
        <f>_xlfn.XLOOKUP(I454,$B$2:$B$1096,$A$2:$A$1096,65535)</f>
        <v>65535</v>
      </c>
      <c r="I454" s="1"/>
      <c r="J454">
        <f t="shared" ref="J454:K454" si="727">C454-C490</f>
        <v>-114</v>
      </c>
      <c r="K454">
        <f t="shared" si="727"/>
        <v>-4</v>
      </c>
      <c r="L454">
        <f t="shared" ref="L454:N454" si="728">E454+E490</f>
        <v>-5</v>
      </c>
      <c r="M454">
        <f t="shared" si="728"/>
        <v>-2</v>
      </c>
      <c r="N454">
        <f t="shared" si="728"/>
        <v>-1</v>
      </c>
      <c r="P454" t="str">
        <f t="shared" si="688"/>
        <v>-2, -5, -2, -1</v>
      </c>
    </row>
    <row r="455" spans="1:16" x14ac:dyDescent="0.2">
      <c r="A455">
        <f t="shared" si="615"/>
        <v>453</v>
      </c>
      <c r="B455" s="1" t="s">
        <v>560</v>
      </c>
      <c r="C455">
        <v>7</v>
      </c>
      <c r="D455">
        <v>-2</v>
      </c>
      <c r="E455">
        <v>-5</v>
      </c>
      <c r="F455">
        <v>-2</v>
      </c>
      <c r="G455">
        <v>-1</v>
      </c>
      <c r="H455">
        <f>_xlfn.XLOOKUP(I455,$B$2:$B$1096,$A$2:$A$1096,65535)</f>
        <v>65535</v>
      </c>
      <c r="I455" s="1"/>
      <c r="J455">
        <f t="shared" ref="J455:K455" si="729">C455-C491</f>
        <v>-113</v>
      </c>
      <c r="K455">
        <f t="shared" si="729"/>
        <v>-3</v>
      </c>
      <c r="L455">
        <f t="shared" ref="L455:N455" si="730">E455+E491</f>
        <v>-5</v>
      </c>
      <c r="M455">
        <f t="shared" si="730"/>
        <v>-2</v>
      </c>
      <c r="N455">
        <f t="shared" si="730"/>
        <v>-1</v>
      </c>
      <c r="P455" t="str">
        <f t="shared" si="688"/>
        <v>-2, -5, -2, -1</v>
      </c>
    </row>
    <row r="456" spans="1:16" ht="18" customHeight="1" x14ac:dyDescent="0.2">
      <c r="A456">
        <f t="shared" si="615"/>
        <v>454</v>
      </c>
      <c r="B456" s="1" t="s">
        <v>561</v>
      </c>
      <c r="C456">
        <v>5</v>
      </c>
      <c r="D456">
        <v>0</v>
      </c>
      <c r="E456">
        <v>0</v>
      </c>
      <c r="F456">
        <v>0</v>
      </c>
      <c r="G456">
        <v>0</v>
      </c>
      <c r="H456">
        <f>_xlfn.XLOOKUP(I456,$B$2:$B$1096,$A$2:$A$1096,65535)</f>
        <v>65535</v>
      </c>
      <c r="I456" s="1"/>
      <c r="J456">
        <f t="shared" ref="J456:K456" si="731">C456-C492</f>
        <v>-115</v>
      </c>
      <c r="K456">
        <f t="shared" si="731"/>
        <v>1</v>
      </c>
      <c r="L456">
        <f t="shared" ref="L456:N456" si="732">E456+E492</f>
        <v>0</v>
      </c>
      <c r="M456">
        <f t="shared" si="732"/>
        <v>0</v>
      </c>
      <c r="N456">
        <f t="shared" si="732"/>
        <v>0</v>
      </c>
      <c r="P456" t="str">
        <f t="shared" si="688"/>
        <v>0, 0, 0, 0</v>
      </c>
    </row>
    <row r="457" spans="1:16" ht="18" customHeight="1" x14ac:dyDescent="0.2">
      <c r="A457">
        <f t="shared" si="615"/>
        <v>455</v>
      </c>
      <c r="B457" s="1" t="s">
        <v>677</v>
      </c>
      <c r="C457">
        <v>5</v>
      </c>
      <c r="D457">
        <v>0</v>
      </c>
      <c r="E457">
        <v>0</v>
      </c>
      <c r="F457">
        <v>0</v>
      </c>
      <c r="G457">
        <v>0</v>
      </c>
      <c r="H457">
        <f>_xlfn.XLOOKUP(I457,$B$2:$B$1096,$A$2:$A$1096,65535)</f>
        <v>65535</v>
      </c>
      <c r="I457" s="1"/>
      <c r="J457">
        <f t="shared" ref="J457:K457" si="733">C457-C493</f>
        <v>-116</v>
      </c>
      <c r="K457">
        <f t="shared" si="733"/>
        <v>2</v>
      </c>
      <c r="L457">
        <f t="shared" ref="L457:N457" si="734">E457+E493</f>
        <v>0</v>
      </c>
      <c r="M457">
        <f t="shared" si="734"/>
        <v>0</v>
      </c>
      <c r="N457">
        <f t="shared" si="734"/>
        <v>0</v>
      </c>
      <c r="P457" t="str">
        <f t="shared" si="688"/>
        <v>0, 0, 0, 0</v>
      </c>
    </row>
    <row r="458" spans="1:16" x14ac:dyDescent="0.2">
      <c r="A458">
        <f t="shared" si="615"/>
        <v>456</v>
      </c>
      <c r="B458" s="1" t="s">
        <v>678</v>
      </c>
      <c r="C458">
        <v>4</v>
      </c>
      <c r="D458">
        <v>1</v>
      </c>
      <c r="E458">
        <v>-5</v>
      </c>
      <c r="F458">
        <v>-2</v>
      </c>
      <c r="G458">
        <v>-1</v>
      </c>
      <c r="H458">
        <f>_xlfn.XLOOKUP(I458,$B$2:$B$1096,$A$2:$A$1096,65535)</f>
        <v>65535</v>
      </c>
      <c r="J458">
        <f t="shared" ref="J458:K458" si="735">C458-C494</f>
        <v>-116</v>
      </c>
      <c r="K458">
        <f t="shared" si="735"/>
        <v>4</v>
      </c>
      <c r="L458">
        <f t="shared" ref="L458:N458" si="736">E458+E494</f>
        <v>-5</v>
      </c>
      <c r="M458">
        <f t="shared" si="736"/>
        <v>-2</v>
      </c>
      <c r="N458">
        <f t="shared" si="736"/>
        <v>-1</v>
      </c>
      <c r="P458" t="str">
        <f t="shared" si="688"/>
        <v>1, -5, -2, -1</v>
      </c>
    </row>
    <row r="459" spans="1:16" x14ac:dyDescent="0.2">
      <c r="A459">
        <f t="shared" si="615"/>
        <v>457</v>
      </c>
      <c r="B459" s="1" t="s">
        <v>679</v>
      </c>
      <c r="C459">
        <v>4</v>
      </c>
      <c r="D459">
        <v>1</v>
      </c>
      <c r="E459">
        <v>-5</v>
      </c>
      <c r="F459">
        <v>-2</v>
      </c>
      <c r="G459">
        <v>-1</v>
      </c>
      <c r="H459">
        <f>_xlfn.XLOOKUP(I459,$B$2:$B$1096,$A$2:$A$1096,65535)</f>
        <v>65535</v>
      </c>
      <c r="J459">
        <f t="shared" ref="J459:K459" si="737">C459-C495</f>
        <v>-60</v>
      </c>
      <c r="K459">
        <f t="shared" si="737"/>
        <v>1</v>
      </c>
      <c r="L459">
        <f t="shared" ref="L459:N459" si="738">E459+E495</f>
        <v>-5</v>
      </c>
      <c r="M459">
        <f t="shared" si="738"/>
        <v>-2</v>
      </c>
      <c r="N459">
        <f t="shared" si="738"/>
        <v>-1</v>
      </c>
      <c r="P459" t="str">
        <f t="shared" si="688"/>
        <v>1, -5, -2, -1</v>
      </c>
    </row>
    <row r="460" spans="1:16" x14ac:dyDescent="0.2">
      <c r="A460">
        <f t="shared" si="615"/>
        <v>458</v>
      </c>
      <c r="B460" s="1" t="s">
        <v>680</v>
      </c>
      <c r="C460">
        <v>4</v>
      </c>
      <c r="D460">
        <v>1</v>
      </c>
      <c r="E460">
        <v>-5</v>
      </c>
      <c r="F460">
        <v>-2</v>
      </c>
      <c r="G460">
        <v>-1</v>
      </c>
      <c r="H460">
        <f>_xlfn.XLOOKUP(I460,$B$2:$B$1096,$A$2:$A$1096,65535)</f>
        <v>65535</v>
      </c>
      <c r="J460">
        <f t="shared" ref="J460:K460" si="739">C460-C496</f>
        <v>-61</v>
      </c>
      <c r="K460">
        <f t="shared" si="739"/>
        <v>1</v>
      </c>
      <c r="L460">
        <f t="shared" ref="L460:N460" si="740">E460+E496</f>
        <v>-5</v>
      </c>
      <c r="M460">
        <f t="shared" si="740"/>
        <v>-2</v>
      </c>
      <c r="N460">
        <f t="shared" si="740"/>
        <v>-1</v>
      </c>
      <c r="P460" t="str">
        <f t="shared" si="688"/>
        <v>1, -5, -2, -1</v>
      </c>
    </row>
    <row r="461" spans="1:16" x14ac:dyDescent="0.2">
      <c r="A461">
        <f t="shared" si="615"/>
        <v>459</v>
      </c>
      <c r="B461" s="1" t="s">
        <v>681</v>
      </c>
      <c r="C461">
        <v>4</v>
      </c>
      <c r="D461">
        <v>0</v>
      </c>
      <c r="E461">
        <v>-5</v>
      </c>
      <c r="F461">
        <v>-2</v>
      </c>
      <c r="G461">
        <v>-1</v>
      </c>
      <c r="H461">
        <f>_xlfn.XLOOKUP(I461,$B$2:$B$1096,$A$2:$A$1096,65535)</f>
        <v>65535</v>
      </c>
      <c r="J461">
        <f t="shared" ref="J461:K461" si="741">C461-C497</f>
        <v>-62</v>
      </c>
      <c r="K461">
        <f t="shared" si="741"/>
        <v>0</v>
      </c>
      <c r="L461">
        <f t="shared" ref="L461:N461" si="742">E461+E497</f>
        <v>-5</v>
      </c>
      <c r="M461">
        <f t="shared" si="742"/>
        <v>-2</v>
      </c>
      <c r="N461">
        <f t="shared" si="742"/>
        <v>-1</v>
      </c>
      <c r="P461" t="str">
        <f t="shared" si="688"/>
        <v>0, -5, -2, -1</v>
      </c>
    </row>
    <row r="462" spans="1:16" x14ac:dyDescent="0.2">
      <c r="A462">
        <f t="shared" si="615"/>
        <v>460</v>
      </c>
      <c r="B462" s="1" t="s">
        <v>682</v>
      </c>
      <c r="C462">
        <v>4</v>
      </c>
      <c r="D462">
        <v>-1</v>
      </c>
      <c r="E462">
        <v>-2</v>
      </c>
      <c r="F462">
        <v>-1</v>
      </c>
      <c r="G462">
        <v>0</v>
      </c>
      <c r="H462">
        <f>_xlfn.XLOOKUP(I462,$B$2:$B$1096,$A$2:$A$1096,65535)</f>
        <v>65535</v>
      </c>
      <c r="J462">
        <f t="shared" ref="J462:K462" si="743">C462-C498</f>
        <v>-63</v>
      </c>
      <c r="K462">
        <f t="shared" si="743"/>
        <v>-1</v>
      </c>
      <c r="L462">
        <f t="shared" ref="L462:N462" si="744">E462+E498</f>
        <v>-2</v>
      </c>
      <c r="M462">
        <f t="shared" si="744"/>
        <v>-1</v>
      </c>
      <c r="N462">
        <f t="shared" si="744"/>
        <v>0</v>
      </c>
      <c r="P462" t="str">
        <f t="shared" si="688"/>
        <v>-1, -2, -1, 0</v>
      </c>
    </row>
    <row r="463" spans="1:16" x14ac:dyDescent="0.2">
      <c r="A463">
        <f t="shared" ref="A463:A526" si="745">A462+1</f>
        <v>461</v>
      </c>
      <c r="B463" s="1" t="s">
        <v>683</v>
      </c>
      <c r="C463">
        <v>6</v>
      </c>
      <c r="D463">
        <v>-1</v>
      </c>
      <c r="E463">
        <v>-2</v>
      </c>
      <c r="F463">
        <v>-1</v>
      </c>
      <c r="G463">
        <v>-1</v>
      </c>
      <c r="H463">
        <f>_xlfn.XLOOKUP(I463,$B$2:$B$1096,$A$2:$A$1096,65535)</f>
        <v>65535</v>
      </c>
      <c r="J463">
        <f t="shared" ref="J463:K463" si="746">C463-C499</f>
        <v>-62</v>
      </c>
      <c r="K463">
        <f t="shared" si="746"/>
        <v>-1</v>
      </c>
      <c r="L463">
        <f t="shared" ref="L463:N463" si="747">E463+E499</f>
        <v>-2</v>
      </c>
      <c r="M463">
        <f t="shared" si="747"/>
        <v>-1</v>
      </c>
      <c r="N463">
        <f t="shared" si="747"/>
        <v>-1</v>
      </c>
      <c r="P463" t="str">
        <f t="shared" si="688"/>
        <v>-1, -2, -1, -1</v>
      </c>
    </row>
    <row r="464" spans="1:16" x14ac:dyDescent="0.2">
      <c r="A464">
        <f t="shared" si="745"/>
        <v>462</v>
      </c>
      <c r="B464" s="1" t="s">
        <v>684</v>
      </c>
      <c r="C464">
        <v>5</v>
      </c>
      <c r="D464">
        <v>-1</v>
      </c>
      <c r="E464">
        <v>-5</v>
      </c>
      <c r="F464">
        <v>-2</v>
      </c>
      <c r="G464">
        <v>-1</v>
      </c>
      <c r="H464">
        <f>_xlfn.XLOOKUP(I464,$B$2:$B$1096,$A$2:$A$1096,65535)</f>
        <v>65535</v>
      </c>
      <c r="J464">
        <f t="shared" ref="J464:K464" si="748">C464-C500</f>
        <v>-64</v>
      </c>
      <c r="K464">
        <f t="shared" si="748"/>
        <v>-1</v>
      </c>
      <c r="L464">
        <f t="shared" ref="L464:N464" si="749">E464+E500</f>
        <v>-5</v>
      </c>
      <c r="M464">
        <f t="shared" si="749"/>
        <v>-2</v>
      </c>
      <c r="N464">
        <f t="shared" si="749"/>
        <v>-1</v>
      </c>
      <c r="P464" t="str">
        <f t="shared" si="688"/>
        <v>-1, -5, -2, -1</v>
      </c>
    </row>
    <row r="465" spans="1:16" ht="18" customHeight="1" x14ac:dyDescent="0.2">
      <c r="A465">
        <f t="shared" si="745"/>
        <v>463</v>
      </c>
      <c r="B465" s="1" t="s">
        <v>693</v>
      </c>
      <c r="C465">
        <v>5</v>
      </c>
      <c r="D465">
        <v>0</v>
      </c>
      <c r="E465">
        <v>0</v>
      </c>
      <c r="F465">
        <v>0</v>
      </c>
      <c r="G465">
        <v>0</v>
      </c>
      <c r="H465">
        <f>_xlfn.XLOOKUP(I465,$B$2:$B$1096,$A$2:$A$1096,65535)</f>
        <v>65535</v>
      </c>
      <c r="I465" s="1"/>
      <c r="J465">
        <f t="shared" ref="J465:K465" si="750">C465-C501</f>
        <v>-65</v>
      </c>
      <c r="K465">
        <f t="shared" si="750"/>
        <v>0</v>
      </c>
      <c r="L465">
        <f t="shared" ref="L465:N465" si="751">E465+E501</f>
        <v>0</v>
      </c>
      <c r="M465">
        <f t="shared" si="751"/>
        <v>0</v>
      </c>
      <c r="N465">
        <f t="shared" si="751"/>
        <v>0</v>
      </c>
      <c r="P465" t="str">
        <f t="shared" si="688"/>
        <v>0, 0, 0, 0</v>
      </c>
    </row>
    <row r="466" spans="1:16" x14ac:dyDescent="0.2">
      <c r="A466">
        <f t="shared" si="745"/>
        <v>464</v>
      </c>
      <c r="B466" s="1" t="s">
        <v>694</v>
      </c>
      <c r="C466">
        <v>4</v>
      </c>
      <c r="D466">
        <v>1</v>
      </c>
      <c r="E466">
        <v>-5</v>
      </c>
      <c r="F466">
        <v>-2</v>
      </c>
      <c r="G466">
        <v>-1</v>
      </c>
      <c r="H466">
        <f>_xlfn.XLOOKUP(I466,$B$2:$B$1096,$A$2:$A$1096,65535)</f>
        <v>65535</v>
      </c>
      <c r="J466">
        <f t="shared" ref="J466:K466" si="752">C466-C502</f>
        <v>-67</v>
      </c>
      <c r="K466">
        <f t="shared" si="752"/>
        <v>1</v>
      </c>
      <c r="L466">
        <f t="shared" ref="L466:N466" si="753">E466+E502</f>
        <v>-5</v>
      </c>
      <c r="M466">
        <f t="shared" si="753"/>
        <v>-2</v>
      </c>
      <c r="N466">
        <f t="shared" si="753"/>
        <v>-1</v>
      </c>
      <c r="P466" t="str">
        <f t="shared" si="688"/>
        <v>1, -5, -2, -1</v>
      </c>
    </row>
    <row r="467" spans="1:16" x14ac:dyDescent="0.2">
      <c r="A467">
        <f t="shared" si="745"/>
        <v>465</v>
      </c>
      <c r="B467" s="1" t="s">
        <v>695</v>
      </c>
      <c r="C467">
        <v>4</v>
      </c>
      <c r="D467">
        <v>1</v>
      </c>
      <c r="E467">
        <v>-5</v>
      </c>
      <c r="F467">
        <v>-2</v>
      </c>
      <c r="G467">
        <v>-1</v>
      </c>
      <c r="H467">
        <f>_xlfn.XLOOKUP(I467,$B$2:$B$1096,$A$2:$A$1096,65535)</f>
        <v>65535</v>
      </c>
      <c r="J467">
        <f t="shared" ref="J467:K467" si="754">C467-C503</f>
        <v>-68</v>
      </c>
      <c r="K467">
        <f t="shared" si="754"/>
        <v>1</v>
      </c>
      <c r="L467">
        <f t="shared" ref="L467:N467" si="755">E467+E503</f>
        <v>-5</v>
      </c>
      <c r="M467">
        <f t="shared" si="755"/>
        <v>-2</v>
      </c>
      <c r="N467">
        <f t="shared" si="755"/>
        <v>-1</v>
      </c>
      <c r="P467" t="str">
        <f t="shared" si="688"/>
        <v>1, -5, -2, -1</v>
      </c>
    </row>
    <row r="468" spans="1:16" x14ac:dyDescent="0.2">
      <c r="A468">
        <f t="shared" si="745"/>
        <v>466</v>
      </c>
      <c r="B468" s="1" t="s">
        <v>696</v>
      </c>
      <c r="C468">
        <v>4</v>
      </c>
      <c r="D468">
        <v>1</v>
      </c>
      <c r="E468">
        <v>-5</v>
      </c>
      <c r="F468">
        <v>-2</v>
      </c>
      <c r="G468">
        <v>-1</v>
      </c>
      <c r="H468">
        <f>_xlfn.XLOOKUP(I468,$B$2:$B$1096,$A$2:$A$1096,65535)</f>
        <v>65535</v>
      </c>
      <c r="J468">
        <f t="shared" ref="J468:K468" si="756">C468-C504</f>
        <v>-69</v>
      </c>
      <c r="K468">
        <f t="shared" si="756"/>
        <v>1</v>
      </c>
      <c r="L468">
        <f t="shared" ref="L468:N468" si="757">E468+E504</f>
        <v>-5</v>
      </c>
      <c r="M468">
        <f t="shared" si="757"/>
        <v>-2</v>
      </c>
      <c r="N468">
        <f t="shared" si="757"/>
        <v>-1</v>
      </c>
      <c r="P468" t="str">
        <f t="shared" si="688"/>
        <v>1, -5, -2, -1</v>
      </c>
    </row>
    <row r="469" spans="1:16" x14ac:dyDescent="0.2">
      <c r="A469">
        <f t="shared" si="745"/>
        <v>467</v>
      </c>
      <c r="B469" s="1" t="s">
        <v>697</v>
      </c>
      <c r="C469">
        <v>4</v>
      </c>
      <c r="D469">
        <v>0</v>
      </c>
      <c r="E469">
        <v>-5</v>
      </c>
      <c r="F469">
        <v>-2</v>
      </c>
      <c r="G469">
        <v>-1</v>
      </c>
      <c r="H469">
        <f>_xlfn.XLOOKUP(I469,$B$2:$B$1096,$A$2:$A$1096,65535)</f>
        <v>65535</v>
      </c>
      <c r="J469">
        <f t="shared" ref="J469:K469" si="758">C469-C505</f>
        <v>-70</v>
      </c>
      <c r="K469">
        <f t="shared" si="758"/>
        <v>0</v>
      </c>
      <c r="L469">
        <f t="shared" ref="L469:N469" si="759">E469+E505</f>
        <v>-5</v>
      </c>
      <c r="M469">
        <f t="shared" si="759"/>
        <v>-2</v>
      </c>
      <c r="N469">
        <f t="shared" si="759"/>
        <v>-1</v>
      </c>
      <c r="P469" t="str">
        <f t="shared" si="688"/>
        <v>0, -5, -2, -1</v>
      </c>
    </row>
    <row r="470" spans="1:16" x14ac:dyDescent="0.2">
      <c r="A470">
        <f t="shared" si="745"/>
        <v>468</v>
      </c>
      <c r="B470" s="1" t="s">
        <v>698</v>
      </c>
      <c r="C470">
        <v>4</v>
      </c>
      <c r="D470">
        <v>-1</v>
      </c>
      <c r="E470">
        <v>-2</v>
      </c>
      <c r="F470">
        <v>-1</v>
      </c>
      <c r="G470">
        <v>0</v>
      </c>
      <c r="H470">
        <f>_xlfn.XLOOKUP(I470,$B$2:$B$1096,$A$2:$A$1096,65535)</f>
        <v>65535</v>
      </c>
      <c r="J470">
        <f t="shared" ref="J470:K470" si="760">C470-C506</f>
        <v>-71</v>
      </c>
      <c r="K470">
        <f t="shared" si="760"/>
        <v>-1</v>
      </c>
      <c r="L470">
        <f t="shared" ref="L470:N470" si="761">E470+E506</f>
        <v>-2</v>
      </c>
      <c r="M470">
        <f t="shared" si="761"/>
        <v>-1</v>
      </c>
      <c r="N470">
        <f t="shared" si="761"/>
        <v>0</v>
      </c>
      <c r="P470" t="str">
        <f t="shared" si="688"/>
        <v>-1, -2, -1, 0</v>
      </c>
    </row>
    <row r="471" spans="1:16" x14ac:dyDescent="0.2">
      <c r="A471">
        <f t="shared" si="745"/>
        <v>469</v>
      </c>
      <c r="B471" s="1" t="s">
        <v>699</v>
      </c>
      <c r="C471">
        <v>6</v>
      </c>
      <c r="D471">
        <v>-1</v>
      </c>
      <c r="E471">
        <v>-2</v>
      </c>
      <c r="F471">
        <v>-1</v>
      </c>
      <c r="G471">
        <v>0</v>
      </c>
      <c r="H471">
        <f>_xlfn.XLOOKUP(I471,$B$2:$B$1096,$A$2:$A$1096,65535)</f>
        <v>65535</v>
      </c>
      <c r="J471">
        <f t="shared" ref="J471:K471" si="762">C471-C507</f>
        <v>1</v>
      </c>
      <c r="K471">
        <f t="shared" si="762"/>
        <v>-1</v>
      </c>
      <c r="L471">
        <f t="shared" ref="L471:N471" si="763">E471+E507</f>
        <v>8</v>
      </c>
      <c r="M471">
        <f t="shared" si="763"/>
        <v>3</v>
      </c>
      <c r="N471">
        <f t="shared" si="763"/>
        <v>2</v>
      </c>
      <c r="P471" t="str">
        <f t="shared" si="688"/>
        <v>-1, -2, -1, 0</v>
      </c>
    </row>
    <row r="472" spans="1:16" x14ac:dyDescent="0.2">
      <c r="A472">
        <f t="shared" si="745"/>
        <v>470</v>
      </c>
      <c r="B472" s="1" t="s">
        <v>700</v>
      </c>
      <c r="C472">
        <v>19</v>
      </c>
      <c r="D472">
        <v>-1</v>
      </c>
      <c r="E472">
        <v>-5</v>
      </c>
      <c r="F472">
        <v>-2</v>
      </c>
      <c r="G472">
        <v>-1</v>
      </c>
      <c r="H472">
        <f>_xlfn.XLOOKUP(I472,$B$2:$B$1096,$A$2:$A$1096,65535)</f>
        <v>59</v>
      </c>
      <c r="I472" s="1" t="s">
        <v>234</v>
      </c>
      <c r="J472">
        <f t="shared" ref="J472:K472" si="764">C472-C508</f>
        <v>14</v>
      </c>
      <c r="K472">
        <f t="shared" si="764"/>
        <v>-1</v>
      </c>
      <c r="L472">
        <f t="shared" ref="L472:N472" si="765">E472+E508</f>
        <v>-15</v>
      </c>
      <c r="M472">
        <f t="shared" si="765"/>
        <v>-6</v>
      </c>
      <c r="N472">
        <f t="shared" si="765"/>
        <v>-3</v>
      </c>
      <c r="P472" t="str">
        <f t="shared" si="688"/>
        <v>-1, -5, -2, -1</v>
      </c>
    </row>
    <row r="473" spans="1:16" x14ac:dyDescent="0.2">
      <c r="A473">
        <f t="shared" si="745"/>
        <v>471</v>
      </c>
      <c r="B473" s="1" t="s">
        <v>754</v>
      </c>
      <c r="C473">
        <v>120</v>
      </c>
      <c r="D473">
        <v>0</v>
      </c>
      <c r="E473">
        <v>0</v>
      </c>
      <c r="F473">
        <v>0</v>
      </c>
      <c r="G473">
        <v>0</v>
      </c>
      <c r="H473">
        <f>_xlfn.XLOOKUP(I473,$B$2:$B$1096,$A$2:$A$1096,65535)</f>
        <v>65535</v>
      </c>
      <c r="J473">
        <f t="shared" ref="J473:K473" si="766">C473-C509</f>
        <v>20</v>
      </c>
      <c r="K473">
        <f t="shared" si="766"/>
        <v>0</v>
      </c>
      <c r="L473">
        <f t="shared" ref="L473:N473" si="767">E473+E509</f>
        <v>0</v>
      </c>
      <c r="M473">
        <f t="shared" si="767"/>
        <v>0</v>
      </c>
      <c r="N473">
        <f t="shared" si="767"/>
        <v>0</v>
      </c>
      <c r="P473" t="str">
        <f t="shared" si="688"/>
        <v>0, 0, 0, 0</v>
      </c>
    </row>
    <row r="474" spans="1:16" x14ac:dyDescent="0.2">
      <c r="A474">
        <f t="shared" si="745"/>
        <v>472</v>
      </c>
      <c r="B474" s="1" t="s">
        <v>753</v>
      </c>
      <c r="C474">
        <v>121</v>
      </c>
      <c r="D474">
        <v>0</v>
      </c>
      <c r="E474">
        <v>0</v>
      </c>
      <c r="F474">
        <v>0</v>
      </c>
      <c r="G474">
        <v>0</v>
      </c>
      <c r="H474">
        <f>_xlfn.XLOOKUP(I474,$B$2:$B$1096,$A$2:$A$1096,65535)</f>
        <v>65535</v>
      </c>
      <c r="J474">
        <f t="shared" ref="J474:K474" si="768">C474-C510</f>
        <v>20</v>
      </c>
      <c r="K474">
        <f t="shared" si="768"/>
        <v>0</v>
      </c>
      <c r="L474">
        <f t="shared" ref="L474:N474" si="769">E474+E510</f>
        <v>0</v>
      </c>
      <c r="M474">
        <f t="shared" si="769"/>
        <v>0</v>
      </c>
      <c r="N474">
        <f t="shared" si="769"/>
        <v>0</v>
      </c>
      <c r="P474" t="str">
        <f t="shared" si="688"/>
        <v>0, 0, 0, 0</v>
      </c>
    </row>
    <row r="475" spans="1:16" x14ac:dyDescent="0.2">
      <c r="A475">
        <f t="shared" si="745"/>
        <v>473</v>
      </c>
      <c r="B475" s="1" t="s">
        <v>755</v>
      </c>
      <c r="C475">
        <v>122</v>
      </c>
      <c r="D475">
        <v>0</v>
      </c>
      <c r="E475">
        <v>0</v>
      </c>
      <c r="F475">
        <v>0</v>
      </c>
      <c r="G475">
        <v>0</v>
      </c>
      <c r="H475">
        <f>_xlfn.XLOOKUP(I475,$B$2:$B$1096,$A$2:$A$1096,65535)</f>
        <v>65535</v>
      </c>
      <c r="J475">
        <f t="shared" ref="J475:K475" si="770">C475-C511</f>
        <v>20</v>
      </c>
      <c r="K475">
        <f t="shared" si="770"/>
        <v>0</v>
      </c>
      <c r="L475">
        <f t="shared" ref="L475:N475" si="771">E475+E511</f>
        <v>0</v>
      </c>
      <c r="M475">
        <f t="shared" si="771"/>
        <v>0</v>
      </c>
      <c r="N475">
        <f t="shared" si="771"/>
        <v>0</v>
      </c>
      <c r="P475" t="str">
        <f t="shared" si="688"/>
        <v>0, 0, 0, 0</v>
      </c>
    </row>
    <row r="476" spans="1:16" x14ac:dyDescent="0.2">
      <c r="A476">
        <f t="shared" si="745"/>
        <v>474</v>
      </c>
      <c r="B476" s="1" t="s">
        <v>756</v>
      </c>
      <c r="C476">
        <v>123</v>
      </c>
      <c r="D476">
        <v>0</v>
      </c>
      <c r="E476">
        <v>0</v>
      </c>
      <c r="F476">
        <v>0</v>
      </c>
      <c r="G476">
        <v>0</v>
      </c>
      <c r="H476">
        <f>_xlfn.XLOOKUP(I476,$B$2:$B$1096,$A$2:$A$1096,65535)</f>
        <v>65535</v>
      </c>
      <c r="J476">
        <f t="shared" ref="J476:K476" si="772">C476-C512</f>
        <v>20</v>
      </c>
      <c r="K476">
        <f t="shared" si="772"/>
        <v>0</v>
      </c>
      <c r="L476">
        <f t="shared" ref="L476:N476" si="773">E476+E512</f>
        <v>0</v>
      </c>
      <c r="M476">
        <f t="shared" si="773"/>
        <v>0</v>
      </c>
      <c r="N476">
        <f t="shared" si="773"/>
        <v>0</v>
      </c>
      <c r="P476" t="str">
        <f t="shared" si="688"/>
        <v>0, 0, 0, 0</v>
      </c>
    </row>
    <row r="477" spans="1:16" x14ac:dyDescent="0.2">
      <c r="A477">
        <f t="shared" si="745"/>
        <v>475</v>
      </c>
      <c r="B477" s="1" t="s">
        <v>757</v>
      </c>
      <c r="C477">
        <v>122</v>
      </c>
      <c r="D477">
        <v>0</v>
      </c>
      <c r="E477">
        <v>0</v>
      </c>
      <c r="F477">
        <v>0</v>
      </c>
      <c r="G477">
        <v>0</v>
      </c>
      <c r="H477">
        <f>_xlfn.XLOOKUP(I477,$B$2:$B$1096,$A$2:$A$1096,65535)</f>
        <v>65535</v>
      </c>
      <c r="J477">
        <f t="shared" ref="J477:K477" si="774">C477-C513</f>
        <v>26</v>
      </c>
      <c r="K477">
        <f t="shared" si="774"/>
        <v>0</v>
      </c>
      <c r="L477">
        <f t="shared" ref="L477:N477" si="775">E477+E513</f>
        <v>0</v>
      </c>
      <c r="M477">
        <f t="shared" si="775"/>
        <v>0</v>
      </c>
      <c r="N477">
        <f t="shared" si="775"/>
        <v>0</v>
      </c>
      <c r="P477" t="str">
        <f t="shared" si="688"/>
        <v>0, 0, 0, 0</v>
      </c>
    </row>
    <row r="478" spans="1:16" x14ac:dyDescent="0.2">
      <c r="A478">
        <f t="shared" si="745"/>
        <v>476</v>
      </c>
      <c r="B478" s="1" t="s">
        <v>758</v>
      </c>
      <c r="C478">
        <v>121</v>
      </c>
      <c r="D478">
        <v>0</v>
      </c>
      <c r="E478">
        <v>0</v>
      </c>
      <c r="F478">
        <v>0</v>
      </c>
      <c r="G478">
        <v>0</v>
      </c>
      <c r="H478">
        <f>_xlfn.XLOOKUP(I478,$B$2:$B$1096,$A$2:$A$1096,65535)</f>
        <v>65535</v>
      </c>
      <c r="J478">
        <f t="shared" ref="J478:K478" si="776">C478-C514</f>
        <v>24</v>
      </c>
      <c r="K478">
        <f t="shared" si="776"/>
        <v>0</v>
      </c>
      <c r="L478">
        <f t="shared" ref="L478:N478" si="777">E478+E514</f>
        <v>0</v>
      </c>
      <c r="M478">
        <f t="shared" si="777"/>
        <v>0</v>
      </c>
      <c r="N478">
        <f t="shared" si="777"/>
        <v>0</v>
      </c>
      <c r="P478" t="str">
        <f t="shared" si="688"/>
        <v>0, 0, 0, 0</v>
      </c>
    </row>
    <row r="479" spans="1:16" x14ac:dyDescent="0.2">
      <c r="A479">
        <f t="shared" si="745"/>
        <v>477</v>
      </c>
      <c r="B479" s="1" t="s">
        <v>759</v>
      </c>
      <c r="C479">
        <v>120</v>
      </c>
      <c r="D479">
        <v>0</v>
      </c>
      <c r="E479">
        <v>0</v>
      </c>
      <c r="F479">
        <v>0</v>
      </c>
      <c r="G479">
        <v>0</v>
      </c>
      <c r="H479">
        <f>_xlfn.XLOOKUP(I479,$B$2:$B$1096,$A$2:$A$1096,65535)</f>
        <v>65535</v>
      </c>
      <c r="J479">
        <f t="shared" ref="J479:K479" si="778">C479-C515</f>
        <v>22</v>
      </c>
      <c r="K479">
        <f t="shared" si="778"/>
        <v>0</v>
      </c>
      <c r="L479">
        <f t="shared" ref="L479:N479" si="779">E479+E515</f>
        <v>0</v>
      </c>
      <c r="M479">
        <f t="shared" si="779"/>
        <v>0</v>
      </c>
      <c r="N479">
        <f t="shared" si="779"/>
        <v>0</v>
      </c>
      <c r="P479" t="str">
        <f t="shared" si="688"/>
        <v>0, 0, 0, 0</v>
      </c>
    </row>
    <row r="480" spans="1:16" x14ac:dyDescent="0.2">
      <c r="A480">
        <f t="shared" si="745"/>
        <v>478</v>
      </c>
      <c r="B480" s="1" t="s">
        <v>760</v>
      </c>
      <c r="C480">
        <v>121</v>
      </c>
      <c r="D480">
        <v>0</v>
      </c>
      <c r="E480">
        <v>-5</v>
      </c>
      <c r="F480">
        <v>-2</v>
      </c>
      <c r="G480">
        <v>-1</v>
      </c>
      <c r="H480">
        <f>_xlfn.XLOOKUP(I480,$B$2:$B$1096,$A$2:$A$1096,65535)</f>
        <v>65535</v>
      </c>
      <c r="J480">
        <f t="shared" ref="J480:K480" si="780">C480-C516</f>
        <v>22</v>
      </c>
      <c r="K480">
        <f t="shared" si="780"/>
        <v>0</v>
      </c>
      <c r="L480">
        <f t="shared" ref="L480:N480" si="781">E480+E516</f>
        <v>-5</v>
      </c>
      <c r="M480">
        <f t="shared" si="781"/>
        <v>-2</v>
      </c>
      <c r="N480">
        <f t="shared" si="781"/>
        <v>-1</v>
      </c>
      <c r="P480" t="str">
        <f t="shared" si="688"/>
        <v>0, -5, -2, -1</v>
      </c>
    </row>
    <row r="481" spans="1:16" x14ac:dyDescent="0.2">
      <c r="A481">
        <f t="shared" si="745"/>
        <v>479</v>
      </c>
      <c r="B481" s="1" t="s">
        <v>761</v>
      </c>
      <c r="C481">
        <v>120</v>
      </c>
      <c r="D481">
        <v>0</v>
      </c>
      <c r="E481">
        <v>-5</v>
      </c>
      <c r="F481">
        <v>-2</v>
      </c>
      <c r="G481">
        <v>-1</v>
      </c>
      <c r="H481">
        <f>_xlfn.XLOOKUP(I481,$B$2:$B$1096,$A$2:$A$1096,65535)</f>
        <v>65535</v>
      </c>
      <c r="J481">
        <f t="shared" ref="J481:K481" si="782">C481-C517</f>
        <v>100</v>
      </c>
      <c r="K481">
        <f t="shared" si="782"/>
        <v>0</v>
      </c>
      <c r="L481">
        <f t="shared" ref="L481:N481" si="783">E481+E517</f>
        <v>-5</v>
      </c>
      <c r="M481">
        <f t="shared" si="783"/>
        <v>-2</v>
      </c>
      <c r="N481">
        <f t="shared" si="783"/>
        <v>-1</v>
      </c>
      <c r="P481" t="str">
        <f t="shared" si="688"/>
        <v>0, -5, -2, -1</v>
      </c>
    </row>
    <row r="482" spans="1:16" x14ac:dyDescent="0.2">
      <c r="A482">
        <f t="shared" si="745"/>
        <v>480</v>
      </c>
      <c r="B482" s="1" t="s">
        <v>762</v>
      </c>
      <c r="C482">
        <v>121</v>
      </c>
      <c r="D482">
        <v>0</v>
      </c>
      <c r="E482">
        <v>-5</v>
      </c>
      <c r="F482">
        <v>-2</v>
      </c>
      <c r="G482">
        <v>-1</v>
      </c>
      <c r="H482">
        <f>_xlfn.XLOOKUP(I482,$B$2:$B$1096,$A$2:$A$1096,65535)</f>
        <v>65535</v>
      </c>
      <c r="J482">
        <f t="shared" ref="J482:K482" si="784">C482-C518</f>
        <v>100</v>
      </c>
      <c r="K482">
        <f t="shared" si="784"/>
        <v>0</v>
      </c>
      <c r="L482">
        <f t="shared" ref="L482:N482" si="785">E482+E518</f>
        <v>-5</v>
      </c>
      <c r="M482">
        <f t="shared" si="785"/>
        <v>-2</v>
      </c>
      <c r="N482">
        <f t="shared" si="785"/>
        <v>-1</v>
      </c>
      <c r="P482" t="str">
        <f t="shared" si="688"/>
        <v>0, -5, -2, -1</v>
      </c>
    </row>
    <row r="483" spans="1:16" x14ac:dyDescent="0.2">
      <c r="A483">
        <f t="shared" si="745"/>
        <v>481</v>
      </c>
      <c r="B483" s="1" t="s">
        <v>763</v>
      </c>
      <c r="C483">
        <v>120</v>
      </c>
      <c r="D483">
        <v>0</v>
      </c>
      <c r="E483">
        <v>-5</v>
      </c>
      <c r="F483">
        <v>-2</v>
      </c>
      <c r="G483">
        <v>-1</v>
      </c>
      <c r="H483">
        <f>_xlfn.XLOOKUP(I483,$B$2:$B$1096,$A$2:$A$1096,65535)</f>
        <v>65535</v>
      </c>
      <c r="J483">
        <f t="shared" ref="J483:K483" si="786">C483-C519</f>
        <v>98</v>
      </c>
      <c r="K483">
        <f t="shared" si="786"/>
        <v>0</v>
      </c>
      <c r="L483">
        <f t="shared" ref="L483:N483" si="787">E483+E519</f>
        <v>-5</v>
      </c>
      <c r="M483">
        <f t="shared" si="787"/>
        <v>-2</v>
      </c>
      <c r="N483">
        <f t="shared" si="787"/>
        <v>-1</v>
      </c>
      <c r="P483" t="str">
        <f t="shared" si="688"/>
        <v>0, -5, -2, -1</v>
      </c>
    </row>
    <row r="484" spans="1:16" x14ac:dyDescent="0.2">
      <c r="A484">
        <f t="shared" si="745"/>
        <v>482</v>
      </c>
      <c r="B484" s="1" t="s">
        <v>764</v>
      </c>
      <c r="C484">
        <v>121</v>
      </c>
      <c r="D484">
        <v>0</v>
      </c>
      <c r="E484">
        <v>5</v>
      </c>
      <c r="F484">
        <v>2</v>
      </c>
      <c r="G484">
        <v>1</v>
      </c>
      <c r="H484">
        <f>_xlfn.XLOOKUP(I484,$B$2:$B$1096,$A$2:$A$1096,65535)</f>
        <v>65535</v>
      </c>
      <c r="J484">
        <f t="shared" ref="J484:K484" si="788">C484-C520</f>
        <v>98</v>
      </c>
      <c r="K484">
        <f t="shared" si="788"/>
        <v>0</v>
      </c>
      <c r="L484">
        <f t="shared" ref="L484:N484" si="789">E484+E520</f>
        <v>5</v>
      </c>
      <c r="M484">
        <f t="shared" si="789"/>
        <v>2</v>
      </c>
      <c r="N484">
        <f t="shared" si="789"/>
        <v>1</v>
      </c>
      <c r="P484" t="str">
        <f t="shared" si="688"/>
        <v>0, 5, 2, 1</v>
      </c>
    </row>
    <row r="485" spans="1:16" x14ac:dyDescent="0.2">
      <c r="A485">
        <f t="shared" si="745"/>
        <v>483</v>
      </c>
      <c r="B485" s="1" t="s">
        <v>765</v>
      </c>
      <c r="C485">
        <v>120</v>
      </c>
      <c r="D485">
        <v>0</v>
      </c>
      <c r="E485">
        <v>5</v>
      </c>
      <c r="F485">
        <v>2</v>
      </c>
      <c r="G485">
        <v>1</v>
      </c>
      <c r="H485">
        <f>_xlfn.XLOOKUP(I485,$B$2:$B$1096,$A$2:$A$1096,65535)</f>
        <v>65535</v>
      </c>
      <c r="J485">
        <f t="shared" ref="J485:K485" si="790">C485-C521</f>
        <v>8</v>
      </c>
      <c r="K485">
        <f t="shared" si="790"/>
        <v>0</v>
      </c>
      <c r="L485">
        <f t="shared" ref="L485:N485" si="791">E485+E521</f>
        <v>5</v>
      </c>
      <c r="M485">
        <f t="shared" si="791"/>
        <v>2</v>
      </c>
      <c r="N485">
        <f t="shared" si="791"/>
        <v>1</v>
      </c>
      <c r="P485" t="str">
        <f t="shared" si="688"/>
        <v>0, 5, 2, 1</v>
      </c>
    </row>
    <row r="486" spans="1:16" x14ac:dyDescent="0.2">
      <c r="A486">
        <f t="shared" si="745"/>
        <v>484</v>
      </c>
      <c r="B486" s="1" t="s">
        <v>766</v>
      </c>
      <c r="C486">
        <v>121</v>
      </c>
      <c r="D486">
        <v>0</v>
      </c>
      <c r="E486">
        <v>5</v>
      </c>
      <c r="F486">
        <v>2</v>
      </c>
      <c r="G486">
        <v>1</v>
      </c>
      <c r="H486">
        <f>_xlfn.XLOOKUP(I486,$B$2:$B$1096,$A$2:$A$1096,65535)</f>
        <v>65535</v>
      </c>
      <c r="J486">
        <f t="shared" ref="J486:K486" si="792">C486-C522</f>
        <v>8</v>
      </c>
      <c r="K486">
        <f t="shared" si="792"/>
        <v>0</v>
      </c>
      <c r="L486">
        <f t="shared" ref="L486:N486" si="793">E486+E522</f>
        <v>5</v>
      </c>
      <c r="M486">
        <f t="shared" si="793"/>
        <v>2</v>
      </c>
      <c r="N486">
        <f t="shared" si="793"/>
        <v>1</v>
      </c>
      <c r="P486" t="str">
        <f t="shared" si="688"/>
        <v>0, 5, 2, 1</v>
      </c>
    </row>
    <row r="487" spans="1:16" x14ac:dyDescent="0.2">
      <c r="A487">
        <f t="shared" si="745"/>
        <v>485</v>
      </c>
      <c r="B487" s="1" t="s">
        <v>767</v>
      </c>
      <c r="C487">
        <v>120</v>
      </c>
      <c r="D487">
        <v>0</v>
      </c>
      <c r="E487">
        <v>5</v>
      </c>
      <c r="F487">
        <v>2</v>
      </c>
      <c r="G487">
        <v>1</v>
      </c>
      <c r="H487">
        <f>_xlfn.XLOOKUP(I487,$B$2:$B$1096,$A$2:$A$1096,65535)</f>
        <v>65535</v>
      </c>
      <c r="J487">
        <f t="shared" ref="J487:K487" si="794">C487-C523</f>
        <v>6</v>
      </c>
      <c r="K487">
        <f t="shared" si="794"/>
        <v>0</v>
      </c>
      <c r="L487">
        <f t="shared" ref="L487:N487" si="795">E487+E523</f>
        <v>5</v>
      </c>
      <c r="M487">
        <f t="shared" si="795"/>
        <v>2</v>
      </c>
      <c r="N487">
        <f t="shared" si="795"/>
        <v>1</v>
      </c>
      <c r="P487" t="str">
        <f t="shared" si="688"/>
        <v>0, 5, 2, 1</v>
      </c>
    </row>
    <row r="488" spans="1:16" x14ac:dyDescent="0.2">
      <c r="A488">
        <f t="shared" si="745"/>
        <v>486</v>
      </c>
      <c r="B488" s="1" t="s">
        <v>768</v>
      </c>
      <c r="C488">
        <v>121</v>
      </c>
      <c r="D488">
        <v>0</v>
      </c>
      <c r="E488">
        <v>0</v>
      </c>
      <c r="F488">
        <v>0</v>
      </c>
      <c r="G488">
        <v>0</v>
      </c>
      <c r="H488">
        <f>_xlfn.XLOOKUP(I488,$B$2:$B$1096,$A$2:$A$1096,65535)</f>
        <v>65535</v>
      </c>
      <c r="J488">
        <f t="shared" ref="J488:K488" si="796">C488-C524</f>
        <v>6</v>
      </c>
      <c r="K488">
        <f t="shared" si="796"/>
        <v>0</v>
      </c>
      <c r="L488">
        <f t="shared" ref="L488:N488" si="797">E488+E524</f>
        <v>0</v>
      </c>
      <c r="M488">
        <f t="shared" si="797"/>
        <v>0</v>
      </c>
      <c r="N488">
        <f t="shared" si="797"/>
        <v>0</v>
      </c>
      <c r="P488" t="str">
        <f t="shared" si="688"/>
        <v>0, 0, 0, 0</v>
      </c>
    </row>
    <row r="489" spans="1:16" x14ac:dyDescent="0.2">
      <c r="A489">
        <f t="shared" si="745"/>
        <v>487</v>
      </c>
      <c r="B489" s="1" t="s">
        <v>771</v>
      </c>
      <c r="C489">
        <v>120</v>
      </c>
      <c r="D489">
        <v>3</v>
      </c>
      <c r="E489">
        <v>0</v>
      </c>
      <c r="F489">
        <v>0</v>
      </c>
      <c r="G489">
        <v>0</v>
      </c>
      <c r="H489">
        <f>_xlfn.XLOOKUP(I489,$B$2:$B$1096,$A$2:$A$1096,65535)</f>
        <v>65535</v>
      </c>
      <c r="J489">
        <f t="shared" ref="J489:K489" si="798">C489-C525</f>
        <v>100</v>
      </c>
      <c r="K489">
        <f t="shared" si="798"/>
        <v>3</v>
      </c>
      <c r="L489">
        <f t="shared" ref="L489:N489" si="799">E489+E525</f>
        <v>0</v>
      </c>
      <c r="M489">
        <f t="shared" si="799"/>
        <v>0</v>
      </c>
      <c r="N489">
        <f t="shared" si="799"/>
        <v>0</v>
      </c>
      <c r="P489" t="str">
        <f t="shared" si="688"/>
        <v>3, 0, 0, 0</v>
      </c>
    </row>
    <row r="490" spans="1:16" x14ac:dyDescent="0.2">
      <c r="A490">
        <f t="shared" si="745"/>
        <v>488</v>
      </c>
      <c r="B490" s="1" t="s">
        <v>772</v>
      </c>
      <c r="C490">
        <v>120</v>
      </c>
      <c r="D490">
        <v>2</v>
      </c>
      <c r="E490">
        <v>0</v>
      </c>
      <c r="F490">
        <v>0</v>
      </c>
      <c r="G490">
        <v>0</v>
      </c>
      <c r="H490">
        <f>_xlfn.XLOOKUP(I490,$B$2:$B$1096,$A$2:$A$1096,65535)</f>
        <v>65535</v>
      </c>
      <c r="J490">
        <f t="shared" ref="J490:K490" si="800">C490-C526</f>
        <v>99</v>
      </c>
      <c r="K490">
        <f t="shared" si="800"/>
        <v>2</v>
      </c>
      <c r="L490">
        <f t="shared" ref="L490:N490" si="801">E490+E526</f>
        <v>0</v>
      </c>
      <c r="M490">
        <f t="shared" si="801"/>
        <v>0</v>
      </c>
      <c r="N490">
        <f t="shared" si="801"/>
        <v>0</v>
      </c>
      <c r="P490" t="str">
        <f t="shared" si="688"/>
        <v>2, 0, 0, 0</v>
      </c>
    </row>
    <row r="491" spans="1:16" x14ac:dyDescent="0.2">
      <c r="A491">
        <f t="shared" si="745"/>
        <v>489</v>
      </c>
      <c r="B491" s="1" t="s">
        <v>773</v>
      </c>
      <c r="C491">
        <v>120</v>
      </c>
      <c r="D491">
        <v>1</v>
      </c>
      <c r="E491">
        <v>0</v>
      </c>
      <c r="F491">
        <v>0</v>
      </c>
      <c r="G491">
        <v>0</v>
      </c>
      <c r="H491">
        <f>_xlfn.XLOOKUP(I491,$B$2:$B$1096,$A$2:$A$1096,65535)</f>
        <v>65535</v>
      </c>
      <c r="J491">
        <f t="shared" ref="J491:K491" si="802">C491-C527</f>
        <v>98</v>
      </c>
      <c r="K491">
        <f t="shared" si="802"/>
        <v>1</v>
      </c>
      <c r="L491">
        <f t="shared" ref="L491:N491" si="803">E491+E527</f>
        <v>0</v>
      </c>
      <c r="M491">
        <f t="shared" si="803"/>
        <v>0</v>
      </c>
      <c r="N491">
        <f t="shared" si="803"/>
        <v>0</v>
      </c>
      <c r="P491" t="str">
        <f t="shared" si="688"/>
        <v>1, 0, 0, 0</v>
      </c>
    </row>
    <row r="492" spans="1:16" x14ac:dyDescent="0.2">
      <c r="A492">
        <f t="shared" si="745"/>
        <v>490</v>
      </c>
      <c r="B492" s="1" t="s">
        <v>774</v>
      </c>
      <c r="C492">
        <v>120</v>
      </c>
      <c r="D492">
        <v>-1</v>
      </c>
      <c r="E492">
        <v>0</v>
      </c>
      <c r="F492">
        <v>0</v>
      </c>
      <c r="G492">
        <v>0</v>
      </c>
      <c r="H492">
        <f>_xlfn.XLOOKUP(I492,$B$2:$B$1096,$A$2:$A$1096,65535)</f>
        <v>65535</v>
      </c>
      <c r="J492">
        <f t="shared" ref="J492:K492" si="804">C492-C528</f>
        <v>97</v>
      </c>
      <c r="K492">
        <f t="shared" si="804"/>
        <v>-1</v>
      </c>
      <c r="L492">
        <f t="shared" ref="L492:N492" si="805">E492+E528</f>
        <v>0</v>
      </c>
      <c r="M492">
        <f t="shared" si="805"/>
        <v>0</v>
      </c>
      <c r="N492">
        <f t="shared" si="805"/>
        <v>0</v>
      </c>
      <c r="P492" t="str">
        <f t="shared" si="688"/>
        <v>-1, 0, 0, 0</v>
      </c>
    </row>
    <row r="493" spans="1:16" x14ac:dyDescent="0.2">
      <c r="A493">
        <f t="shared" si="745"/>
        <v>491</v>
      </c>
      <c r="B493" s="1" t="s">
        <v>770</v>
      </c>
      <c r="C493">
        <v>121</v>
      </c>
      <c r="D493">
        <v>-2</v>
      </c>
      <c r="E493">
        <v>0</v>
      </c>
      <c r="F493">
        <v>0</v>
      </c>
      <c r="G493">
        <v>0</v>
      </c>
      <c r="H493">
        <f>_xlfn.XLOOKUP(I493,$B$2:$B$1096,$A$2:$A$1096,65535)</f>
        <v>65535</v>
      </c>
      <c r="J493">
        <f t="shared" ref="J493:K493" si="806">C493-C529</f>
        <v>-7</v>
      </c>
      <c r="K493">
        <f t="shared" si="806"/>
        <v>0</v>
      </c>
      <c r="L493">
        <f t="shared" ref="L493:N493" si="807">E493+E529</f>
        <v>0</v>
      </c>
      <c r="M493">
        <f t="shared" si="807"/>
        <v>0</v>
      </c>
      <c r="N493">
        <f t="shared" si="807"/>
        <v>0</v>
      </c>
      <c r="P493" t="str">
        <f t="shared" si="688"/>
        <v>-2, 0, 0, 0</v>
      </c>
    </row>
    <row r="494" spans="1:16" x14ac:dyDescent="0.2">
      <c r="A494">
        <f t="shared" si="745"/>
        <v>492</v>
      </c>
      <c r="B494" s="1" t="s">
        <v>769</v>
      </c>
      <c r="C494">
        <v>120</v>
      </c>
      <c r="D494">
        <v>-3</v>
      </c>
      <c r="E494">
        <v>0</v>
      </c>
      <c r="F494">
        <v>0</v>
      </c>
      <c r="G494">
        <v>0</v>
      </c>
      <c r="H494">
        <f>_xlfn.XLOOKUP(I494,$B$2:$B$1096,$A$2:$A$1096,65535)</f>
        <v>65535</v>
      </c>
      <c r="J494">
        <f t="shared" ref="J494:K494" si="808">C494-C530</f>
        <v>-9</v>
      </c>
      <c r="K494">
        <f t="shared" si="808"/>
        <v>-1</v>
      </c>
      <c r="L494">
        <f t="shared" ref="L494:N494" si="809">E494+E530</f>
        <v>0</v>
      </c>
      <c r="M494">
        <f t="shared" si="809"/>
        <v>0</v>
      </c>
      <c r="N494">
        <f t="shared" si="809"/>
        <v>0</v>
      </c>
      <c r="P494" t="str">
        <f t="shared" si="688"/>
        <v>-3, 0, 0, 0</v>
      </c>
    </row>
    <row r="495" spans="1:16" x14ac:dyDescent="0.2">
      <c r="A495">
        <f t="shared" si="745"/>
        <v>493</v>
      </c>
      <c r="B495" s="1" t="s">
        <v>590</v>
      </c>
      <c r="C495">
        <v>64</v>
      </c>
      <c r="D495">
        <v>0</v>
      </c>
      <c r="E495">
        <v>0</v>
      </c>
      <c r="F495">
        <v>0</v>
      </c>
      <c r="G495">
        <v>0</v>
      </c>
      <c r="H495">
        <f>_xlfn.XLOOKUP(I495,$B$2:$B$1096,$A$2:$A$1096,65535)</f>
        <v>65535</v>
      </c>
      <c r="J495">
        <f t="shared" ref="J495:K495" si="810">C495-C531</f>
        <v>-66</v>
      </c>
      <c r="K495">
        <f t="shared" si="810"/>
        <v>2</v>
      </c>
      <c r="L495">
        <f t="shared" ref="L495:N495" si="811">E495+E531</f>
        <v>0</v>
      </c>
      <c r="M495">
        <f t="shared" si="811"/>
        <v>0</v>
      </c>
      <c r="N495">
        <f t="shared" si="811"/>
        <v>0</v>
      </c>
      <c r="P495" t="str">
        <f t="shared" si="688"/>
        <v>0, 0, 0, 0</v>
      </c>
    </row>
    <row r="496" spans="1:16" x14ac:dyDescent="0.2">
      <c r="A496">
        <f t="shared" si="745"/>
        <v>494</v>
      </c>
      <c r="B496" s="1" t="s">
        <v>591</v>
      </c>
      <c r="C496">
        <v>65</v>
      </c>
      <c r="D496">
        <v>0</v>
      </c>
      <c r="E496">
        <v>0</v>
      </c>
      <c r="F496">
        <v>0</v>
      </c>
      <c r="G496">
        <v>0</v>
      </c>
      <c r="H496">
        <f>_xlfn.XLOOKUP(I496,$B$2:$B$1096,$A$2:$A$1096,65535)</f>
        <v>65535</v>
      </c>
      <c r="J496">
        <f t="shared" ref="J496:K496" si="812">C496-C532</f>
        <v>-66</v>
      </c>
      <c r="K496">
        <f t="shared" si="812"/>
        <v>2</v>
      </c>
      <c r="L496">
        <f t="shared" ref="L496:N496" si="813">E496+E532</f>
        <v>0</v>
      </c>
      <c r="M496">
        <f t="shared" si="813"/>
        <v>0</v>
      </c>
      <c r="N496">
        <f t="shared" si="813"/>
        <v>0</v>
      </c>
      <c r="P496" t="str">
        <f t="shared" si="688"/>
        <v>0, 0, 0, 0</v>
      </c>
    </row>
    <row r="497" spans="1:16" x14ac:dyDescent="0.2">
      <c r="A497">
        <f t="shared" si="745"/>
        <v>495</v>
      </c>
      <c r="B497" s="1" t="s">
        <v>592</v>
      </c>
      <c r="C497">
        <v>66</v>
      </c>
      <c r="D497">
        <v>0</v>
      </c>
      <c r="E497">
        <v>0</v>
      </c>
      <c r="F497">
        <v>0</v>
      </c>
      <c r="G497">
        <v>0</v>
      </c>
      <c r="H497">
        <f>_xlfn.XLOOKUP(I497,$B$2:$B$1096,$A$2:$A$1096,65535)</f>
        <v>65535</v>
      </c>
      <c r="J497">
        <f t="shared" ref="J497:K497" si="814">C497-C533</f>
        <v>-66</v>
      </c>
      <c r="K497">
        <f t="shared" si="814"/>
        <v>0</v>
      </c>
      <c r="L497">
        <f t="shared" ref="L497:N497" si="815">E497+E533</f>
        <v>0</v>
      </c>
      <c r="M497">
        <f t="shared" si="815"/>
        <v>0</v>
      </c>
      <c r="N497">
        <f t="shared" si="815"/>
        <v>0</v>
      </c>
      <c r="P497" t="str">
        <f t="shared" si="688"/>
        <v>0, 0, 0, 0</v>
      </c>
    </row>
    <row r="498" spans="1:16" x14ac:dyDescent="0.2">
      <c r="A498">
        <f t="shared" si="745"/>
        <v>496</v>
      </c>
      <c r="B498" s="1" t="s">
        <v>593</v>
      </c>
      <c r="C498">
        <v>67</v>
      </c>
      <c r="D498">
        <v>0</v>
      </c>
      <c r="E498">
        <v>0</v>
      </c>
      <c r="F498">
        <v>0</v>
      </c>
      <c r="G498">
        <v>0</v>
      </c>
      <c r="H498">
        <f>_xlfn.XLOOKUP(I498,$B$2:$B$1096,$A$2:$A$1096,65535)</f>
        <v>65535</v>
      </c>
      <c r="J498">
        <f t="shared" ref="J498:K498" si="816">C498-C534</f>
        <v>-66</v>
      </c>
      <c r="K498">
        <f t="shared" si="816"/>
        <v>0</v>
      </c>
      <c r="L498">
        <f t="shared" ref="L498:N498" si="817">E498+E534</f>
        <v>0</v>
      </c>
      <c r="M498">
        <f t="shared" si="817"/>
        <v>0</v>
      </c>
      <c r="N498">
        <f t="shared" si="817"/>
        <v>0</v>
      </c>
      <c r="P498" t="str">
        <f t="shared" ref="P498:P561" si="818">_xlfn.CONCAT(D498,", ",E498,", ",F498,", ",G498)</f>
        <v>0, 0, 0, 0</v>
      </c>
    </row>
    <row r="499" spans="1:16" x14ac:dyDescent="0.2">
      <c r="A499">
        <f t="shared" si="745"/>
        <v>497</v>
      </c>
      <c r="B499" s="1" t="s">
        <v>594</v>
      </c>
      <c r="C499">
        <v>68</v>
      </c>
      <c r="D499">
        <v>0</v>
      </c>
      <c r="E499">
        <v>0</v>
      </c>
      <c r="F499">
        <v>0</v>
      </c>
      <c r="G499">
        <v>0</v>
      </c>
      <c r="H499">
        <f>_xlfn.XLOOKUP(I499,$B$2:$B$1096,$A$2:$A$1096,65535)</f>
        <v>65535</v>
      </c>
      <c r="J499">
        <f t="shared" ref="J499:K499" si="819">C499-C535</f>
        <v>-66</v>
      </c>
      <c r="K499">
        <f t="shared" si="819"/>
        <v>0</v>
      </c>
      <c r="L499">
        <f t="shared" ref="L499:N499" si="820">E499+E535</f>
        <v>0</v>
      </c>
      <c r="M499">
        <f t="shared" si="820"/>
        <v>0</v>
      </c>
      <c r="N499">
        <f t="shared" si="820"/>
        <v>0</v>
      </c>
      <c r="P499" t="str">
        <f t="shared" si="818"/>
        <v>0, 0, 0, 0</v>
      </c>
    </row>
    <row r="500" spans="1:16" x14ac:dyDescent="0.2">
      <c r="A500">
        <f t="shared" si="745"/>
        <v>498</v>
      </c>
      <c r="B500" s="1" t="s">
        <v>595</v>
      </c>
      <c r="C500">
        <v>69</v>
      </c>
      <c r="D500">
        <v>0</v>
      </c>
      <c r="E500">
        <v>0</v>
      </c>
      <c r="F500">
        <v>0</v>
      </c>
      <c r="G500">
        <v>0</v>
      </c>
      <c r="H500">
        <f>_xlfn.XLOOKUP(I500,$B$2:$B$1096,$A$2:$A$1096,65535)</f>
        <v>65535</v>
      </c>
      <c r="J500">
        <f t="shared" ref="J500:K500" si="821">C500-C536</f>
        <v>-59</v>
      </c>
      <c r="K500">
        <f t="shared" si="821"/>
        <v>2</v>
      </c>
      <c r="L500">
        <f t="shared" ref="L500:N500" si="822">E500+E536</f>
        <v>-5</v>
      </c>
      <c r="M500">
        <f t="shared" si="822"/>
        <v>-2</v>
      </c>
      <c r="N500">
        <f t="shared" si="822"/>
        <v>-1</v>
      </c>
      <c r="P500" t="str">
        <f t="shared" si="818"/>
        <v>0, 0, 0, 0</v>
      </c>
    </row>
    <row r="501" spans="1:16" x14ac:dyDescent="0.2">
      <c r="A501">
        <f t="shared" si="745"/>
        <v>499</v>
      </c>
      <c r="B501" s="1" t="s">
        <v>596</v>
      </c>
      <c r="C501">
        <v>70</v>
      </c>
      <c r="D501">
        <v>0</v>
      </c>
      <c r="E501">
        <v>0</v>
      </c>
      <c r="F501">
        <v>0</v>
      </c>
      <c r="G501">
        <v>0</v>
      </c>
      <c r="H501">
        <f>_xlfn.XLOOKUP(I501,$B$2:$B$1096,$A$2:$A$1096,65535)</f>
        <v>65535</v>
      </c>
      <c r="J501">
        <f t="shared" ref="J501:K501" si="823">C501-C537</f>
        <v>-59</v>
      </c>
      <c r="K501">
        <f t="shared" si="823"/>
        <v>2</v>
      </c>
      <c r="L501">
        <f t="shared" ref="L501:N501" si="824">E501+E537</f>
        <v>-2</v>
      </c>
      <c r="M501">
        <f t="shared" si="824"/>
        <v>-1</v>
      </c>
      <c r="N501">
        <f t="shared" si="824"/>
        <v>-1</v>
      </c>
      <c r="P501" t="str">
        <f t="shared" si="818"/>
        <v>0, 0, 0, 0</v>
      </c>
    </row>
    <row r="502" spans="1:16" x14ac:dyDescent="0.2">
      <c r="A502">
        <f t="shared" si="745"/>
        <v>500</v>
      </c>
      <c r="B502" s="1" t="s">
        <v>597</v>
      </c>
      <c r="C502">
        <v>71</v>
      </c>
      <c r="D502">
        <v>0</v>
      </c>
      <c r="E502">
        <v>0</v>
      </c>
      <c r="F502">
        <v>0</v>
      </c>
      <c r="G502">
        <v>0</v>
      </c>
      <c r="H502">
        <f>_xlfn.XLOOKUP(I502,$B$2:$B$1096,$A$2:$A$1096,65535)</f>
        <v>65535</v>
      </c>
      <c r="J502">
        <f t="shared" ref="J502:K502" si="825">C502-C538</f>
        <v>-59</v>
      </c>
      <c r="K502">
        <f t="shared" si="825"/>
        <v>2</v>
      </c>
      <c r="L502">
        <f t="shared" ref="L502:N502" si="826">E502+E538</f>
        <v>-2</v>
      </c>
      <c r="M502">
        <f t="shared" si="826"/>
        <v>0</v>
      </c>
      <c r="N502">
        <f t="shared" si="826"/>
        <v>0</v>
      </c>
      <c r="P502" t="str">
        <f t="shared" si="818"/>
        <v>0, 0, 0, 0</v>
      </c>
    </row>
    <row r="503" spans="1:16" x14ac:dyDescent="0.2">
      <c r="A503">
        <f t="shared" si="745"/>
        <v>501</v>
      </c>
      <c r="B503" s="1" t="s">
        <v>598</v>
      </c>
      <c r="C503">
        <v>72</v>
      </c>
      <c r="D503">
        <v>0</v>
      </c>
      <c r="E503">
        <v>0</v>
      </c>
      <c r="F503">
        <v>0</v>
      </c>
      <c r="G503">
        <v>0</v>
      </c>
      <c r="H503">
        <f>_xlfn.XLOOKUP(I503,$B$2:$B$1096,$A$2:$A$1096,65535)</f>
        <v>65535</v>
      </c>
      <c r="J503">
        <f t="shared" ref="J503:K503" si="827">C503-C539</f>
        <v>-59</v>
      </c>
      <c r="K503">
        <f t="shared" si="827"/>
        <v>2</v>
      </c>
      <c r="L503">
        <f t="shared" ref="L503:N503" si="828">E503+E539</f>
        <v>-2</v>
      </c>
      <c r="M503">
        <f t="shared" si="828"/>
        <v>-1</v>
      </c>
      <c r="N503">
        <f t="shared" si="828"/>
        <v>-1</v>
      </c>
      <c r="P503" t="str">
        <f t="shared" si="818"/>
        <v>0, 0, 0, 0</v>
      </c>
    </row>
    <row r="504" spans="1:16" x14ac:dyDescent="0.2">
      <c r="A504">
        <f t="shared" si="745"/>
        <v>502</v>
      </c>
      <c r="B504" s="1" t="s">
        <v>599</v>
      </c>
      <c r="C504">
        <v>73</v>
      </c>
      <c r="D504">
        <v>0</v>
      </c>
      <c r="E504">
        <v>0</v>
      </c>
      <c r="F504">
        <v>0</v>
      </c>
      <c r="G504">
        <v>0</v>
      </c>
      <c r="H504">
        <f>_xlfn.XLOOKUP(I504,$B$2:$B$1096,$A$2:$A$1096,65535)</f>
        <v>65535</v>
      </c>
      <c r="J504">
        <f t="shared" ref="J504:K504" si="829">C504-C540</f>
        <v>-59</v>
      </c>
      <c r="K504">
        <f t="shared" si="829"/>
        <v>0</v>
      </c>
      <c r="L504">
        <f t="shared" ref="L504:N504" si="830">E504+E540</f>
        <v>-2</v>
      </c>
      <c r="M504">
        <f t="shared" si="830"/>
        <v>0</v>
      </c>
      <c r="N504">
        <f t="shared" si="830"/>
        <v>0</v>
      </c>
      <c r="P504" t="str">
        <f t="shared" si="818"/>
        <v>0, 0, 0, 0</v>
      </c>
    </row>
    <row r="505" spans="1:16" x14ac:dyDescent="0.2">
      <c r="A505">
        <f t="shared" si="745"/>
        <v>503</v>
      </c>
      <c r="B505" s="1" t="s">
        <v>600</v>
      </c>
      <c r="C505">
        <v>74</v>
      </c>
      <c r="D505">
        <v>0</v>
      </c>
      <c r="E505">
        <v>0</v>
      </c>
      <c r="F505">
        <v>0</v>
      </c>
      <c r="G505">
        <v>0</v>
      </c>
      <c r="H505">
        <f>_xlfn.XLOOKUP(I505,$B$2:$B$1096,$A$2:$A$1096,65535)</f>
        <v>65535</v>
      </c>
      <c r="J505">
        <f t="shared" ref="J505:K505" si="831">C505-C541</f>
        <v>-59</v>
      </c>
      <c r="K505">
        <f t="shared" si="831"/>
        <v>0</v>
      </c>
      <c r="L505">
        <f t="shared" ref="L505:N505" si="832">E505+E541</f>
        <v>-2</v>
      </c>
      <c r="M505">
        <f t="shared" si="832"/>
        <v>-1</v>
      </c>
      <c r="N505">
        <f t="shared" si="832"/>
        <v>-1</v>
      </c>
      <c r="P505" t="str">
        <f t="shared" si="818"/>
        <v>0, 0, 0, 0</v>
      </c>
    </row>
    <row r="506" spans="1:16" x14ac:dyDescent="0.2">
      <c r="A506">
        <f t="shared" si="745"/>
        <v>504</v>
      </c>
      <c r="B506" s="1" t="s">
        <v>601</v>
      </c>
      <c r="C506">
        <v>75</v>
      </c>
      <c r="D506">
        <v>0</v>
      </c>
      <c r="E506">
        <v>0</v>
      </c>
      <c r="F506">
        <v>0</v>
      </c>
      <c r="G506">
        <v>0</v>
      </c>
      <c r="H506">
        <f>_xlfn.XLOOKUP(I506,$B$2:$B$1096,$A$2:$A$1096,65535)</f>
        <v>65535</v>
      </c>
      <c r="J506">
        <f t="shared" ref="J506:K506" si="833">C506-C542</f>
        <v>-59</v>
      </c>
      <c r="K506">
        <f t="shared" si="833"/>
        <v>0</v>
      </c>
      <c r="L506">
        <f t="shared" ref="L506:N506" si="834">E506+E542</f>
        <v>0</v>
      </c>
      <c r="M506">
        <f t="shared" si="834"/>
        <v>0</v>
      </c>
      <c r="N506">
        <f t="shared" si="834"/>
        <v>0</v>
      </c>
      <c r="P506" t="str">
        <f t="shared" si="818"/>
        <v>0, 0, 0, 0</v>
      </c>
    </row>
    <row r="507" spans="1:16" x14ac:dyDescent="0.2">
      <c r="A507">
        <f t="shared" si="745"/>
        <v>505</v>
      </c>
      <c r="B507" s="1" t="s">
        <v>610</v>
      </c>
      <c r="C507" s="4">
        <v>5</v>
      </c>
      <c r="D507">
        <v>0</v>
      </c>
      <c r="E507">
        <v>10</v>
      </c>
      <c r="F507">
        <v>4</v>
      </c>
      <c r="G507">
        <v>2</v>
      </c>
      <c r="H507">
        <f>_xlfn.XLOOKUP(I507,$B$2:$B$1096,$A$2:$A$1096,65535)</f>
        <v>65535</v>
      </c>
      <c r="J507">
        <f t="shared" ref="J507:K507" si="835">C507-C543</f>
        <v>-3</v>
      </c>
      <c r="K507">
        <f t="shared" si="835"/>
        <v>0</v>
      </c>
      <c r="L507">
        <f t="shared" ref="L507:N507" si="836">E507+E543</f>
        <v>10</v>
      </c>
      <c r="M507">
        <f t="shared" si="836"/>
        <v>4</v>
      </c>
      <c r="N507">
        <f t="shared" si="836"/>
        <v>2</v>
      </c>
      <c r="P507" t="str">
        <f t="shared" si="818"/>
        <v>0, 10, 4, 2</v>
      </c>
    </row>
    <row r="508" spans="1:16" x14ac:dyDescent="0.2">
      <c r="A508">
        <f t="shared" si="745"/>
        <v>506</v>
      </c>
      <c r="B508" s="1" t="s">
        <v>611</v>
      </c>
      <c r="C508" s="4">
        <v>5</v>
      </c>
      <c r="D508">
        <v>0</v>
      </c>
      <c r="E508">
        <v>-10</v>
      </c>
      <c r="F508">
        <v>-4</v>
      </c>
      <c r="G508">
        <v>-2</v>
      </c>
      <c r="H508">
        <f>_xlfn.XLOOKUP(I508,$B$2:$B$1096,$A$2:$A$1096,65535)</f>
        <v>65535</v>
      </c>
      <c r="J508">
        <f t="shared" ref="J508:K508" si="837">C508-C544</f>
        <v>-4</v>
      </c>
      <c r="K508">
        <f t="shared" si="837"/>
        <v>0</v>
      </c>
      <c r="L508">
        <f t="shared" ref="L508:N508" si="838">E508+E544</f>
        <v>-10</v>
      </c>
      <c r="M508">
        <f t="shared" si="838"/>
        <v>-4</v>
      </c>
      <c r="N508">
        <f t="shared" si="838"/>
        <v>-2</v>
      </c>
      <c r="P508" t="str">
        <f t="shared" si="818"/>
        <v>0, -10, -4, -2</v>
      </c>
    </row>
    <row r="509" spans="1:16" x14ac:dyDescent="0.2">
      <c r="A509">
        <f t="shared" si="745"/>
        <v>507</v>
      </c>
      <c r="B509" s="1" t="s">
        <v>669</v>
      </c>
      <c r="C509">
        <v>100</v>
      </c>
      <c r="D509">
        <v>0</v>
      </c>
      <c r="E509">
        <v>0</v>
      </c>
      <c r="F509">
        <v>0</v>
      </c>
      <c r="G509">
        <v>0</v>
      </c>
      <c r="H509">
        <f>_xlfn.XLOOKUP(I509,$B$2:$B$1096,$A$2:$A$1096,65535)</f>
        <v>65535</v>
      </c>
      <c r="J509">
        <f t="shared" ref="J509:K509" si="839">C509-C545</f>
        <v>90</v>
      </c>
      <c r="K509">
        <f t="shared" si="839"/>
        <v>0</v>
      </c>
      <c r="L509">
        <f t="shared" ref="L509:N509" si="840">E509+E545</f>
        <v>0</v>
      </c>
      <c r="M509">
        <f t="shared" si="840"/>
        <v>0</v>
      </c>
      <c r="N509">
        <f t="shared" si="840"/>
        <v>0</v>
      </c>
      <c r="P509" t="str">
        <f t="shared" si="818"/>
        <v>0, 0, 0, 0</v>
      </c>
    </row>
    <row r="510" spans="1:16" x14ac:dyDescent="0.2">
      <c r="A510">
        <f t="shared" si="745"/>
        <v>508</v>
      </c>
      <c r="B510" s="1" t="s">
        <v>672</v>
      </c>
      <c r="C510">
        <v>101</v>
      </c>
      <c r="D510">
        <v>0</v>
      </c>
      <c r="E510">
        <v>0</v>
      </c>
      <c r="F510">
        <v>0</v>
      </c>
      <c r="G510">
        <v>0</v>
      </c>
      <c r="H510">
        <f>_xlfn.XLOOKUP(I510,$B$2:$B$1096,$A$2:$A$1096,65535)</f>
        <v>65535</v>
      </c>
      <c r="J510">
        <f t="shared" ref="J510:K510" si="841">C510-C546</f>
        <v>90</v>
      </c>
      <c r="K510">
        <f t="shared" si="841"/>
        <v>0</v>
      </c>
      <c r="L510">
        <f t="shared" ref="L510:N510" si="842">E510+E546</f>
        <v>0</v>
      </c>
      <c r="M510">
        <f t="shared" si="842"/>
        <v>0</v>
      </c>
      <c r="N510">
        <f t="shared" si="842"/>
        <v>0</v>
      </c>
      <c r="P510" t="str">
        <f t="shared" si="818"/>
        <v>0, 0, 0, 0</v>
      </c>
    </row>
    <row r="511" spans="1:16" x14ac:dyDescent="0.2">
      <c r="A511">
        <f t="shared" si="745"/>
        <v>509</v>
      </c>
      <c r="B511" s="1" t="s">
        <v>671</v>
      </c>
      <c r="C511">
        <v>102</v>
      </c>
      <c r="D511">
        <v>0</v>
      </c>
      <c r="E511">
        <v>0</v>
      </c>
      <c r="F511">
        <v>0</v>
      </c>
      <c r="G511">
        <v>0</v>
      </c>
      <c r="H511">
        <f>_xlfn.XLOOKUP(I511,$B$2:$B$1096,$A$2:$A$1096,65535)</f>
        <v>65535</v>
      </c>
      <c r="J511">
        <f t="shared" ref="J511:K511" si="843">C511-C547</f>
        <v>93</v>
      </c>
      <c r="K511">
        <f t="shared" si="843"/>
        <v>0</v>
      </c>
      <c r="L511">
        <f t="shared" ref="L511:N511" si="844">E511+E547</f>
        <v>0</v>
      </c>
      <c r="M511">
        <f t="shared" si="844"/>
        <v>0</v>
      </c>
      <c r="N511">
        <f t="shared" si="844"/>
        <v>0</v>
      </c>
      <c r="P511" t="str">
        <f t="shared" si="818"/>
        <v>0, 0, 0, 0</v>
      </c>
    </row>
    <row r="512" spans="1:16" x14ac:dyDescent="0.2">
      <c r="A512">
        <f t="shared" si="745"/>
        <v>510</v>
      </c>
      <c r="B512" s="1" t="s">
        <v>670</v>
      </c>
      <c r="C512">
        <v>103</v>
      </c>
      <c r="D512">
        <v>0</v>
      </c>
      <c r="E512">
        <v>0</v>
      </c>
      <c r="F512">
        <v>0</v>
      </c>
      <c r="G512">
        <v>0</v>
      </c>
      <c r="H512">
        <f>_xlfn.XLOOKUP(I512,$B$2:$B$1096,$A$2:$A$1096,65535)</f>
        <v>65535</v>
      </c>
      <c r="J512">
        <f t="shared" ref="J512:K512" si="845">C512-C548</f>
        <v>95</v>
      </c>
      <c r="K512">
        <f t="shared" si="845"/>
        <v>-4</v>
      </c>
      <c r="L512">
        <f t="shared" ref="L512:N512" si="846">E512+E548</f>
        <v>0</v>
      </c>
      <c r="M512">
        <f t="shared" si="846"/>
        <v>0</v>
      </c>
      <c r="N512">
        <f t="shared" si="846"/>
        <v>0</v>
      </c>
      <c r="P512" t="str">
        <f t="shared" si="818"/>
        <v>0, 0, 0, 0</v>
      </c>
    </row>
    <row r="513" spans="1:16" x14ac:dyDescent="0.2">
      <c r="A513">
        <f t="shared" si="745"/>
        <v>511</v>
      </c>
      <c r="B513" s="1" t="s">
        <v>673</v>
      </c>
      <c r="C513">
        <v>96</v>
      </c>
      <c r="D513">
        <v>0</v>
      </c>
      <c r="E513">
        <v>0</v>
      </c>
      <c r="F513">
        <v>0</v>
      </c>
      <c r="G513">
        <v>0</v>
      </c>
      <c r="H513">
        <f>_xlfn.XLOOKUP(I513,$B$2:$B$1096,$A$2:$A$1096,65535)</f>
        <v>65535</v>
      </c>
      <c r="J513">
        <f t="shared" ref="J513:K513" si="847">C513-C549</f>
        <v>88</v>
      </c>
      <c r="K513">
        <f t="shared" si="847"/>
        <v>-3</v>
      </c>
      <c r="L513">
        <f t="shared" ref="L513:N513" si="848">E513+E549</f>
        <v>0</v>
      </c>
      <c r="M513">
        <f t="shared" si="848"/>
        <v>0</v>
      </c>
      <c r="N513">
        <f t="shared" si="848"/>
        <v>0</v>
      </c>
      <c r="P513" t="str">
        <f t="shared" si="818"/>
        <v>0, 0, 0, 0</v>
      </c>
    </row>
    <row r="514" spans="1:16" x14ac:dyDescent="0.2">
      <c r="A514">
        <f t="shared" si="745"/>
        <v>512</v>
      </c>
      <c r="B514" s="1" t="s">
        <v>674</v>
      </c>
      <c r="C514">
        <v>97</v>
      </c>
      <c r="D514">
        <v>0</v>
      </c>
      <c r="E514">
        <v>0</v>
      </c>
      <c r="F514">
        <v>0</v>
      </c>
      <c r="G514">
        <v>0</v>
      </c>
      <c r="H514">
        <f>_xlfn.XLOOKUP(I514,$B$2:$B$1096,$A$2:$A$1096,65535)</f>
        <v>65535</v>
      </c>
      <c r="J514">
        <f t="shared" ref="J514:K514" si="849">C514-C550</f>
        <v>89</v>
      </c>
      <c r="K514">
        <f t="shared" si="849"/>
        <v>-2</v>
      </c>
      <c r="L514">
        <f t="shared" ref="L514:N514" si="850">E514+E550</f>
        <v>0</v>
      </c>
      <c r="M514">
        <f t="shared" si="850"/>
        <v>0</v>
      </c>
      <c r="N514">
        <f t="shared" si="850"/>
        <v>0</v>
      </c>
      <c r="P514" t="str">
        <f t="shared" si="818"/>
        <v>0, 0, 0, 0</v>
      </c>
    </row>
    <row r="515" spans="1:16" x14ac:dyDescent="0.2">
      <c r="A515">
        <f t="shared" si="745"/>
        <v>513</v>
      </c>
      <c r="B515" s="1" t="s">
        <v>675</v>
      </c>
      <c r="C515">
        <v>98</v>
      </c>
      <c r="D515">
        <v>0</v>
      </c>
      <c r="E515">
        <v>0</v>
      </c>
      <c r="F515">
        <v>0</v>
      </c>
      <c r="G515">
        <v>0</v>
      </c>
      <c r="H515">
        <f>_xlfn.XLOOKUP(I515,$B$2:$B$1096,$A$2:$A$1096,65535)</f>
        <v>65535</v>
      </c>
      <c r="J515">
        <f t="shared" ref="J515:K515" si="851">C515-C551</f>
        <v>90</v>
      </c>
      <c r="K515">
        <f t="shared" si="851"/>
        <v>2</v>
      </c>
      <c r="L515">
        <f t="shared" ref="L515:N515" si="852">E515+E551</f>
        <v>0</v>
      </c>
      <c r="M515">
        <f t="shared" si="852"/>
        <v>0</v>
      </c>
      <c r="N515">
        <f t="shared" si="852"/>
        <v>0</v>
      </c>
      <c r="P515" t="str">
        <f t="shared" si="818"/>
        <v>0, 0, 0, 0</v>
      </c>
    </row>
    <row r="516" spans="1:16" x14ac:dyDescent="0.2">
      <c r="A516">
        <f t="shared" si="745"/>
        <v>514</v>
      </c>
      <c r="B516" s="1" t="s">
        <v>676</v>
      </c>
      <c r="C516">
        <v>99</v>
      </c>
      <c r="D516">
        <v>0</v>
      </c>
      <c r="E516">
        <v>0</v>
      </c>
      <c r="F516">
        <v>0</v>
      </c>
      <c r="G516">
        <v>0</v>
      </c>
      <c r="H516">
        <f>_xlfn.XLOOKUP(I516,$B$2:$B$1096,$A$2:$A$1096,65535)</f>
        <v>65535</v>
      </c>
      <c r="J516">
        <f t="shared" ref="J516:K516" si="853">C516-C552</f>
        <v>88</v>
      </c>
      <c r="K516">
        <f t="shared" si="853"/>
        <v>3</v>
      </c>
      <c r="L516">
        <f t="shared" ref="L516:N516" si="854">E516+E552</f>
        <v>0</v>
      </c>
      <c r="M516">
        <f t="shared" si="854"/>
        <v>0</v>
      </c>
      <c r="N516">
        <f t="shared" si="854"/>
        <v>0</v>
      </c>
      <c r="P516" t="str">
        <f t="shared" si="818"/>
        <v>0, 0, 0, 0</v>
      </c>
    </row>
    <row r="517" spans="1:16" x14ac:dyDescent="0.2">
      <c r="A517">
        <f t="shared" si="745"/>
        <v>515</v>
      </c>
      <c r="B517" s="1" t="s">
        <v>586</v>
      </c>
      <c r="C517">
        <v>20</v>
      </c>
      <c r="D517">
        <v>0</v>
      </c>
      <c r="E517">
        <v>0</v>
      </c>
      <c r="F517">
        <v>0</v>
      </c>
      <c r="G517">
        <v>0</v>
      </c>
      <c r="H517">
        <f>_xlfn.XLOOKUP(I517,$B$2:$B$1096,$A$2:$A$1096,65535)</f>
        <v>65535</v>
      </c>
      <c r="J517">
        <f t="shared" ref="J517:K517" si="855">C517-C553</f>
        <v>12</v>
      </c>
      <c r="K517">
        <f t="shared" si="855"/>
        <v>4</v>
      </c>
      <c r="L517">
        <f t="shared" ref="L517:N517" si="856">E517+E553</f>
        <v>0</v>
      </c>
      <c r="M517">
        <f t="shared" si="856"/>
        <v>0</v>
      </c>
      <c r="N517">
        <f t="shared" si="856"/>
        <v>0</v>
      </c>
      <c r="P517" t="str">
        <f t="shared" si="818"/>
        <v>0, 0, 0, 0</v>
      </c>
    </row>
    <row r="518" spans="1:16" x14ac:dyDescent="0.2">
      <c r="A518">
        <f t="shared" si="745"/>
        <v>516</v>
      </c>
      <c r="B518" s="1" t="s">
        <v>587</v>
      </c>
      <c r="C518">
        <v>21</v>
      </c>
      <c r="D518">
        <v>0</v>
      </c>
      <c r="E518">
        <v>0</v>
      </c>
      <c r="F518">
        <v>0</v>
      </c>
      <c r="G518">
        <v>0</v>
      </c>
      <c r="H518">
        <f>_xlfn.XLOOKUP(I518,$B$2:$B$1096,$A$2:$A$1096,65535)</f>
        <v>65535</v>
      </c>
      <c r="J518">
        <f t="shared" ref="J518:K518" si="857">C518-C554</f>
        <v>12</v>
      </c>
      <c r="K518">
        <f t="shared" si="857"/>
        <v>0</v>
      </c>
      <c r="L518">
        <f t="shared" ref="L518:N518" si="858">E518+E554</f>
        <v>0</v>
      </c>
      <c r="M518">
        <f t="shared" si="858"/>
        <v>0</v>
      </c>
      <c r="N518">
        <f t="shared" si="858"/>
        <v>0</v>
      </c>
      <c r="P518" t="str">
        <f t="shared" si="818"/>
        <v>0, 0, 0, 0</v>
      </c>
    </row>
    <row r="519" spans="1:16" x14ac:dyDescent="0.2">
      <c r="A519">
        <f t="shared" si="745"/>
        <v>517</v>
      </c>
      <c r="B519" s="1" t="s">
        <v>588</v>
      </c>
      <c r="C519">
        <v>22</v>
      </c>
      <c r="D519">
        <v>0</v>
      </c>
      <c r="E519">
        <v>0</v>
      </c>
      <c r="F519">
        <v>0</v>
      </c>
      <c r="G519">
        <v>0</v>
      </c>
      <c r="H519">
        <f>_xlfn.XLOOKUP(I519,$B$2:$B$1096,$A$2:$A$1096,65535)</f>
        <v>65535</v>
      </c>
      <c r="J519">
        <f t="shared" ref="J519:K519" si="859">C519-C555</f>
        <v>14</v>
      </c>
      <c r="K519">
        <f t="shared" si="859"/>
        <v>-4</v>
      </c>
      <c r="L519">
        <f t="shared" ref="L519:N519" si="860">E519+E555</f>
        <v>0</v>
      </c>
      <c r="M519">
        <f t="shared" si="860"/>
        <v>0</v>
      </c>
      <c r="N519">
        <f t="shared" si="860"/>
        <v>0</v>
      </c>
      <c r="P519" t="str">
        <f t="shared" si="818"/>
        <v>0, 0, 0, 0</v>
      </c>
    </row>
    <row r="520" spans="1:16" x14ac:dyDescent="0.2">
      <c r="A520">
        <f t="shared" si="745"/>
        <v>518</v>
      </c>
      <c r="B520" s="1" t="s">
        <v>589</v>
      </c>
      <c r="C520">
        <v>23</v>
      </c>
      <c r="D520">
        <v>0</v>
      </c>
      <c r="E520">
        <v>0</v>
      </c>
      <c r="F520">
        <v>0</v>
      </c>
      <c r="G520">
        <v>0</v>
      </c>
      <c r="H520">
        <f>_xlfn.XLOOKUP(I520,$B$2:$B$1096,$A$2:$A$1096,65535)</f>
        <v>65535</v>
      </c>
      <c r="J520">
        <f t="shared" ref="J520:K520" si="861">C520-C556</f>
        <v>15</v>
      </c>
      <c r="K520">
        <f t="shared" si="861"/>
        <v>-3</v>
      </c>
      <c r="L520">
        <f t="shared" ref="L520:N520" si="862">E520+E556</f>
        <v>0</v>
      </c>
      <c r="M520">
        <f t="shared" si="862"/>
        <v>0</v>
      </c>
      <c r="N520">
        <f t="shared" si="862"/>
        <v>0</v>
      </c>
      <c r="P520" t="str">
        <f t="shared" si="818"/>
        <v>0, 0, 0, 0</v>
      </c>
    </row>
    <row r="521" spans="1:16" x14ac:dyDescent="0.2">
      <c r="A521">
        <f t="shared" si="745"/>
        <v>519</v>
      </c>
      <c r="B521" s="1" t="s">
        <v>737</v>
      </c>
      <c r="C521">
        <v>112</v>
      </c>
      <c r="D521">
        <v>0</v>
      </c>
      <c r="E521">
        <v>0</v>
      </c>
      <c r="F521">
        <v>0</v>
      </c>
      <c r="G521">
        <v>0</v>
      </c>
      <c r="H521">
        <f>_xlfn.XLOOKUP(I521,$B$2:$B$1096,$A$2:$A$1096,65535)</f>
        <v>65535</v>
      </c>
      <c r="J521">
        <f t="shared" ref="J521:K521" si="863">C521-C557</f>
        <v>104</v>
      </c>
      <c r="K521">
        <f t="shared" si="863"/>
        <v>-2</v>
      </c>
      <c r="L521">
        <f t="shared" ref="L521:N521" si="864">E521+E557</f>
        <v>0</v>
      </c>
      <c r="M521">
        <f t="shared" si="864"/>
        <v>0</v>
      </c>
      <c r="N521">
        <f t="shared" si="864"/>
        <v>0</v>
      </c>
      <c r="P521" t="str">
        <f t="shared" si="818"/>
        <v>0, 0, 0, 0</v>
      </c>
    </row>
    <row r="522" spans="1:16" x14ac:dyDescent="0.2">
      <c r="A522">
        <f t="shared" si="745"/>
        <v>520</v>
      </c>
      <c r="B522" s="1" t="s">
        <v>740</v>
      </c>
      <c r="C522">
        <v>113</v>
      </c>
      <c r="D522">
        <v>0</v>
      </c>
      <c r="E522">
        <v>0</v>
      </c>
      <c r="F522">
        <v>0</v>
      </c>
      <c r="G522">
        <v>0</v>
      </c>
      <c r="H522">
        <f>_xlfn.XLOOKUP(I522,$B$2:$B$1096,$A$2:$A$1096,65535)</f>
        <v>65535</v>
      </c>
      <c r="J522">
        <f t="shared" ref="J522:K522" si="865">C522-C558</f>
        <v>105</v>
      </c>
      <c r="K522">
        <f t="shared" si="865"/>
        <v>1</v>
      </c>
      <c r="L522">
        <f t="shared" ref="L522:N522" si="866">E522+E558</f>
        <v>0</v>
      </c>
      <c r="M522">
        <f t="shared" si="866"/>
        <v>0</v>
      </c>
      <c r="N522">
        <f t="shared" si="866"/>
        <v>0</v>
      </c>
      <c r="P522" t="str">
        <f t="shared" si="818"/>
        <v>0, 0, 0, 0</v>
      </c>
    </row>
    <row r="523" spans="1:16" x14ac:dyDescent="0.2">
      <c r="A523">
        <f t="shared" si="745"/>
        <v>521</v>
      </c>
      <c r="B523" s="1" t="s">
        <v>739</v>
      </c>
      <c r="C523">
        <v>114</v>
      </c>
      <c r="D523">
        <v>0</v>
      </c>
      <c r="E523">
        <v>0</v>
      </c>
      <c r="F523">
        <v>0</v>
      </c>
      <c r="G523">
        <v>0</v>
      </c>
      <c r="H523">
        <f>_xlfn.XLOOKUP(I523,$B$2:$B$1096,$A$2:$A$1096,65535)</f>
        <v>65535</v>
      </c>
      <c r="J523">
        <f t="shared" ref="J523:K523" si="867">C523-C559</f>
        <v>106</v>
      </c>
      <c r="K523">
        <f t="shared" si="867"/>
        <v>0</v>
      </c>
      <c r="L523">
        <f t="shared" ref="L523:N523" si="868">E523+E559</f>
        <v>0</v>
      </c>
      <c r="M523">
        <f t="shared" si="868"/>
        <v>0</v>
      </c>
      <c r="N523">
        <f t="shared" si="868"/>
        <v>0</v>
      </c>
      <c r="P523" t="str">
        <f t="shared" si="818"/>
        <v>0, 0, 0, 0</v>
      </c>
    </row>
    <row r="524" spans="1:16" x14ac:dyDescent="0.2">
      <c r="A524">
        <f t="shared" si="745"/>
        <v>522</v>
      </c>
      <c r="B524" s="1" t="s">
        <v>738</v>
      </c>
      <c r="C524">
        <v>115</v>
      </c>
      <c r="D524">
        <v>0</v>
      </c>
      <c r="E524">
        <v>0</v>
      </c>
      <c r="F524">
        <v>0</v>
      </c>
      <c r="G524">
        <v>0</v>
      </c>
      <c r="H524">
        <f>_xlfn.XLOOKUP(I524,$B$2:$B$1096,$A$2:$A$1096,65535)</f>
        <v>65535</v>
      </c>
      <c r="J524">
        <f t="shared" ref="J524:K524" si="869">C524-C560</f>
        <v>102</v>
      </c>
      <c r="K524">
        <f t="shared" si="869"/>
        <v>0</v>
      </c>
      <c r="L524">
        <f t="shared" ref="L524:N524" si="870">E524+E560</f>
        <v>0</v>
      </c>
      <c r="M524">
        <f t="shared" si="870"/>
        <v>0</v>
      </c>
      <c r="N524">
        <f t="shared" si="870"/>
        <v>0</v>
      </c>
      <c r="P524" t="str">
        <f t="shared" si="818"/>
        <v>0, 0, 0, 0</v>
      </c>
    </row>
    <row r="525" spans="1:16" x14ac:dyDescent="0.2">
      <c r="A525">
        <f t="shared" si="745"/>
        <v>523</v>
      </c>
      <c r="B525" s="1" t="s">
        <v>741</v>
      </c>
      <c r="C525">
        <v>20</v>
      </c>
      <c r="D525">
        <v>0</v>
      </c>
      <c r="E525">
        <v>0</v>
      </c>
      <c r="F525">
        <v>0</v>
      </c>
      <c r="G525">
        <v>0</v>
      </c>
      <c r="H525">
        <f>_xlfn.XLOOKUP(I525,$B$2:$B$1096,$A$2:$A$1096,65535)</f>
        <v>65535</v>
      </c>
      <c r="J525">
        <f t="shared" ref="J525:K525" si="871">C525-C561</f>
        <v>8</v>
      </c>
      <c r="K525">
        <f t="shared" si="871"/>
        <v>0</v>
      </c>
      <c r="L525">
        <f t="shared" ref="L525:N525" si="872">E525+E561</f>
        <v>5</v>
      </c>
      <c r="M525">
        <f t="shared" si="872"/>
        <v>2</v>
      </c>
      <c r="N525">
        <f t="shared" si="872"/>
        <v>1</v>
      </c>
      <c r="P525" t="str">
        <f t="shared" si="818"/>
        <v>0, 0, 0, 0</v>
      </c>
    </row>
    <row r="526" spans="1:16" x14ac:dyDescent="0.2">
      <c r="A526">
        <f t="shared" si="745"/>
        <v>524</v>
      </c>
      <c r="B526" s="1" t="s">
        <v>742</v>
      </c>
      <c r="C526">
        <v>21</v>
      </c>
      <c r="D526">
        <v>0</v>
      </c>
      <c r="E526">
        <v>0</v>
      </c>
      <c r="F526">
        <v>0</v>
      </c>
      <c r="G526">
        <v>0</v>
      </c>
      <c r="H526">
        <f>_xlfn.XLOOKUP(I526,$B$2:$B$1096,$A$2:$A$1096,65535)</f>
        <v>65535</v>
      </c>
      <c r="J526">
        <f t="shared" ref="J526:K526" si="873">C526-C562</f>
        <v>8</v>
      </c>
      <c r="K526">
        <f t="shared" si="873"/>
        <v>0</v>
      </c>
      <c r="L526">
        <f t="shared" ref="L526:N526" si="874">E526+E562</f>
        <v>5</v>
      </c>
      <c r="M526">
        <f t="shared" si="874"/>
        <v>2</v>
      </c>
      <c r="N526">
        <f t="shared" si="874"/>
        <v>0</v>
      </c>
      <c r="P526" t="str">
        <f t="shared" si="818"/>
        <v>0, 0, 0, 0</v>
      </c>
    </row>
    <row r="527" spans="1:16" x14ac:dyDescent="0.2">
      <c r="A527">
        <f t="shared" ref="A527:A590" si="875">A526+1</f>
        <v>525</v>
      </c>
      <c r="B527" s="1" t="s">
        <v>743</v>
      </c>
      <c r="C527">
        <v>22</v>
      </c>
      <c r="D527">
        <v>0</v>
      </c>
      <c r="E527">
        <v>0</v>
      </c>
      <c r="F527">
        <v>0</v>
      </c>
      <c r="G527">
        <v>0</v>
      </c>
      <c r="H527">
        <f>_xlfn.XLOOKUP(I527,$B$2:$B$1096,$A$2:$A$1096,65535)</f>
        <v>65535</v>
      </c>
      <c r="J527">
        <f t="shared" ref="J527:K527" si="876">C527-C563</f>
        <v>8</v>
      </c>
      <c r="K527">
        <f t="shared" si="876"/>
        <v>0</v>
      </c>
      <c r="L527">
        <f t="shared" ref="L527:N527" si="877">E527+E563</f>
        <v>5</v>
      </c>
      <c r="M527">
        <f t="shared" si="877"/>
        <v>2</v>
      </c>
      <c r="N527">
        <f t="shared" si="877"/>
        <v>1</v>
      </c>
      <c r="P527" t="str">
        <f t="shared" si="818"/>
        <v>0, 0, 0, 0</v>
      </c>
    </row>
    <row r="528" spans="1:16" x14ac:dyDescent="0.2">
      <c r="A528">
        <f t="shared" si="875"/>
        <v>526</v>
      </c>
      <c r="B528" s="1" t="s">
        <v>744</v>
      </c>
      <c r="C528">
        <v>23</v>
      </c>
      <c r="D528">
        <v>0</v>
      </c>
      <c r="E528">
        <v>0</v>
      </c>
      <c r="F528">
        <v>0</v>
      </c>
      <c r="G528">
        <v>0</v>
      </c>
      <c r="H528">
        <f>_xlfn.XLOOKUP(I528,$B$2:$B$1096,$A$2:$A$1096,65535)</f>
        <v>65535</v>
      </c>
      <c r="J528">
        <f t="shared" ref="J528:K528" si="878">C528-C564</f>
        <v>10</v>
      </c>
      <c r="K528">
        <f t="shared" si="878"/>
        <v>0</v>
      </c>
      <c r="L528">
        <f t="shared" ref="L528:N528" si="879">E528+E564</f>
        <v>5</v>
      </c>
      <c r="M528">
        <f t="shared" si="879"/>
        <v>2</v>
      </c>
      <c r="N528">
        <f t="shared" si="879"/>
        <v>0</v>
      </c>
      <c r="P528" t="str">
        <f t="shared" si="818"/>
        <v>0, 0, 0, 0</v>
      </c>
    </row>
    <row r="529" spans="1:16" x14ac:dyDescent="0.2">
      <c r="A529">
        <f t="shared" si="875"/>
        <v>527</v>
      </c>
      <c r="B529" s="1" t="s">
        <v>901</v>
      </c>
      <c r="C529">
        <v>128</v>
      </c>
      <c r="D529">
        <v>-2</v>
      </c>
      <c r="E529">
        <v>0</v>
      </c>
      <c r="F529">
        <v>0</v>
      </c>
      <c r="G529">
        <v>0</v>
      </c>
      <c r="H529">
        <f>_xlfn.XLOOKUP(I529,$B$2:$B$1096,$A$2:$A$1096,65535)</f>
        <v>65535</v>
      </c>
      <c r="J529">
        <f t="shared" ref="J529:K529" si="880">C529-C565</f>
        <v>116</v>
      </c>
      <c r="K529">
        <f t="shared" si="880"/>
        <v>-2</v>
      </c>
      <c r="L529">
        <f t="shared" ref="L529:N529" si="881">E529+E565</f>
        <v>5</v>
      </c>
      <c r="M529">
        <f t="shared" si="881"/>
        <v>2</v>
      </c>
      <c r="N529">
        <f t="shared" si="881"/>
        <v>1</v>
      </c>
      <c r="P529" t="str">
        <f t="shared" si="818"/>
        <v>-2, 0, 0, 0</v>
      </c>
    </row>
    <row r="530" spans="1:16" x14ac:dyDescent="0.2">
      <c r="A530">
        <f t="shared" si="875"/>
        <v>528</v>
      </c>
      <c r="B530" s="1" t="s">
        <v>902</v>
      </c>
      <c r="C530">
        <v>129</v>
      </c>
      <c r="D530">
        <v>-2</v>
      </c>
      <c r="E530">
        <v>0</v>
      </c>
      <c r="F530">
        <v>0</v>
      </c>
      <c r="G530">
        <v>0</v>
      </c>
      <c r="H530">
        <f>_xlfn.XLOOKUP(I530,$B$2:$B$1096,$A$2:$A$1096,65535)</f>
        <v>65535</v>
      </c>
      <c r="J530">
        <f t="shared" ref="J530:K530" si="882">C530-C566</f>
        <v>116</v>
      </c>
      <c r="K530">
        <f t="shared" si="882"/>
        <v>-2</v>
      </c>
      <c r="L530">
        <f t="shared" ref="L530:N530" si="883">E530+E566</f>
        <v>5</v>
      </c>
      <c r="M530">
        <f t="shared" si="883"/>
        <v>2</v>
      </c>
      <c r="N530">
        <f t="shared" si="883"/>
        <v>0</v>
      </c>
      <c r="P530" t="str">
        <f t="shared" si="818"/>
        <v>-2, 0, 0, 0</v>
      </c>
    </row>
    <row r="531" spans="1:16" x14ac:dyDescent="0.2">
      <c r="A531">
        <f t="shared" si="875"/>
        <v>529</v>
      </c>
      <c r="B531" s="1" t="s">
        <v>903</v>
      </c>
      <c r="C531">
        <v>130</v>
      </c>
      <c r="D531">
        <v>-2</v>
      </c>
      <c r="E531">
        <v>0</v>
      </c>
      <c r="F531">
        <v>0</v>
      </c>
      <c r="G531">
        <v>0</v>
      </c>
      <c r="H531">
        <f>_xlfn.XLOOKUP(I531,$B$2:$B$1096,$A$2:$A$1096,65535)</f>
        <v>65535</v>
      </c>
      <c r="J531">
        <f t="shared" ref="J531:K531" si="884">C531-C567</f>
        <v>116</v>
      </c>
      <c r="K531">
        <f t="shared" si="884"/>
        <v>-2</v>
      </c>
      <c r="L531">
        <f t="shared" ref="L531:N531" si="885">E531+E567</f>
        <v>5</v>
      </c>
      <c r="M531">
        <f t="shared" si="885"/>
        <v>2</v>
      </c>
      <c r="N531">
        <f t="shared" si="885"/>
        <v>1</v>
      </c>
      <c r="P531" t="str">
        <f t="shared" si="818"/>
        <v>-2, 0, 0, 0</v>
      </c>
    </row>
    <row r="532" spans="1:16" x14ac:dyDescent="0.2">
      <c r="A532">
        <f t="shared" si="875"/>
        <v>530</v>
      </c>
      <c r="B532" s="1" t="s">
        <v>904</v>
      </c>
      <c r="C532">
        <v>131</v>
      </c>
      <c r="D532">
        <v>-2</v>
      </c>
      <c r="E532">
        <v>0</v>
      </c>
      <c r="F532">
        <v>0</v>
      </c>
      <c r="G532">
        <v>0</v>
      </c>
      <c r="H532">
        <f>_xlfn.XLOOKUP(I532,$B$2:$B$1096,$A$2:$A$1096,65535)</f>
        <v>65535</v>
      </c>
      <c r="J532">
        <f t="shared" ref="J532:K532" si="886">C532-C568</f>
        <v>118</v>
      </c>
      <c r="K532">
        <f t="shared" si="886"/>
        <v>-2</v>
      </c>
      <c r="L532">
        <f t="shared" ref="L532:N532" si="887">E532+E568</f>
        <v>5</v>
      </c>
      <c r="M532">
        <f t="shared" si="887"/>
        <v>2</v>
      </c>
      <c r="N532">
        <f t="shared" si="887"/>
        <v>0</v>
      </c>
      <c r="P532" t="str">
        <f t="shared" si="818"/>
        <v>-2, 0, 0, 0</v>
      </c>
    </row>
    <row r="533" spans="1:16" x14ac:dyDescent="0.2">
      <c r="A533">
        <f t="shared" si="875"/>
        <v>531</v>
      </c>
      <c r="B533" s="1" t="s">
        <v>905</v>
      </c>
      <c r="C533">
        <v>132</v>
      </c>
      <c r="D533">
        <v>0</v>
      </c>
      <c r="E533">
        <v>0</v>
      </c>
      <c r="F533">
        <v>0</v>
      </c>
      <c r="G533">
        <v>0</v>
      </c>
      <c r="H533">
        <f>_xlfn.XLOOKUP(I533,$B$2:$B$1096,$A$2:$A$1096,65535)</f>
        <v>65535</v>
      </c>
      <c r="J533">
        <f t="shared" ref="J533:K533" si="888">C533-C569</f>
        <v>120</v>
      </c>
      <c r="K533">
        <f t="shared" si="888"/>
        <v>0</v>
      </c>
      <c r="L533">
        <f t="shared" ref="L533:N533" si="889">E533+E569</f>
        <v>5</v>
      </c>
      <c r="M533">
        <f t="shared" si="889"/>
        <v>2</v>
      </c>
      <c r="N533">
        <f t="shared" si="889"/>
        <v>1</v>
      </c>
      <c r="P533" t="str">
        <f t="shared" si="818"/>
        <v>0, 0, 0, 0</v>
      </c>
    </row>
    <row r="534" spans="1:16" x14ac:dyDescent="0.2">
      <c r="A534">
        <f t="shared" si="875"/>
        <v>532</v>
      </c>
      <c r="B534" s="1" t="s">
        <v>906</v>
      </c>
      <c r="C534">
        <v>133</v>
      </c>
      <c r="D534">
        <v>0</v>
      </c>
      <c r="E534">
        <v>0</v>
      </c>
      <c r="F534">
        <v>0</v>
      </c>
      <c r="G534">
        <v>0</v>
      </c>
      <c r="H534">
        <f>_xlfn.XLOOKUP(I534,$B$2:$B$1096,$A$2:$A$1096,65535)</f>
        <v>65535</v>
      </c>
      <c r="J534">
        <f t="shared" ref="J534:K534" si="890">C534-C570</f>
        <v>120</v>
      </c>
      <c r="K534">
        <f t="shared" si="890"/>
        <v>0</v>
      </c>
      <c r="L534">
        <f t="shared" ref="L534:N534" si="891">E534+E570</f>
        <v>5</v>
      </c>
      <c r="M534">
        <f t="shared" si="891"/>
        <v>2</v>
      </c>
      <c r="N534">
        <f t="shared" si="891"/>
        <v>0</v>
      </c>
      <c r="P534" t="str">
        <f t="shared" si="818"/>
        <v>0, 0, 0, 0</v>
      </c>
    </row>
    <row r="535" spans="1:16" x14ac:dyDescent="0.2">
      <c r="A535">
        <f t="shared" si="875"/>
        <v>533</v>
      </c>
      <c r="B535" s="1" t="s">
        <v>907</v>
      </c>
      <c r="C535">
        <v>134</v>
      </c>
      <c r="D535">
        <v>0</v>
      </c>
      <c r="E535">
        <v>0</v>
      </c>
      <c r="F535">
        <v>0</v>
      </c>
      <c r="G535">
        <v>0</v>
      </c>
      <c r="H535">
        <f>_xlfn.XLOOKUP(I535,$B$2:$B$1096,$A$2:$A$1096,65535)</f>
        <v>65535</v>
      </c>
      <c r="J535">
        <f t="shared" ref="J535:K535" si="892">C535-C571</f>
        <v>120</v>
      </c>
      <c r="K535">
        <f t="shared" si="892"/>
        <v>0</v>
      </c>
      <c r="L535">
        <f t="shared" ref="L535:N535" si="893">E535+E571</f>
        <v>5</v>
      </c>
      <c r="M535">
        <f t="shared" si="893"/>
        <v>2</v>
      </c>
      <c r="N535">
        <f t="shared" si="893"/>
        <v>1</v>
      </c>
      <c r="P535" t="str">
        <f t="shared" si="818"/>
        <v>0, 0, 0, 0</v>
      </c>
    </row>
    <row r="536" spans="1:16" x14ac:dyDescent="0.2">
      <c r="A536">
        <f t="shared" si="875"/>
        <v>534</v>
      </c>
      <c r="B536" s="1" t="s">
        <v>915</v>
      </c>
      <c r="C536">
        <v>128</v>
      </c>
      <c r="D536">
        <v>-2</v>
      </c>
      <c r="E536" s="10">
        <v>-5</v>
      </c>
      <c r="F536" s="9">
        <v>-2</v>
      </c>
      <c r="G536" s="10">
        <v>-1</v>
      </c>
      <c r="H536">
        <f>_xlfn.XLOOKUP(I536,$B$2:$B$1096,$A$2:$A$1096,65535)</f>
        <v>65535</v>
      </c>
      <c r="J536">
        <f t="shared" ref="J536:K536" si="894">C536-C572</f>
        <v>115</v>
      </c>
      <c r="K536">
        <f t="shared" si="894"/>
        <v>-2</v>
      </c>
      <c r="L536">
        <f t="shared" ref="L536:N536" si="895">E536+E572</f>
        <v>0</v>
      </c>
      <c r="M536">
        <f t="shared" si="895"/>
        <v>0</v>
      </c>
      <c r="N536">
        <f t="shared" si="895"/>
        <v>-1</v>
      </c>
      <c r="P536" t="str">
        <f t="shared" si="818"/>
        <v>-2, -5, -2, -1</v>
      </c>
    </row>
    <row r="537" spans="1:16" x14ac:dyDescent="0.2">
      <c r="A537">
        <f t="shared" si="875"/>
        <v>535</v>
      </c>
      <c r="B537" s="1" t="s">
        <v>916</v>
      </c>
      <c r="C537">
        <v>129</v>
      </c>
      <c r="D537">
        <v>-2</v>
      </c>
      <c r="E537">
        <v>-2</v>
      </c>
      <c r="F537">
        <v>-1</v>
      </c>
      <c r="G537">
        <v>-1</v>
      </c>
      <c r="H537">
        <f>_xlfn.XLOOKUP(I537,$B$2:$B$1096,$A$2:$A$1096,65535)</f>
        <v>65535</v>
      </c>
      <c r="J537">
        <f t="shared" ref="J537:K537" si="896">C537-C573</f>
        <v>117</v>
      </c>
      <c r="K537">
        <f t="shared" si="896"/>
        <v>-4</v>
      </c>
      <c r="L537">
        <f t="shared" ref="L537:N537" si="897">E537+E573</f>
        <v>3</v>
      </c>
      <c r="M537">
        <f t="shared" si="897"/>
        <v>1</v>
      </c>
      <c r="N537">
        <f t="shared" si="897"/>
        <v>0</v>
      </c>
      <c r="P537" t="str">
        <f t="shared" si="818"/>
        <v>-2, -2, -1, -1</v>
      </c>
    </row>
    <row r="538" spans="1:16" x14ac:dyDescent="0.2">
      <c r="A538">
        <f t="shared" si="875"/>
        <v>536</v>
      </c>
      <c r="B538" s="1" t="s">
        <v>917</v>
      </c>
      <c r="C538">
        <v>130</v>
      </c>
      <c r="D538">
        <v>-2</v>
      </c>
      <c r="E538">
        <v>-2</v>
      </c>
      <c r="F538">
        <v>0</v>
      </c>
      <c r="G538">
        <v>0</v>
      </c>
      <c r="H538">
        <f>_xlfn.XLOOKUP(I538,$B$2:$B$1096,$A$2:$A$1096,65535)</f>
        <v>65535</v>
      </c>
      <c r="J538">
        <f t="shared" ref="J538:K538" si="898">C538-C574</f>
        <v>117</v>
      </c>
      <c r="K538">
        <f t="shared" si="898"/>
        <v>-4</v>
      </c>
      <c r="L538">
        <f t="shared" ref="L538:N538" si="899">E538+E574</f>
        <v>3</v>
      </c>
      <c r="M538">
        <f t="shared" si="899"/>
        <v>2</v>
      </c>
      <c r="N538">
        <f t="shared" si="899"/>
        <v>0</v>
      </c>
      <c r="P538" t="str">
        <f t="shared" si="818"/>
        <v>-2, -2, 0, 0</v>
      </c>
    </row>
    <row r="539" spans="1:16" x14ac:dyDescent="0.2">
      <c r="A539">
        <f t="shared" si="875"/>
        <v>537</v>
      </c>
      <c r="B539" s="1" t="s">
        <v>918</v>
      </c>
      <c r="C539">
        <v>131</v>
      </c>
      <c r="D539">
        <v>-2</v>
      </c>
      <c r="E539">
        <v>-2</v>
      </c>
      <c r="F539">
        <v>-1</v>
      </c>
      <c r="G539">
        <v>-1</v>
      </c>
      <c r="H539">
        <f>_xlfn.XLOOKUP(I539,$B$2:$B$1096,$A$2:$A$1096,65535)</f>
        <v>65535</v>
      </c>
      <c r="J539">
        <f t="shared" ref="J539:K539" si="900">C539-C575</f>
        <v>117</v>
      </c>
      <c r="K539">
        <f t="shared" si="900"/>
        <v>-4</v>
      </c>
      <c r="L539">
        <f t="shared" ref="L539:N539" si="901">E539+E575</f>
        <v>3</v>
      </c>
      <c r="M539">
        <f t="shared" si="901"/>
        <v>1</v>
      </c>
      <c r="N539">
        <f t="shared" si="901"/>
        <v>0</v>
      </c>
      <c r="P539" t="str">
        <f t="shared" si="818"/>
        <v>-2, -2, -1, -1</v>
      </c>
    </row>
    <row r="540" spans="1:16" x14ac:dyDescent="0.2">
      <c r="A540">
        <f t="shared" si="875"/>
        <v>538</v>
      </c>
      <c r="B540" s="1" t="s">
        <v>919</v>
      </c>
      <c r="C540">
        <v>132</v>
      </c>
      <c r="D540">
        <v>0</v>
      </c>
      <c r="E540">
        <v>-2</v>
      </c>
      <c r="F540">
        <v>0</v>
      </c>
      <c r="G540">
        <v>0</v>
      </c>
      <c r="H540">
        <f>_xlfn.XLOOKUP(I540,$B$2:$B$1096,$A$2:$A$1096,65535)</f>
        <v>65535</v>
      </c>
      <c r="J540">
        <f t="shared" ref="J540:K540" si="902">C540-C576</f>
        <v>119</v>
      </c>
      <c r="K540">
        <f t="shared" si="902"/>
        <v>-2</v>
      </c>
      <c r="L540">
        <f t="shared" ref="L540:N540" si="903">E540+E576</f>
        <v>3</v>
      </c>
      <c r="M540">
        <f t="shared" si="903"/>
        <v>2</v>
      </c>
      <c r="N540">
        <f t="shared" si="903"/>
        <v>0</v>
      </c>
      <c r="P540" t="str">
        <f t="shared" si="818"/>
        <v>0, -2, 0, 0</v>
      </c>
    </row>
    <row r="541" spans="1:16" x14ac:dyDescent="0.2">
      <c r="A541">
        <f t="shared" si="875"/>
        <v>539</v>
      </c>
      <c r="B541" s="1" t="s">
        <v>920</v>
      </c>
      <c r="C541">
        <v>133</v>
      </c>
      <c r="D541">
        <v>0</v>
      </c>
      <c r="E541">
        <v>-2</v>
      </c>
      <c r="F541">
        <v>-1</v>
      </c>
      <c r="G541">
        <v>-1</v>
      </c>
      <c r="H541">
        <f>_xlfn.XLOOKUP(I541,$B$2:$B$1096,$A$2:$A$1096,65535)</f>
        <v>65535</v>
      </c>
      <c r="J541">
        <f t="shared" ref="J541:K541" si="904">C541-C577</f>
        <v>121</v>
      </c>
      <c r="K541">
        <f t="shared" si="904"/>
        <v>-4</v>
      </c>
      <c r="L541">
        <f t="shared" ref="L541:N541" si="905">E541+E577</f>
        <v>3</v>
      </c>
      <c r="M541">
        <f t="shared" si="905"/>
        <v>1</v>
      </c>
      <c r="N541">
        <f t="shared" si="905"/>
        <v>0</v>
      </c>
      <c r="P541" t="str">
        <f t="shared" si="818"/>
        <v>0, -2, -1, -1</v>
      </c>
    </row>
    <row r="542" spans="1:16" x14ac:dyDescent="0.2">
      <c r="A542">
        <f t="shared" si="875"/>
        <v>540</v>
      </c>
      <c r="B542" s="1" t="s">
        <v>921</v>
      </c>
      <c r="C542">
        <v>134</v>
      </c>
      <c r="D542">
        <v>0</v>
      </c>
      <c r="E542">
        <v>0</v>
      </c>
      <c r="F542">
        <v>0</v>
      </c>
      <c r="G542">
        <v>0</v>
      </c>
      <c r="H542">
        <f>_xlfn.XLOOKUP(I542,$B$2:$B$1096,$A$2:$A$1096,65535)</f>
        <v>65535</v>
      </c>
      <c r="J542">
        <f t="shared" ref="J542:K542" si="906">C542-C578</f>
        <v>121</v>
      </c>
      <c r="K542">
        <f t="shared" si="906"/>
        <v>-2</v>
      </c>
      <c r="L542">
        <f t="shared" ref="L542:N542" si="907">E542+E578</f>
        <v>5</v>
      </c>
      <c r="M542">
        <f t="shared" si="907"/>
        <v>2</v>
      </c>
      <c r="N542">
        <f t="shared" si="907"/>
        <v>0</v>
      </c>
      <c r="P542" t="str">
        <f t="shared" si="818"/>
        <v>0, 0, 0, 0</v>
      </c>
    </row>
    <row r="543" spans="1:16" ht="35" customHeight="1" x14ac:dyDescent="0.2">
      <c r="A543">
        <f t="shared" si="875"/>
        <v>541</v>
      </c>
      <c r="B543" s="1" t="s">
        <v>42</v>
      </c>
      <c r="C543">
        <v>8</v>
      </c>
      <c r="D543">
        <v>0</v>
      </c>
      <c r="E543">
        <v>0</v>
      </c>
      <c r="F543">
        <v>0</v>
      </c>
      <c r="G543">
        <v>0</v>
      </c>
      <c r="H543">
        <f>_xlfn.XLOOKUP(I543,$B$2:$B$1096,$A$2:$A$1096,65535)</f>
        <v>65535</v>
      </c>
      <c r="J543">
        <f t="shared" ref="J543:K543" si="908">C543-C579</f>
        <v>-6</v>
      </c>
      <c r="K543">
        <f t="shared" si="908"/>
        <v>-2</v>
      </c>
      <c r="L543">
        <f t="shared" ref="L543:N543" si="909">E543+E579</f>
        <v>5</v>
      </c>
      <c r="M543">
        <f t="shared" si="909"/>
        <v>2</v>
      </c>
      <c r="N543">
        <f t="shared" si="909"/>
        <v>1</v>
      </c>
      <c r="P543" t="str">
        <f t="shared" si="818"/>
        <v>0, 0, 0, 0</v>
      </c>
    </row>
    <row r="544" spans="1:16" x14ac:dyDescent="0.2">
      <c r="A544">
        <f t="shared" si="875"/>
        <v>542</v>
      </c>
      <c r="B544" s="1" t="s">
        <v>96</v>
      </c>
      <c r="C544">
        <v>9</v>
      </c>
      <c r="D544">
        <v>0</v>
      </c>
      <c r="E544">
        <v>0</v>
      </c>
      <c r="F544">
        <v>0</v>
      </c>
      <c r="G544">
        <v>0</v>
      </c>
      <c r="H544">
        <f>_xlfn.XLOOKUP(I544,$B$2:$B$1096,$A$2:$A$1096,65535)</f>
        <v>65535</v>
      </c>
      <c r="J544">
        <f t="shared" ref="J544:K544" si="910">C544-C580</f>
        <v>-4</v>
      </c>
      <c r="K544">
        <f t="shared" si="910"/>
        <v>0</v>
      </c>
      <c r="L544">
        <f t="shared" ref="L544:N544" si="911">E544+E580</f>
        <v>5</v>
      </c>
      <c r="M544">
        <f t="shared" si="911"/>
        <v>2</v>
      </c>
      <c r="N544">
        <f t="shared" si="911"/>
        <v>0</v>
      </c>
      <c r="P544" t="str">
        <f t="shared" si="818"/>
        <v>0, 0, 0, 0</v>
      </c>
    </row>
    <row r="545" spans="1:16" x14ac:dyDescent="0.2">
      <c r="A545">
        <f t="shared" si="875"/>
        <v>543</v>
      </c>
      <c r="B545" s="1" t="s">
        <v>97</v>
      </c>
      <c r="C545">
        <v>10</v>
      </c>
      <c r="D545">
        <v>0</v>
      </c>
      <c r="E545">
        <v>0</v>
      </c>
      <c r="F545">
        <v>0</v>
      </c>
      <c r="G545">
        <v>0</v>
      </c>
      <c r="H545">
        <f>_xlfn.XLOOKUP(I545,$B$2:$B$1096,$A$2:$A$1096,65535)</f>
        <v>65535</v>
      </c>
      <c r="J545">
        <f t="shared" ref="J545:K545" si="912">C545-C581</f>
        <v>-2</v>
      </c>
      <c r="K545">
        <f t="shared" si="912"/>
        <v>0</v>
      </c>
      <c r="L545">
        <f t="shared" ref="L545:N545" si="913">E545+E581</f>
        <v>5</v>
      </c>
      <c r="M545">
        <f t="shared" si="913"/>
        <v>2</v>
      </c>
      <c r="N545">
        <f t="shared" si="913"/>
        <v>1</v>
      </c>
      <c r="P545" t="str">
        <f t="shared" si="818"/>
        <v>0, 0, 0, 0</v>
      </c>
    </row>
    <row r="546" spans="1:16" x14ac:dyDescent="0.2">
      <c r="A546">
        <f t="shared" si="875"/>
        <v>544</v>
      </c>
      <c r="B546" s="1" t="s">
        <v>98</v>
      </c>
      <c r="C546">
        <v>11</v>
      </c>
      <c r="D546">
        <v>0</v>
      </c>
      <c r="E546">
        <v>0</v>
      </c>
      <c r="F546">
        <v>0</v>
      </c>
      <c r="G546">
        <v>0</v>
      </c>
      <c r="H546">
        <f>_xlfn.XLOOKUP(I546,$B$2:$B$1096,$A$2:$A$1096,65535)</f>
        <v>65535</v>
      </c>
      <c r="J546">
        <f t="shared" ref="J546:K546" si="914">C546-C582</f>
        <v>-2</v>
      </c>
      <c r="K546">
        <f t="shared" si="914"/>
        <v>0</v>
      </c>
      <c r="L546">
        <f t="shared" ref="L546:N546" si="915">E546+E582</f>
        <v>5</v>
      </c>
      <c r="M546">
        <f t="shared" si="915"/>
        <v>2</v>
      </c>
      <c r="N546">
        <f t="shared" si="915"/>
        <v>0</v>
      </c>
      <c r="P546" t="str">
        <f t="shared" si="818"/>
        <v>0, 0, 0, 0</v>
      </c>
    </row>
    <row r="547" spans="1:16" x14ac:dyDescent="0.2">
      <c r="A547">
        <f t="shared" si="875"/>
        <v>545</v>
      </c>
      <c r="B547" s="1" t="s">
        <v>99</v>
      </c>
      <c r="C547">
        <v>9</v>
      </c>
      <c r="D547">
        <v>0</v>
      </c>
      <c r="E547">
        <v>0</v>
      </c>
      <c r="F547">
        <v>0</v>
      </c>
      <c r="G547">
        <v>0</v>
      </c>
      <c r="H547">
        <f>_xlfn.XLOOKUP(I547,$B$2:$B$1096,$A$2:$A$1096,65535)</f>
        <v>65535</v>
      </c>
      <c r="J547">
        <f t="shared" ref="J547:K547" si="916">C547-C583</f>
        <v>-5</v>
      </c>
      <c r="K547">
        <f t="shared" si="916"/>
        <v>0</v>
      </c>
      <c r="L547">
        <f t="shared" ref="L547:N547" si="917">E547+E583</f>
        <v>5</v>
      </c>
      <c r="M547">
        <f t="shared" si="917"/>
        <v>2</v>
      </c>
      <c r="N547">
        <f t="shared" si="917"/>
        <v>1</v>
      </c>
      <c r="P547" t="str">
        <f t="shared" si="818"/>
        <v>0, 0, 0, 0</v>
      </c>
    </row>
    <row r="548" spans="1:16" x14ac:dyDescent="0.2">
      <c r="A548">
        <f t="shared" si="875"/>
        <v>546</v>
      </c>
      <c r="B548" s="1" t="s">
        <v>100</v>
      </c>
      <c r="C548">
        <v>8</v>
      </c>
      <c r="D548">
        <v>4</v>
      </c>
      <c r="E548">
        <v>0</v>
      </c>
      <c r="F548">
        <v>0</v>
      </c>
      <c r="G548">
        <v>0</v>
      </c>
      <c r="H548">
        <f>_xlfn.XLOOKUP(I548,$B$2:$B$1096,$A$2:$A$1096,65535)</f>
        <v>65535</v>
      </c>
      <c r="J548">
        <f t="shared" ref="J548:K548" si="918">C548-C584</f>
        <v>-5</v>
      </c>
      <c r="K548">
        <f t="shared" si="918"/>
        <v>4</v>
      </c>
      <c r="L548">
        <f t="shared" ref="L548:N548" si="919">E548+E584</f>
        <v>5</v>
      </c>
      <c r="M548">
        <f t="shared" si="919"/>
        <v>2</v>
      </c>
      <c r="N548">
        <f t="shared" si="919"/>
        <v>0</v>
      </c>
      <c r="P548" t="str">
        <f t="shared" si="818"/>
        <v>4, 0, 0, 0</v>
      </c>
    </row>
    <row r="549" spans="1:16" x14ac:dyDescent="0.2">
      <c r="A549">
        <f t="shared" si="875"/>
        <v>547</v>
      </c>
      <c r="B549" s="1" t="s">
        <v>101</v>
      </c>
      <c r="C549">
        <v>8</v>
      </c>
      <c r="D549">
        <v>3</v>
      </c>
      <c r="E549">
        <v>0</v>
      </c>
      <c r="F549">
        <v>0</v>
      </c>
      <c r="G549">
        <v>0</v>
      </c>
      <c r="H549">
        <f>_xlfn.XLOOKUP(I549,$B$2:$B$1096,$A$2:$A$1096,65535)</f>
        <v>65535</v>
      </c>
      <c r="J549">
        <f t="shared" ref="J549:K549" si="920">C549-C585</f>
        <v>-4</v>
      </c>
      <c r="K549">
        <f t="shared" si="920"/>
        <v>5</v>
      </c>
      <c r="L549">
        <f t="shared" ref="L549:N549" si="921">E549+E585</f>
        <v>5</v>
      </c>
      <c r="M549">
        <f t="shared" si="921"/>
        <v>2</v>
      </c>
      <c r="N549">
        <f t="shared" si="921"/>
        <v>1</v>
      </c>
      <c r="P549" t="str">
        <f t="shared" si="818"/>
        <v>3, 0, 0, 0</v>
      </c>
    </row>
    <row r="550" spans="1:16" x14ac:dyDescent="0.2">
      <c r="A550">
        <f t="shared" si="875"/>
        <v>548</v>
      </c>
      <c r="B550" s="1" t="s">
        <v>102</v>
      </c>
      <c r="C550">
        <v>8</v>
      </c>
      <c r="D550">
        <v>2</v>
      </c>
      <c r="E550">
        <v>0</v>
      </c>
      <c r="F550">
        <v>0</v>
      </c>
      <c r="G550">
        <v>0</v>
      </c>
      <c r="H550">
        <f>_xlfn.XLOOKUP(I550,$B$2:$B$1096,$A$2:$A$1096,65535)</f>
        <v>65535</v>
      </c>
      <c r="J550">
        <f t="shared" ref="J550:K550" si="922">C550-C586</f>
        <v>-5</v>
      </c>
      <c r="K550">
        <f t="shared" si="922"/>
        <v>4</v>
      </c>
      <c r="L550">
        <f t="shared" ref="L550:N550" si="923">E550+E586</f>
        <v>5</v>
      </c>
      <c r="M550">
        <f t="shared" si="923"/>
        <v>2</v>
      </c>
      <c r="N550">
        <f t="shared" si="923"/>
        <v>0</v>
      </c>
      <c r="P550" t="str">
        <f t="shared" si="818"/>
        <v>2, 0, 0, 0</v>
      </c>
    </row>
    <row r="551" spans="1:16" x14ac:dyDescent="0.2">
      <c r="A551">
        <f t="shared" si="875"/>
        <v>549</v>
      </c>
      <c r="B551" s="1" t="s">
        <v>103</v>
      </c>
      <c r="C551">
        <v>8</v>
      </c>
      <c r="D551">
        <v>-2</v>
      </c>
      <c r="E551">
        <v>0</v>
      </c>
      <c r="F551">
        <v>0</v>
      </c>
      <c r="G551">
        <v>0</v>
      </c>
      <c r="H551">
        <f>_xlfn.XLOOKUP(I551,$B$2:$B$1096,$A$2:$A$1096,65535)</f>
        <v>65535</v>
      </c>
      <c r="J551">
        <f t="shared" ref="J551:K551" si="924">C551-C587</f>
        <v>-6</v>
      </c>
      <c r="K551">
        <f t="shared" si="924"/>
        <v>0</v>
      </c>
      <c r="L551">
        <f t="shared" ref="L551:N551" si="925">E551+E587</f>
        <v>5</v>
      </c>
      <c r="M551">
        <f t="shared" si="925"/>
        <v>2</v>
      </c>
      <c r="N551">
        <f t="shared" si="925"/>
        <v>1</v>
      </c>
      <c r="P551" t="str">
        <f t="shared" si="818"/>
        <v>-2, 0, 0, 0</v>
      </c>
    </row>
    <row r="552" spans="1:16" x14ac:dyDescent="0.2">
      <c r="A552">
        <f t="shared" si="875"/>
        <v>550</v>
      </c>
      <c r="B552" s="1" t="s">
        <v>104</v>
      </c>
      <c r="C552">
        <v>11</v>
      </c>
      <c r="D552">
        <v>-3</v>
      </c>
      <c r="E552">
        <v>0</v>
      </c>
      <c r="F552">
        <v>0</v>
      </c>
      <c r="G552">
        <v>0</v>
      </c>
      <c r="H552">
        <f>_xlfn.XLOOKUP(I552,$B$2:$B$1096,$A$2:$A$1096,65535)</f>
        <v>65535</v>
      </c>
      <c r="J552">
        <f t="shared" ref="J552:K552" si="926">C552-C588</f>
        <v>-2</v>
      </c>
      <c r="K552">
        <f t="shared" si="926"/>
        <v>-1</v>
      </c>
      <c r="L552">
        <f t="shared" ref="L552:N552" si="927">E552+E588</f>
        <v>5</v>
      </c>
      <c r="M552">
        <f t="shared" si="927"/>
        <v>2</v>
      </c>
      <c r="N552">
        <f t="shared" si="927"/>
        <v>0</v>
      </c>
      <c r="P552" t="str">
        <f t="shared" si="818"/>
        <v>-3, 0, 0, 0</v>
      </c>
    </row>
    <row r="553" spans="1:16" x14ac:dyDescent="0.2">
      <c r="A553">
        <f t="shared" si="875"/>
        <v>551</v>
      </c>
      <c r="B553" s="1" t="s">
        <v>105</v>
      </c>
      <c r="C553">
        <v>8</v>
      </c>
      <c r="D553">
        <v>-4</v>
      </c>
      <c r="E553">
        <v>0</v>
      </c>
      <c r="F553">
        <v>0</v>
      </c>
      <c r="G553">
        <v>0</v>
      </c>
      <c r="H553">
        <f>_xlfn.XLOOKUP(I553,$B$2:$B$1096,$A$2:$A$1096,65535)</f>
        <v>65535</v>
      </c>
      <c r="J553">
        <f t="shared" ref="J553:K553" si="928">C553-C589</f>
        <v>-4</v>
      </c>
      <c r="K553">
        <f t="shared" si="928"/>
        <v>-4</v>
      </c>
      <c r="L553">
        <f t="shared" ref="L553:N553" si="929">E553+E589</f>
        <v>5</v>
      </c>
      <c r="M553">
        <f t="shared" si="929"/>
        <v>2</v>
      </c>
      <c r="N553">
        <f t="shared" si="929"/>
        <v>1</v>
      </c>
      <c r="P553" t="str">
        <f t="shared" si="818"/>
        <v>-4, 0, 0, 0</v>
      </c>
    </row>
    <row r="554" spans="1:16" x14ac:dyDescent="0.2">
      <c r="A554">
        <f t="shared" si="875"/>
        <v>552</v>
      </c>
      <c r="B554" s="1" t="s">
        <v>0</v>
      </c>
      <c r="C554">
        <v>9</v>
      </c>
      <c r="D554">
        <v>0</v>
      </c>
      <c r="E554">
        <v>0</v>
      </c>
      <c r="F554">
        <v>0</v>
      </c>
      <c r="G554">
        <v>0</v>
      </c>
      <c r="H554">
        <f>_xlfn.XLOOKUP(I554,$B$2:$B$1096,$A$2:$A$1096,65535)</f>
        <v>65535</v>
      </c>
      <c r="J554">
        <f t="shared" ref="J554:K554" si="930">C554-C590</f>
        <v>-4</v>
      </c>
      <c r="K554">
        <f t="shared" si="930"/>
        <v>2</v>
      </c>
      <c r="L554">
        <f t="shared" ref="L554:N554" si="931">E554+E590</f>
        <v>5</v>
      </c>
      <c r="M554">
        <f t="shared" si="931"/>
        <v>2</v>
      </c>
      <c r="N554">
        <f t="shared" si="931"/>
        <v>0</v>
      </c>
      <c r="P554" t="str">
        <f t="shared" si="818"/>
        <v>0, 0, 0, 0</v>
      </c>
    </row>
    <row r="555" spans="1:16" x14ac:dyDescent="0.2">
      <c r="A555">
        <f t="shared" si="875"/>
        <v>553</v>
      </c>
      <c r="B555" s="1" t="s">
        <v>106</v>
      </c>
      <c r="C555">
        <v>8</v>
      </c>
      <c r="D555">
        <v>4</v>
      </c>
      <c r="E555">
        <v>0</v>
      </c>
      <c r="F555">
        <v>0</v>
      </c>
      <c r="G555">
        <v>0</v>
      </c>
      <c r="H555">
        <f>_xlfn.XLOOKUP(I555,$B$2:$B$1096,$A$2:$A$1096,65535)</f>
        <v>65535</v>
      </c>
      <c r="J555">
        <f t="shared" ref="J555:K555" si="932">C555-C591</f>
        <v>-6</v>
      </c>
      <c r="K555">
        <f t="shared" si="932"/>
        <v>6</v>
      </c>
      <c r="L555">
        <f t="shared" ref="L555:N555" si="933">E555+E591</f>
        <v>5</v>
      </c>
      <c r="M555">
        <f t="shared" si="933"/>
        <v>2</v>
      </c>
      <c r="N555">
        <f t="shared" si="933"/>
        <v>1</v>
      </c>
      <c r="P555" t="str">
        <f t="shared" si="818"/>
        <v>4, 0, 0, 0</v>
      </c>
    </row>
    <row r="556" spans="1:16" x14ac:dyDescent="0.2">
      <c r="A556">
        <f t="shared" si="875"/>
        <v>554</v>
      </c>
      <c r="B556" s="1" t="s">
        <v>107</v>
      </c>
      <c r="C556">
        <v>8</v>
      </c>
      <c r="D556">
        <v>3</v>
      </c>
      <c r="E556">
        <v>0</v>
      </c>
      <c r="F556">
        <v>0</v>
      </c>
      <c r="G556">
        <v>0</v>
      </c>
      <c r="H556">
        <f>_xlfn.XLOOKUP(I556,$B$2:$B$1096,$A$2:$A$1096,65535)</f>
        <v>65535</v>
      </c>
      <c r="J556">
        <f t="shared" ref="J556:K556" si="934">C556-C592</f>
        <v>-5</v>
      </c>
      <c r="K556">
        <f t="shared" si="934"/>
        <v>7</v>
      </c>
      <c r="L556">
        <f t="shared" ref="L556:N556" si="935">E556+E592</f>
        <v>5</v>
      </c>
      <c r="M556">
        <f t="shared" si="935"/>
        <v>2</v>
      </c>
      <c r="N556">
        <f t="shared" si="935"/>
        <v>0</v>
      </c>
      <c r="P556" t="str">
        <f t="shared" si="818"/>
        <v>3, 0, 0, 0</v>
      </c>
    </row>
    <row r="557" spans="1:16" x14ac:dyDescent="0.2">
      <c r="A557">
        <f t="shared" si="875"/>
        <v>555</v>
      </c>
      <c r="B557" s="1" t="s">
        <v>108</v>
      </c>
      <c r="C557">
        <v>8</v>
      </c>
      <c r="D557">
        <v>2</v>
      </c>
      <c r="E557">
        <v>0</v>
      </c>
      <c r="F557">
        <v>0</v>
      </c>
      <c r="G557">
        <v>0</v>
      </c>
      <c r="H557">
        <f>_xlfn.XLOOKUP(I557,$B$2:$B$1096,$A$2:$A$1096,65535)</f>
        <v>65535</v>
      </c>
      <c r="J557">
        <f t="shared" ref="J557:K557" si="936">C557-C593</f>
        <v>-5</v>
      </c>
      <c r="K557">
        <f t="shared" si="936"/>
        <v>2</v>
      </c>
      <c r="L557">
        <f t="shared" ref="L557:N557" si="937">E557+E593</f>
        <v>5</v>
      </c>
      <c r="M557">
        <f t="shared" si="937"/>
        <v>2</v>
      </c>
      <c r="N557">
        <f t="shared" si="937"/>
        <v>0</v>
      </c>
      <c r="P557" t="str">
        <f t="shared" si="818"/>
        <v>2, 0, 0, 0</v>
      </c>
    </row>
    <row r="558" spans="1:16" x14ac:dyDescent="0.2">
      <c r="A558">
        <f t="shared" si="875"/>
        <v>556</v>
      </c>
      <c r="B558" s="1" t="s">
        <v>109</v>
      </c>
      <c r="C558">
        <v>8</v>
      </c>
      <c r="D558">
        <v>-1</v>
      </c>
      <c r="E558">
        <v>0</v>
      </c>
      <c r="F558">
        <v>0</v>
      </c>
      <c r="G558">
        <v>0</v>
      </c>
      <c r="H558">
        <f>_xlfn.XLOOKUP(I558,$B$2:$B$1096,$A$2:$A$1096,65535)</f>
        <v>65535</v>
      </c>
      <c r="J558">
        <f t="shared" ref="J558:K558" si="938">C558-C594</f>
        <v>-4</v>
      </c>
      <c r="K558">
        <f t="shared" si="938"/>
        <v>-1</v>
      </c>
      <c r="L558">
        <f t="shared" ref="L558:N558" si="939">E558+E594</f>
        <v>5</v>
      </c>
      <c r="M558">
        <f t="shared" si="939"/>
        <v>2</v>
      </c>
      <c r="N558">
        <f t="shared" si="939"/>
        <v>1</v>
      </c>
      <c r="P558" t="str">
        <f t="shared" si="818"/>
        <v>-1, 0, 0, 0</v>
      </c>
    </row>
    <row r="559" spans="1:16" x14ac:dyDescent="0.2">
      <c r="A559">
        <f t="shared" si="875"/>
        <v>557</v>
      </c>
      <c r="B559" s="1" t="s">
        <v>110</v>
      </c>
      <c r="C559">
        <v>8</v>
      </c>
      <c r="D559">
        <v>0</v>
      </c>
      <c r="E559">
        <v>0</v>
      </c>
      <c r="F559">
        <v>0</v>
      </c>
      <c r="G559">
        <v>0</v>
      </c>
      <c r="H559">
        <f>_xlfn.XLOOKUP(I559,$B$2:$B$1096,$A$2:$A$1096,65535)</f>
        <v>541</v>
      </c>
      <c r="I559" s="1" t="s">
        <v>42</v>
      </c>
      <c r="J559">
        <f t="shared" ref="J559:K559" si="940">C559-C595</f>
        <v>-5</v>
      </c>
      <c r="K559">
        <f t="shared" si="940"/>
        <v>1</v>
      </c>
      <c r="L559">
        <f t="shared" ref="L559:N559" si="941">E559+E595</f>
        <v>5</v>
      </c>
      <c r="M559">
        <f t="shared" si="941"/>
        <v>2</v>
      </c>
      <c r="N559">
        <f t="shared" si="941"/>
        <v>0</v>
      </c>
      <c r="P559" t="str">
        <f t="shared" si="818"/>
        <v>0, 0, 0, 0</v>
      </c>
    </row>
    <row r="560" spans="1:16" ht="30" customHeight="1" x14ac:dyDescent="0.2">
      <c r="A560">
        <f t="shared" si="875"/>
        <v>558</v>
      </c>
      <c r="B560" s="1" t="s">
        <v>160</v>
      </c>
      <c r="C560">
        <v>13</v>
      </c>
      <c r="D560">
        <v>0</v>
      </c>
      <c r="E560">
        <v>0</v>
      </c>
      <c r="F560">
        <v>0</v>
      </c>
      <c r="G560">
        <v>0</v>
      </c>
      <c r="H560">
        <f>_xlfn.XLOOKUP(I560,$B$2:$B$1096,$A$2:$A$1096,65535)</f>
        <v>65535</v>
      </c>
      <c r="J560">
        <f t="shared" ref="J560:K560" si="942">C560-C596</f>
        <v>0</v>
      </c>
      <c r="K560">
        <f t="shared" si="942"/>
        <v>1</v>
      </c>
      <c r="L560">
        <f t="shared" ref="L560:N560" si="943">E560+E596</f>
        <v>5</v>
      </c>
      <c r="M560">
        <f t="shared" si="943"/>
        <v>1</v>
      </c>
      <c r="N560">
        <f t="shared" si="943"/>
        <v>1</v>
      </c>
      <c r="P560" t="str">
        <f t="shared" si="818"/>
        <v>0, 0, 0, 0</v>
      </c>
    </row>
    <row r="561" spans="1:16" x14ac:dyDescent="0.2">
      <c r="A561">
        <f t="shared" si="875"/>
        <v>559</v>
      </c>
      <c r="B561" s="1" t="s">
        <v>111</v>
      </c>
      <c r="C561">
        <v>12</v>
      </c>
      <c r="D561">
        <v>0</v>
      </c>
      <c r="E561">
        <v>5</v>
      </c>
      <c r="F561">
        <v>2</v>
      </c>
      <c r="G561">
        <v>1</v>
      </c>
      <c r="H561">
        <f>_xlfn.XLOOKUP(I561,$B$2:$B$1096,$A$2:$A$1096,65535)</f>
        <v>65535</v>
      </c>
      <c r="J561">
        <f t="shared" ref="J561:K561" si="944">C561-C597</f>
        <v>-1</v>
      </c>
      <c r="K561">
        <f t="shared" si="944"/>
        <v>2</v>
      </c>
      <c r="L561">
        <f t="shared" ref="L561:N561" si="945">E561+E597</f>
        <v>10</v>
      </c>
      <c r="M561">
        <f t="shared" si="945"/>
        <v>3</v>
      </c>
      <c r="N561">
        <f t="shared" si="945"/>
        <v>1</v>
      </c>
      <c r="P561" t="str">
        <f t="shared" si="818"/>
        <v>0, 5, 2, 1</v>
      </c>
    </row>
    <row r="562" spans="1:16" x14ac:dyDescent="0.2">
      <c r="A562">
        <f t="shared" si="875"/>
        <v>560</v>
      </c>
      <c r="B562" s="1" t="s">
        <v>112</v>
      </c>
      <c r="C562">
        <v>13</v>
      </c>
      <c r="D562">
        <v>0</v>
      </c>
      <c r="E562">
        <v>5</v>
      </c>
      <c r="F562">
        <v>2</v>
      </c>
      <c r="G562">
        <v>0</v>
      </c>
      <c r="H562">
        <f>_xlfn.XLOOKUP(I562,$B$2:$B$1096,$A$2:$A$1096,65535)</f>
        <v>65535</v>
      </c>
      <c r="J562">
        <f t="shared" ref="J562:K562" si="946">C562-C598</f>
        <v>0</v>
      </c>
      <c r="K562">
        <f t="shared" si="946"/>
        <v>4</v>
      </c>
      <c r="L562">
        <f t="shared" ref="L562:N562" si="947">E562+E598</f>
        <v>5</v>
      </c>
      <c r="M562">
        <f t="shared" si="947"/>
        <v>2</v>
      </c>
      <c r="N562">
        <f t="shared" si="947"/>
        <v>0</v>
      </c>
      <c r="P562" t="str">
        <f t="shared" ref="P562:P625" si="948">_xlfn.CONCAT(D562,", ",E562,", ",F562,", ",G562)</f>
        <v>0, 5, 2, 0</v>
      </c>
    </row>
    <row r="563" spans="1:16" x14ac:dyDescent="0.2">
      <c r="A563">
        <f t="shared" si="875"/>
        <v>561</v>
      </c>
      <c r="B563" s="1" t="s">
        <v>113</v>
      </c>
      <c r="C563">
        <v>14</v>
      </c>
      <c r="D563">
        <v>0</v>
      </c>
      <c r="E563">
        <v>5</v>
      </c>
      <c r="F563">
        <v>2</v>
      </c>
      <c r="G563">
        <v>1</v>
      </c>
      <c r="H563">
        <f>_xlfn.XLOOKUP(I563,$B$2:$B$1096,$A$2:$A$1096,65535)</f>
        <v>65535</v>
      </c>
      <c r="J563">
        <f t="shared" ref="J563:K563" si="949">C563-C599</f>
        <v>1</v>
      </c>
      <c r="K563">
        <f t="shared" si="949"/>
        <v>4</v>
      </c>
      <c r="L563">
        <f t="shared" ref="L563:N563" si="950">E563+E599</f>
        <v>5</v>
      </c>
      <c r="M563">
        <f t="shared" si="950"/>
        <v>2</v>
      </c>
      <c r="N563">
        <f t="shared" si="950"/>
        <v>1</v>
      </c>
      <c r="P563" t="str">
        <f t="shared" si="948"/>
        <v>0, 5, 2, 1</v>
      </c>
    </row>
    <row r="564" spans="1:16" x14ac:dyDescent="0.2">
      <c r="A564">
        <f t="shared" si="875"/>
        <v>562</v>
      </c>
      <c r="B564" s="1" t="s">
        <v>114</v>
      </c>
      <c r="C564">
        <v>13</v>
      </c>
      <c r="D564">
        <v>0</v>
      </c>
      <c r="E564">
        <v>5</v>
      </c>
      <c r="F564">
        <v>2</v>
      </c>
      <c r="G564">
        <v>0</v>
      </c>
      <c r="H564">
        <f>_xlfn.XLOOKUP(I564,$B$2:$B$1096,$A$2:$A$1096,65535)</f>
        <v>65535</v>
      </c>
      <c r="J564">
        <f t="shared" ref="J564:K564" si="951">C564-C600</f>
        <v>0</v>
      </c>
      <c r="K564">
        <f t="shared" si="951"/>
        <v>4</v>
      </c>
      <c r="L564">
        <f t="shared" ref="L564:N564" si="952">E564+E600</f>
        <v>5</v>
      </c>
      <c r="M564">
        <f t="shared" si="952"/>
        <v>2</v>
      </c>
      <c r="N564">
        <f t="shared" si="952"/>
        <v>0</v>
      </c>
      <c r="P564" t="str">
        <f t="shared" si="948"/>
        <v>0, 5, 2, 0</v>
      </c>
    </row>
    <row r="565" spans="1:16" x14ac:dyDescent="0.2">
      <c r="A565">
        <f t="shared" si="875"/>
        <v>563</v>
      </c>
      <c r="B565" s="1" t="s">
        <v>606</v>
      </c>
      <c r="C565">
        <v>12</v>
      </c>
      <c r="D565">
        <v>0</v>
      </c>
      <c r="E565">
        <v>5</v>
      </c>
      <c r="F565">
        <v>2</v>
      </c>
      <c r="G565">
        <v>1</v>
      </c>
      <c r="H565">
        <f>_xlfn.XLOOKUP(I565,$B$2:$B$1096,$A$2:$A$1096,65535)</f>
        <v>65535</v>
      </c>
      <c r="J565">
        <f t="shared" ref="J565:K565" si="953">C565-C601</f>
        <v>-1</v>
      </c>
      <c r="K565">
        <f t="shared" si="953"/>
        <v>4</v>
      </c>
      <c r="L565">
        <f t="shared" ref="L565:N565" si="954">E565+E601</f>
        <v>5</v>
      </c>
      <c r="M565">
        <f t="shared" si="954"/>
        <v>2</v>
      </c>
      <c r="N565">
        <f t="shared" si="954"/>
        <v>1</v>
      </c>
      <c r="P565" t="str">
        <f t="shared" si="948"/>
        <v>0, 5, 2, 1</v>
      </c>
    </row>
    <row r="566" spans="1:16" x14ac:dyDescent="0.2">
      <c r="A566">
        <f t="shared" si="875"/>
        <v>564</v>
      </c>
      <c r="B566" s="1" t="s">
        <v>607</v>
      </c>
      <c r="C566">
        <v>13</v>
      </c>
      <c r="D566">
        <v>0</v>
      </c>
      <c r="E566">
        <v>5</v>
      </c>
      <c r="F566">
        <v>2</v>
      </c>
      <c r="G566">
        <v>0</v>
      </c>
      <c r="H566">
        <f>_xlfn.XLOOKUP(I566,$B$2:$B$1096,$A$2:$A$1096,65535)</f>
        <v>65535</v>
      </c>
      <c r="J566">
        <f t="shared" ref="J566:K566" si="955">C566-C602</f>
        <v>0</v>
      </c>
      <c r="K566">
        <f t="shared" si="955"/>
        <v>4</v>
      </c>
      <c r="L566">
        <f t="shared" ref="L566:N566" si="956">E566+E602</f>
        <v>5</v>
      </c>
      <c r="M566">
        <f t="shared" si="956"/>
        <v>2</v>
      </c>
      <c r="N566">
        <f t="shared" si="956"/>
        <v>0</v>
      </c>
      <c r="P566" t="str">
        <f t="shared" si="948"/>
        <v>0, 5, 2, 0</v>
      </c>
    </row>
    <row r="567" spans="1:16" x14ac:dyDescent="0.2">
      <c r="A567">
        <f t="shared" si="875"/>
        <v>565</v>
      </c>
      <c r="B567" s="1" t="s">
        <v>608</v>
      </c>
      <c r="C567">
        <v>14</v>
      </c>
      <c r="D567">
        <v>0</v>
      </c>
      <c r="E567">
        <v>5</v>
      </c>
      <c r="F567">
        <v>2</v>
      </c>
      <c r="G567">
        <v>1</v>
      </c>
      <c r="H567">
        <f>_xlfn.XLOOKUP(I567,$B$2:$B$1096,$A$2:$A$1096,65535)</f>
        <v>65535</v>
      </c>
      <c r="J567">
        <f t="shared" ref="J567:K567" si="957">C567-C603</f>
        <v>-1</v>
      </c>
      <c r="K567">
        <f t="shared" si="957"/>
        <v>0</v>
      </c>
      <c r="L567">
        <f t="shared" ref="L567:N567" si="958">E567+E603</f>
        <v>5</v>
      </c>
      <c r="M567">
        <f t="shared" si="958"/>
        <v>2</v>
      </c>
      <c r="N567">
        <f t="shared" si="958"/>
        <v>1</v>
      </c>
      <c r="P567" t="str">
        <f t="shared" si="948"/>
        <v>0, 5, 2, 1</v>
      </c>
    </row>
    <row r="568" spans="1:16" x14ac:dyDescent="0.2">
      <c r="A568">
        <f t="shared" si="875"/>
        <v>566</v>
      </c>
      <c r="B568" s="1" t="s">
        <v>609</v>
      </c>
      <c r="C568">
        <v>13</v>
      </c>
      <c r="D568">
        <v>0</v>
      </c>
      <c r="E568">
        <v>5</v>
      </c>
      <c r="F568">
        <v>2</v>
      </c>
      <c r="G568">
        <v>0</v>
      </c>
      <c r="H568">
        <f>_xlfn.XLOOKUP(I568,$B$2:$B$1096,$A$2:$A$1096,65535)</f>
        <v>65535</v>
      </c>
      <c r="J568">
        <f t="shared" ref="J568:K568" si="959">C568-C604</f>
        <v>0</v>
      </c>
      <c r="K568">
        <f t="shared" si="959"/>
        <v>0</v>
      </c>
      <c r="L568">
        <f t="shared" ref="L568:N568" si="960">E568+E604</f>
        <v>5</v>
      </c>
      <c r="M568">
        <f t="shared" si="960"/>
        <v>2</v>
      </c>
      <c r="N568">
        <f t="shared" si="960"/>
        <v>0</v>
      </c>
      <c r="P568" t="str">
        <f t="shared" si="948"/>
        <v>0, 5, 2, 0</v>
      </c>
    </row>
    <row r="569" spans="1:16" x14ac:dyDescent="0.2">
      <c r="A569">
        <f t="shared" si="875"/>
        <v>567</v>
      </c>
      <c r="B569" s="1" t="s">
        <v>177</v>
      </c>
      <c r="C569">
        <v>12</v>
      </c>
      <c r="D569">
        <v>0</v>
      </c>
      <c r="E569">
        <v>5</v>
      </c>
      <c r="F569">
        <v>2</v>
      </c>
      <c r="G569">
        <v>1</v>
      </c>
      <c r="H569">
        <f>_xlfn.XLOOKUP(I569,$B$2:$B$1096,$A$2:$A$1096,65535)</f>
        <v>65535</v>
      </c>
      <c r="J569">
        <f t="shared" ref="J569:K569" si="961">C569-C609</f>
        <v>-1</v>
      </c>
      <c r="K569">
        <f t="shared" si="961"/>
        <v>0</v>
      </c>
      <c r="L569">
        <f t="shared" ref="L569:N569" si="962">E569+E609</f>
        <v>5</v>
      </c>
      <c r="M569">
        <f t="shared" si="962"/>
        <v>2</v>
      </c>
      <c r="N569">
        <f t="shared" si="962"/>
        <v>1</v>
      </c>
      <c r="P569" t="str">
        <f t="shared" si="948"/>
        <v>0, 5, 2, 1</v>
      </c>
    </row>
    <row r="570" spans="1:16" x14ac:dyDescent="0.2">
      <c r="A570">
        <f t="shared" si="875"/>
        <v>568</v>
      </c>
      <c r="B570" s="1" t="s">
        <v>178</v>
      </c>
      <c r="C570">
        <v>13</v>
      </c>
      <c r="D570">
        <v>0</v>
      </c>
      <c r="E570">
        <v>5</v>
      </c>
      <c r="F570">
        <v>2</v>
      </c>
      <c r="G570">
        <v>0</v>
      </c>
      <c r="H570">
        <f>_xlfn.XLOOKUP(I570,$B$2:$B$1096,$A$2:$A$1096,65535)</f>
        <v>65535</v>
      </c>
      <c r="J570">
        <f t="shared" ref="J570:K570" si="963">C570-C610</f>
        <v>0</v>
      </c>
      <c r="K570">
        <f t="shared" si="963"/>
        <v>-4</v>
      </c>
      <c r="L570">
        <f t="shared" ref="L570:N570" si="964">E570+E610</f>
        <v>5</v>
      </c>
      <c r="M570">
        <f t="shared" si="964"/>
        <v>2</v>
      </c>
      <c r="N570">
        <f t="shared" si="964"/>
        <v>0</v>
      </c>
      <c r="P570" t="str">
        <f t="shared" si="948"/>
        <v>0, 5, 2, 0</v>
      </c>
    </row>
    <row r="571" spans="1:16" x14ac:dyDescent="0.2">
      <c r="A571">
        <f t="shared" si="875"/>
        <v>569</v>
      </c>
      <c r="B571" s="1" t="s">
        <v>179</v>
      </c>
      <c r="C571">
        <v>14</v>
      </c>
      <c r="D571">
        <v>0</v>
      </c>
      <c r="E571">
        <v>5</v>
      </c>
      <c r="F571">
        <v>2</v>
      </c>
      <c r="G571">
        <v>1</v>
      </c>
      <c r="H571">
        <f>_xlfn.XLOOKUP(I571,$B$2:$B$1096,$A$2:$A$1096,65535)</f>
        <v>65535</v>
      </c>
      <c r="J571">
        <f t="shared" ref="J571:K571" si="965">C571-C611</f>
        <v>1</v>
      </c>
      <c r="K571">
        <f t="shared" si="965"/>
        <v>-3</v>
      </c>
      <c r="L571">
        <f t="shared" ref="L571:N571" si="966">E571+E611</f>
        <v>5</v>
      </c>
      <c r="M571">
        <f t="shared" si="966"/>
        <v>2</v>
      </c>
      <c r="N571">
        <f t="shared" si="966"/>
        <v>1</v>
      </c>
      <c r="P571" t="str">
        <f t="shared" si="948"/>
        <v>0, 5, 2, 1</v>
      </c>
    </row>
    <row r="572" spans="1:16" x14ac:dyDescent="0.2">
      <c r="A572">
        <f t="shared" si="875"/>
        <v>570</v>
      </c>
      <c r="B572" s="1" t="s">
        <v>180</v>
      </c>
      <c r="C572">
        <v>13</v>
      </c>
      <c r="D572">
        <v>0</v>
      </c>
      <c r="E572">
        <v>5</v>
      </c>
      <c r="F572">
        <v>2</v>
      </c>
      <c r="G572">
        <v>0</v>
      </c>
      <c r="H572">
        <f>_xlfn.XLOOKUP(I572,$B$2:$B$1096,$A$2:$A$1096,65535)</f>
        <v>65535</v>
      </c>
      <c r="J572">
        <f t="shared" ref="J572:K572" si="967">C572-C612</f>
        <v>0</v>
      </c>
      <c r="K572">
        <f t="shared" si="967"/>
        <v>-2</v>
      </c>
      <c r="L572">
        <f t="shared" ref="L572:N572" si="968">E572+E612</f>
        <v>5</v>
      </c>
      <c r="M572">
        <f t="shared" si="968"/>
        <v>2</v>
      </c>
      <c r="N572">
        <f t="shared" si="968"/>
        <v>0</v>
      </c>
      <c r="P572" t="str">
        <f t="shared" si="948"/>
        <v>0, 5, 2, 0</v>
      </c>
    </row>
    <row r="573" spans="1:16" x14ac:dyDescent="0.2">
      <c r="A573">
        <f t="shared" si="875"/>
        <v>571</v>
      </c>
      <c r="B573" s="1" t="s">
        <v>181</v>
      </c>
      <c r="C573">
        <v>12</v>
      </c>
      <c r="D573">
        <v>2</v>
      </c>
      <c r="E573">
        <v>5</v>
      </c>
      <c r="F573">
        <v>2</v>
      </c>
      <c r="G573">
        <v>1</v>
      </c>
      <c r="H573">
        <f>_xlfn.XLOOKUP(I573,$B$2:$B$1096,$A$2:$A$1096,65535)</f>
        <v>65535</v>
      </c>
      <c r="J573">
        <f t="shared" ref="J573:K573" si="969">C573-C613</f>
        <v>-1</v>
      </c>
      <c r="K573">
        <f t="shared" si="969"/>
        <v>4</v>
      </c>
      <c r="L573">
        <f t="shared" ref="L573:N573" si="970">E573+E613</f>
        <v>5</v>
      </c>
      <c r="M573">
        <f t="shared" si="970"/>
        <v>2</v>
      </c>
      <c r="N573">
        <f t="shared" si="970"/>
        <v>1</v>
      </c>
      <c r="P573" t="str">
        <f t="shared" si="948"/>
        <v>2, 5, 2, 1</v>
      </c>
    </row>
    <row r="574" spans="1:16" x14ac:dyDescent="0.2">
      <c r="A574">
        <f t="shared" si="875"/>
        <v>572</v>
      </c>
      <c r="B574" s="1" t="s">
        <v>182</v>
      </c>
      <c r="C574">
        <v>13</v>
      </c>
      <c r="D574">
        <v>2</v>
      </c>
      <c r="E574">
        <v>5</v>
      </c>
      <c r="F574">
        <v>2</v>
      </c>
      <c r="G574">
        <v>0</v>
      </c>
      <c r="H574">
        <f>_xlfn.XLOOKUP(I574,$B$2:$B$1096,$A$2:$A$1096,65535)</f>
        <v>65535</v>
      </c>
      <c r="J574">
        <f t="shared" ref="J574:K574" si="971">C574-C614</f>
        <v>-1</v>
      </c>
      <c r="K574">
        <f t="shared" si="971"/>
        <v>5</v>
      </c>
      <c r="L574">
        <f t="shared" ref="L574:N574" si="972">E574+E614</f>
        <v>5</v>
      </c>
      <c r="M574">
        <f t="shared" si="972"/>
        <v>2</v>
      </c>
      <c r="N574">
        <f t="shared" si="972"/>
        <v>0</v>
      </c>
      <c r="P574" t="str">
        <f t="shared" si="948"/>
        <v>2, 5, 2, 0</v>
      </c>
    </row>
    <row r="575" spans="1:16" x14ac:dyDescent="0.2">
      <c r="A575">
        <f t="shared" si="875"/>
        <v>573</v>
      </c>
      <c r="B575" s="1" t="s">
        <v>183</v>
      </c>
      <c r="C575">
        <v>14</v>
      </c>
      <c r="D575">
        <v>2</v>
      </c>
      <c r="E575">
        <v>5</v>
      </c>
      <c r="F575">
        <v>2</v>
      </c>
      <c r="G575">
        <v>1</v>
      </c>
      <c r="H575">
        <f>_xlfn.XLOOKUP(I575,$B$2:$B$1096,$A$2:$A$1096,65535)</f>
        <v>65535</v>
      </c>
      <c r="J575">
        <f t="shared" ref="J575:K575" si="973">C575-C615</f>
        <v>1</v>
      </c>
      <c r="K575">
        <f t="shared" si="973"/>
        <v>6</v>
      </c>
      <c r="L575">
        <f t="shared" ref="L575:N575" si="974">E575+E615</f>
        <v>5</v>
      </c>
      <c r="M575">
        <f t="shared" si="974"/>
        <v>2</v>
      </c>
      <c r="N575">
        <f t="shared" si="974"/>
        <v>1</v>
      </c>
      <c r="P575" t="str">
        <f t="shared" si="948"/>
        <v>2, 5, 2, 1</v>
      </c>
    </row>
    <row r="576" spans="1:16" x14ac:dyDescent="0.2">
      <c r="A576">
        <f t="shared" si="875"/>
        <v>574</v>
      </c>
      <c r="B576" s="1" t="s">
        <v>184</v>
      </c>
      <c r="C576">
        <v>13</v>
      </c>
      <c r="D576">
        <v>2</v>
      </c>
      <c r="E576">
        <v>5</v>
      </c>
      <c r="F576">
        <v>2</v>
      </c>
      <c r="G576">
        <v>0</v>
      </c>
      <c r="H576">
        <f>_xlfn.XLOOKUP(I576,$B$2:$B$1096,$A$2:$A$1096,65535)</f>
        <v>65535</v>
      </c>
      <c r="J576">
        <f t="shared" ref="J576:K576" si="975">C576-C616</f>
        <v>0</v>
      </c>
      <c r="K576">
        <f t="shared" si="975"/>
        <v>1</v>
      </c>
      <c r="L576">
        <f t="shared" ref="L576:N576" si="976">E576+E616</f>
        <v>5</v>
      </c>
      <c r="M576">
        <f t="shared" si="976"/>
        <v>2</v>
      </c>
      <c r="N576">
        <f t="shared" si="976"/>
        <v>0</v>
      </c>
      <c r="P576" t="str">
        <f t="shared" si="948"/>
        <v>2, 5, 2, 0</v>
      </c>
    </row>
    <row r="577" spans="1:16" x14ac:dyDescent="0.2">
      <c r="A577">
        <f t="shared" si="875"/>
        <v>575</v>
      </c>
      <c r="B577" s="1" t="s">
        <v>360</v>
      </c>
      <c r="C577">
        <v>12</v>
      </c>
      <c r="D577">
        <v>4</v>
      </c>
      <c r="E577">
        <v>5</v>
      </c>
      <c r="F577">
        <v>2</v>
      </c>
      <c r="G577">
        <v>1</v>
      </c>
      <c r="H577">
        <f>_xlfn.XLOOKUP(I577,$B$2:$B$1096,$A$2:$A$1096,65535)</f>
        <v>65535</v>
      </c>
      <c r="J577">
        <f t="shared" ref="J577:K577" si="977">C577-C617</f>
        <v>-3</v>
      </c>
      <c r="K577">
        <f t="shared" si="977"/>
        <v>4</v>
      </c>
      <c r="L577">
        <f t="shared" ref="L577:N577" si="978">E577+E617</f>
        <v>5</v>
      </c>
      <c r="M577">
        <f t="shared" si="978"/>
        <v>2</v>
      </c>
      <c r="N577">
        <f t="shared" si="978"/>
        <v>1</v>
      </c>
      <c r="P577" t="str">
        <f t="shared" si="948"/>
        <v>4, 5, 2, 1</v>
      </c>
    </row>
    <row r="578" spans="1:16" x14ac:dyDescent="0.2">
      <c r="A578">
        <f t="shared" si="875"/>
        <v>576</v>
      </c>
      <c r="B578" s="1" t="s">
        <v>363</v>
      </c>
      <c r="C578">
        <v>13</v>
      </c>
      <c r="D578">
        <v>2</v>
      </c>
      <c r="E578">
        <v>5</v>
      </c>
      <c r="F578">
        <v>2</v>
      </c>
      <c r="G578">
        <v>0</v>
      </c>
      <c r="H578">
        <f>_xlfn.XLOOKUP(I578,$B$2:$B$1096,$A$2:$A$1096,65535)</f>
        <v>65535</v>
      </c>
      <c r="J578">
        <f t="shared" ref="J578:K578" si="979">C578-C618</f>
        <v>0</v>
      </c>
      <c r="K578">
        <f t="shared" si="979"/>
        <v>3</v>
      </c>
      <c r="L578">
        <f t="shared" ref="L578:N578" si="980">E578+E618</f>
        <v>5</v>
      </c>
      <c r="M578">
        <f t="shared" si="980"/>
        <v>2</v>
      </c>
      <c r="N578">
        <f t="shared" si="980"/>
        <v>0</v>
      </c>
      <c r="P578" t="str">
        <f t="shared" si="948"/>
        <v>2, 5, 2, 0</v>
      </c>
    </row>
    <row r="579" spans="1:16" x14ac:dyDescent="0.2">
      <c r="A579">
        <f t="shared" si="875"/>
        <v>577</v>
      </c>
      <c r="B579" s="1" t="s">
        <v>362</v>
      </c>
      <c r="C579">
        <v>14</v>
      </c>
      <c r="D579">
        <v>2</v>
      </c>
      <c r="E579">
        <v>5</v>
      </c>
      <c r="F579">
        <v>2</v>
      </c>
      <c r="G579">
        <v>1</v>
      </c>
      <c r="H579">
        <f>_xlfn.XLOOKUP(I579,$B$2:$B$1096,$A$2:$A$1096,65535)</f>
        <v>65535</v>
      </c>
      <c r="J579">
        <f t="shared" ref="J579:K579" si="981">C579-C619</f>
        <v>2</v>
      </c>
      <c r="K579">
        <f t="shared" si="981"/>
        <v>-2</v>
      </c>
      <c r="L579">
        <f t="shared" ref="L579:N579" si="982">E579+E619</f>
        <v>5</v>
      </c>
      <c r="M579">
        <f t="shared" si="982"/>
        <v>2</v>
      </c>
      <c r="N579">
        <f t="shared" si="982"/>
        <v>1</v>
      </c>
      <c r="P579" t="str">
        <f t="shared" si="948"/>
        <v>2, 5, 2, 1</v>
      </c>
    </row>
    <row r="580" spans="1:16" x14ac:dyDescent="0.2">
      <c r="A580">
        <f t="shared" si="875"/>
        <v>578</v>
      </c>
      <c r="B580" s="1" t="s">
        <v>361</v>
      </c>
      <c r="C580">
        <v>13</v>
      </c>
      <c r="D580">
        <v>0</v>
      </c>
      <c r="E580">
        <v>5</v>
      </c>
      <c r="F580">
        <v>2</v>
      </c>
      <c r="G580">
        <v>0</v>
      </c>
      <c r="H580">
        <f>_xlfn.XLOOKUP(I580,$B$2:$B$1096,$A$2:$A$1096,65535)</f>
        <v>65535</v>
      </c>
      <c r="J580">
        <f t="shared" ref="J580:K580" si="983">C580-C620</f>
        <v>1</v>
      </c>
      <c r="K580">
        <f t="shared" si="983"/>
        <v>-3</v>
      </c>
      <c r="L580">
        <f t="shared" ref="L580:N580" si="984">E580+E620</f>
        <v>5</v>
      </c>
      <c r="M580">
        <f t="shared" si="984"/>
        <v>2</v>
      </c>
      <c r="N580">
        <f t="shared" si="984"/>
        <v>0</v>
      </c>
      <c r="P580" t="str">
        <f t="shared" si="948"/>
        <v>0, 5, 2, 0</v>
      </c>
    </row>
    <row r="581" spans="1:16" x14ac:dyDescent="0.2">
      <c r="A581">
        <f t="shared" si="875"/>
        <v>579</v>
      </c>
      <c r="B581" s="1" t="s">
        <v>185</v>
      </c>
      <c r="C581">
        <v>12</v>
      </c>
      <c r="D581">
        <v>0</v>
      </c>
      <c r="E581">
        <v>5</v>
      </c>
      <c r="F581">
        <v>2</v>
      </c>
      <c r="G581">
        <v>1</v>
      </c>
      <c r="H581">
        <f>_xlfn.XLOOKUP(I581,$B$2:$B$1096,$A$2:$A$1096,65535)</f>
        <v>65535</v>
      </c>
      <c r="J581">
        <f t="shared" ref="J581:K581" si="985">C581-C621</f>
        <v>0</v>
      </c>
      <c r="K581">
        <f t="shared" si="985"/>
        <v>-2</v>
      </c>
      <c r="L581">
        <f t="shared" ref="L581:N581" si="986">E581+E621</f>
        <v>5</v>
      </c>
      <c r="M581">
        <f t="shared" si="986"/>
        <v>2</v>
      </c>
      <c r="N581">
        <f t="shared" si="986"/>
        <v>1</v>
      </c>
      <c r="P581" t="str">
        <f t="shared" si="948"/>
        <v>0, 5, 2, 1</v>
      </c>
    </row>
    <row r="582" spans="1:16" x14ac:dyDescent="0.2">
      <c r="A582">
        <f t="shared" si="875"/>
        <v>580</v>
      </c>
      <c r="B582" s="1" t="s">
        <v>186</v>
      </c>
      <c r="C582">
        <v>13</v>
      </c>
      <c r="D582">
        <v>0</v>
      </c>
      <c r="E582">
        <v>5</v>
      </c>
      <c r="F582">
        <v>2</v>
      </c>
      <c r="G582">
        <v>0</v>
      </c>
      <c r="H582">
        <f>_xlfn.XLOOKUP(I582,$B$2:$B$1096,$A$2:$A$1096,65535)</f>
        <v>65535</v>
      </c>
      <c r="J582">
        <f t="shared" ref="J582:K582" si="987">C582-C622</f>
        <v>1</v>
      </c>
      <c r="K582">
        <f t="shared" si="987"/>
        <v>-1</v>
      </c>
      <c r="L582">
        <f t="shared" ref="L582:N582" si="988">E582+E622</f>
        <v>5</v>
      </c>
      <c r="M582">
        <f t="shared" si="988"/>
        <v>2</v>
      </c>
      <c r="N582">
        <f t="shared" si="988"/>
        <v>0</v>
      </c>
      <c r="P582" t="str">
        <f t="shared" si="948"/>
        <v>0, 5, 2, 0</v>
      </c>
    </row>
    <row r="583" spans="1:16" x14ac:dyDescent="0.2">
      <c r="A583">
        <f t="shared" si="875"/>
        <v>581</v>
      </c>
      <c r="B583" s="1" t="s">
        <v>187</v>
      </c>
      <c r="C583">
        <v>14</v>
      </c>
      <c r="D583">
        <v>0</v>
      </c>
      <c r="E583">
        <v>5</v>
      </c>
      <c r="F583">
        <v>2</v>
      </c>
      <c r="G583">
        <v>1</v>
      </c>
      <c r="H583">
        <f>_xlfn.XLOOKUP(I583,$B$2:$B$1096,$A$2:$A$1096,65535)</f>
        <v>65535</v>
      </c>
      <c r="J583">
        <f t="shared" ref="J583:K583" si="989">C583-C623</f>
        <v>1</v>
      </c>
      <c r="K583">
        <f t="shared" si="989"/>
        <v>1</v>
      </c>
      <c r="L583">
        <f t="shared" ref="L583:N583" si="990">E583+E623</f>
        <v>5</v>
      </c>
      <c r="M583">
        <f t="shared" si="990"/>
        <v>2</v>
      </c>
      <c r="N583">
        <f t="shared" si="990"/>
        <v>1</v>
      </c>
      <c r="P583" t="str">
        <f t="shared" si="948"/>
        <v>0, 5, 2, 1</v>
      </c>
    </row>
    <row r="584" spans="1:16" x14ac:dyDescent="0.2">
      <c r="A584">
        <f t="shared" si="875"/>
        <v>582</v>
      </c>
      <c r="B584" s="1" t="s">
        <v>188</v>
      </c>
      <c r="C584">
        <v>13</v>
      </c>
      <c r="D584">
        <v>0</v>
      </c>
      <c r="E584">
        <v>5</v>
      </c>
      <c r="F584">
        <v>2</v>
      </c>
      <c r="G584">
        <v>0</v>
      </c>
      <c r="H584">
        <f>_xlfn.XLOOKUP(I584,$B$2:$B$1096,$A$2:$A$1096,65535)</f>
        <v>65535</v>
      </c>
      <c r="J584">
        <f t="shared" ref="J584:K584" si="991">C584-C624</f>
        <v>0</v>
      </c>
      <c r="K584">
        <f t="shared" si="991"/>
        <v>1</v>
      </c>
      <c r="L584">
        <f t="shared" ref="L584:N584" si="992">E584+E624</f>
        <v>5</v>
      </c>
      <c r="M584">
        <f t="shared" si="992"/>
        <v>2</v>
      </c>
      <c r="N584">
        <f t="shared" si="992"/>
        <v>0</v>
      </c>
      <c r="P584" t="str">
        <f t="shared" si="948"/>
        <v>0, 5, 2, 0</v>
      </c>
    </row>
    <row r="585" spans="1:16" x14ac:dyDescent="0.2">
      <c r="A585">
        <f t="shared" si="875"/>
        <v>583</v>
      </c>
      <c r="B585" s="1" t="s">
        <v>189</v>
      </c>
      <c r="C585">
        <v>12</v>
      </c>
      <c r="D585">
        <v>-2</v>
      </c>
      <c r="E585">
        <v>5</v>
      </c>
      <c r="F585">
        <v>2</v>
      </c>
      <c r="G585">
        <v>1</v>
      </c>
      <c r="H585">
        <f>_xlfn.XLOOKUP(I585,$B$2:$B$1096,$A$2:$A$1096,65535)</f>
        <v>65535</v>
      </c>
      <c r="J585">
        <f t="shared" ref="J585:K585" si="993">C585-C625</f>
        <v>0</v>
      </c>
      <c r="K585">
        <f t="shared" si="993"/>
        <v>-5</v>
      </c>
      <c r="L585">
        <f t="shared" ref="L585:N585" si="994">E585+E625</f>
        <v>5</v>
      </c>
      <c r="M585">
        <f t="shared" si="994"/>
        <v>2</v>
      </c>
      <c r="N585">
        <f t="shared" si="994"/>
        <v>1</v>
      </c>
      <c r="P585" t="str">
        <f t="shared" si="948"/>
        <v>-2, 5, 2, 1</v>
      </c>
    </row>
    <row r="586" spans="1:16" x14ac:dyDescent="0.2">
      <c r="A586">
        <f t="shared" si="875"/>
        <v>584</v>
      </c>
      <c r="B586" s="1" t="s">
        <v>190</v>
      </c>
      <c r="C586">
        <v>13</v>
      </c>
      <c r="D586">
        <v>-2</v>
      </c>
      <c r="E586">
        <v>5</v>
      </c>
      <c r="F586">
        <v>2</v>
      </c>
      <c r="G586">
        <v>0</v>
      </c>
      <c r="H586">
        <f>_xlfn.XLOOKUP(I586,$B$2:$B$1096,$A$2:$A$1096,65535)</f>
        <v>65535</v>
      </c>
      <c r="J586">
        <f t="shared" ref="J586:K586" si="995">C586-C626</f>
        <v>1</v>
      </c>
      <c r="K586">
        <f t="shared" si="995"/>
        <v>-5</v>
      </c>
      <c r="L586">
        <f t="shared" ref="L586:N586" si="996">E586+E626</f>
        <v>5</v>
      </c>
      <c r="M586">
        <f t="shared" si="996"/>
        <v>2</v>
      </c>
      <c r="N586">
        <f t="shared" si="996"/>
        <v>0</v>
      </c>
      <c r="P586" t="str">
        <f t="shared" si="948"/>
        <v>-2, 5, 2, 0</v>
      </c>
    </row>
    <row r="587" spans="1:16" x14ac:dyDescent="0.2">
      <c r="A587">
        <f t="shared" si="875"/>
        <v>585</v>
      </c>
      <c r="B587" s="1" t="s">
        <v>191</v>
      </c>
      <c r="C587">
        <v>14</v>
      </c>
      <c r="D587">
        <v>-2</v>
      </c>
      <c r="E587">
        <v>5</v>
      </c>
      <c r="F587">
        <v>2</v>
      </c>
      <c r="G587">
        <v>1</v>
      </c>
      <c r="H587">
        <f>_xlfn.XLOOKUP(I587,$B$2:$B$1096,$A$2:$A$1096,65535)</f>
        <v>65535</v>
      </c>
      <c r="J587">
        <f t="shared" ref="J587:K587" si="997">C587-C627</f>
        <v>2</v>
      </c>
      <c r="K587">
        <f t="shared" si="997"/>
        <v>-4</v>
      </c>
      <c r="L587">
        <f t="shared" ref="L587:N587" si="998">E587+E627</f>
        <v>10</v>
      </c>
      <c r="M587">
        <f t="shared" si="998"/>
        <v>4</v>
      </c>
      <c r="N587">
        <f t="shared" si="998"/>
        <v>1</v>
      </c>
      <c r="P587" t="str">
        <f t="shared" si="948"/>
        <v>-2, 5, 2, 1</v>
      </c>
    </row>
    <row r="588" spans="1:16" x14ac:dyDescent="0.2">
      <c r="A588">
        <f t="shared" si="875"/>
        <v>586</v>
      </c>
      <c r="B588" s="1" t="s">
        <v>192</v>
      </c>
      <c r="C588">
        <v>13</v>
      </c>
      <c r="D588">
        <v>-2</v>
      </c>
      <c r="E588">
        <v>5</v>
      </c>
      <c r="F588">
        <v>2</v>
      </c>
      <c r="G588">
        <v>0</v>
      </c>
      <c r="H588">
        <f>_xlfn.XLOOKUP(I588,$B$2:$B$1096,$A$2:$A$1096,65535)</f>
        <v>65535</v>
      </c>
      <c r="J588">
        <f t="shared" ref="J588:K588" si="999">C588-C628</f>
        <v>1</v>
      </c>
      <c r="K588">
        <f t="shared" si="999"/>
        <v>-3</v>
      </c>
      <c r="L588">
        <f t="shared" ref="L588:N588" si="1000">E588+E628</f>
        <v>10</v>
      </c>
      <c r="M588">
        <f t="shared" si="1000"/>
        <v>4</v>
      </c>
      <c r="N588">
        <f t="shared" si="1000"/>
        <v>1</v>
      </c>
      <c r="P588" t="str">
        <f t="shared" si="948"/>
        <v>-2, 5, 2, 0</v>
      </c>
    </row>
    <row r="589" spans="1:16" x14ac:dyDescent="0.2">
      <c r="A589">
        <f t="shared" si="875"/>
        <v>587</v>
      </c>
      <c r="B589" s="1" t="s">
        <v>364</v>
      </c>
      <c r="C589">
        <v>12</v>
      </c>
      <c r="D589">
        <v>0</v>
      </c>
      <c r="E589">
        <v>5</v>
      </c>
      <c r="F589">
        <v>2</v>
      </c>
      <c r="G589">
        <v>1</v>
      </c>
      <c r="H589">
        <f>_xlfn.XLOOKUP(I589,$B$2:$B$1096,$A$2:$A$1096,65535)</f>
        <v>65535</v>
      </c>
      <c r="J589">
        <f t="shared" ref="J589:K589" si="1001">C589-C629</f>
        <v>0</v>
      </c>
      <c r="K589">
        <f t="shared" si="1001"/>
        <v>0</v>
      </c>
      <c r="L589">
        <f t="shared" ref="L589:N589" si="1002">E589+E629</f>
        <v>10</v>
      </c>
      <c r="M589">
        <f t="shared" si="1002"/>
        <v>4</v>
      </c>
      <c r="N589">
        <f t="shared" si="1002"/>
        <v>1</v>
      </c>
      <c r="P589" t="str">
        <f t="shared" si="948"/>
        <v>0, 5, 2, 1</v>
      </c>
    </row>
    <row r="590" spans="1:16" x14ac:dyDescent="0.2">
      <c r="A590">
        <f t="shared" si="875"/>
        <v>588</v>
      </c>
      <c r="B590" s="1" t="s">
        <v>365</v>
      </c>
      <c r="C590">
        <v>13</v>
      </c>
      <c r="D590">
        <v>-2</v>
      </c>
      <c r="E590">
        <v>5</v>
      </c>
      <c r="F590">
        <v>2</v>
      </c>
      <c r="G590">
        <v>0</v>
      </c>
      <c r="H590">
        <f>_xlfn.XLOOKUP(I590,$B$2:$B$1096,$A$2:$A$1096,65535)</f>
        <v>65535</v>
      </c>
      <c r="J590">
        <f t="shared" ref="J590:K590" si="1003">C590-C630</f>
        <v>0</v>
      </c>
      <c r="K590">
        <f t="shared" si="1003"/>
        <v>-1</v>
      </c>
      <c r="L590">
        <f t="shared" ref="L590:N590" si="1004">E590+E630</f>
        <v>10</v>
      </c>
      <c r="M590">
        <f t="shared" si="1004"/>
        <v>4</v>
      </c>
      <c r="N590">
        <f t="shared" si="1004"/>
        <v>1</v>
      </c>
      <c r="P590" t="str">
        <f t="shared" si="948"/>
        <v>-2, 5, 2, 0</v>
      </c>
    </row>
    <row r="591" spans="1:16" x14ac:dyDescent="0.2">
      <c r="A591">
        <f t="shared" ref="A591:A654" si="1005">A590+1</f>
        <v>589</v>
      </c>
      <c r="B591" s="1" t="s">
        <v>366</v>
      </c>
      <c r="C591">
        <v>14</v>
      </c>
      <c r="D591">
        <v>-2</v>
      </c>
      <c r="E591">
        <v>5</v>
      </c>
      <c r="F591">
        <v>2</v>
      </c>
      <c r="G591">
        <v>1</v>
      </c>
      <c r="H591">
        <f>_xlfn.XLOOKUP(I591,$B$2:$B$1096,$A$2:$A$1096,65535)</f>
        <v>65535</v>
      </c>
      <c r="J591">
        <f t="shared" ref="J591:K591" si="1006">C591-C631</f>
        <v>2</v>
      </c>
      <c r="K591">
        <f t="shared" si="1006"/>
        <v>-2</v>
      </c>
      <c r="L591">
        <f t="shared" ref="L591:N591" si="1007">E591+E631</f>
        <v>10</v>
      </c>
      <c r="M591">
        <f t="shared" si="1007"/>
        <v>2</v>
      </c>
      <c r="N591">
        <f t="shared" si="1007"/>
        <v>2</v>
      </c>
      <c r="P591" t="str">
        <f t="shared" si="948"/>
        <v>-2, 5, 2, 1</v>
      </c>
    </row>
    <row r="592" spans="1:16" x14ac:dyDescent="0.2">
      <c r="A592">
        <f t="shared" si="1005"/>
        <v>590</v>
      </c>
      <c r="B592" s="1" t="s">
        <v>367</v>
      </c>
      <c r="C592">
        <v>13</v>
      </c>
      <c r="D592">
        <v>-4</v>
      </c>
      <c r="E592">
        <v>5</v>
      </c>
      <c r="F592">
        <v>2</v>
      </c>
      <c r="G592">
        <v>0</v>
      </c>
      <c r="H592">
        <f>_xlfn.XLOOKUP(I592,$B$2:$B$1096,$A$2:$A$1096,65535)</f>
        <v>65535</v>
      </c>
      <c r="J592">
        <f t="shared" ref="J592:K592" si="1008">C592-C632</f>
        <v>1</v>
      </c>
      <c r="K592">
        <f t="shared" si="1008"/>
        <v>-8</v>
      </c>
      <c r="L592">
        <f t="shared" ref="L592:N592" si="1009">E592+E632</f>
        <v>10</v>
      </c>
      <c r="M592">
        <f t="shared" si="1009"/>
        <v>4</v>
      </c>
      <c r="N592">
        <f t="shared" si="1009"/>
        <v>0</v>
      </c>
      <c r="P592" t="str">
        <f t="shared" si="948"/>
        <v>-4, 5, 2, 0</v>
      </c>
    </row>
    <row r="593" spans="1:16" x14ac:dyDescent="0.2">
      <c r="A593">
        <f t="shared" si="1005"/>
        <v>591</v>
      </c>
      <c r="B593" s="1" t="s">
        <v>26</v>
      </c>
      <c r="C593">
        <v>13</v>
      </c>
      <c r="D593">
        <v>0</v>
      </c>
      <c r="E593">
        <v>5</v>
      </c>
      <c r="F593">
        <v>2</v>
      </c>
      <c r="G593">
        <v>0</v>
      </c>
      <c r="H593">
        <f>_xlfn.XLOOKUP(I593,$B$2:$B$1096,$A$2:$A$1096,65535)</f>
        <v>65535</v>
      </c>
      <c r="J593">
        <f t="shared" ref="J593:K593" si="1010">C593-C633</f>
        <v>1</v>
      </c>
      <c r="K593">
        <f t="shared" si="1010"/>
        <v>-3</v>
      </c>
      <c r="L593">
        <f t="shared" ref="L593:N593" si="1011">E593+E633</f>
        <v>10</v>
      </c>
      <c r="M593">
        <f t="shared" si="1011"/>
        <v>3</v>
      </c>
      <c r="N593">
        <f t="shared" si="1011"/>
        <v>1</v>
      </c>
      <c r="P593" t="str">
        <f t="shared" si="948"/>
        <v>0, 5, 2, 0</v>
      </c>
    </row>
    <row r="594" spans="1:16" x14ac:dyDescent="0.2">
      <c r="A594">
        <f t="shared" si="1005"/>
        <v>592</v>
      </c>
      <c r="B594" s="1" t="s">
        <v>27</v>
      </c>
      <c r="C594">
        <v>12</v>
      </c>
      <c r="D594">
        <v>0</v>
      </c>
      <c r="E594">
        <v>5</v>
      </c>
      <c r="F594">
        <v>2</v>
      </c>
      <c r="G594">
        <v>1</v>
      </c>
      <c r="H594">
        <f>_xlfn.XLOOKUP(I594,$B$2:$B$1096,$A$2:$A$1096,65535)</f>
        <v>65535</v>
      </c>
      <c r="J594">
        <f t="shared" ref="J594:K594" si="1012">C594-C634</f>
        <v>0</v>
      </c>
      <c r="K594">
        <f t="shared" si="1012"/>
        <v>-2</v>
      </c>
      <c r="L594">
        <f t="shared" ref="L594:N594" si="1013">E594+E634</f>
        <v>5</v>
      </c>
      <c r="M594">
        <f t="shared" si="1013"/>
        <v>2</v>
      </c>
      <c r="N594">
        <f t="shared" si="1013"/>
        <v>1</v>
      </c>
      <c r="P594" t="str">
        <f t="shared" si="948"/>
        <v>0, 5, 2, 1</v>
      </c>
    </row>
    <row r="595" spans="1:16" x14ac:dyDescent="0.2">
      <c r="A595">
        <f t="shared" si="1005"/>
        <v>593</v>
      </c>
      <c r="B595" s="1" t="s">
        <v>28</v>
      </c>
      <c r="C595">
        <v>13</v>
      </c>
      <c r="D595">
        <v>-1</v>
      </c>
      <c r="E595">
        <v>5</v>
      </c>
      <c r="F595">
        <v>2</v>
      </c>
      <c r="G595">
        <v>0</v>
      </c>
      <c r="H595">
        <f>_xlfn.XLOOKUP(I595,$B$2:$B$1096,$A$2:$A$1096,65535)</f>
        <v>65535</v>
      </c>
      <c r="J595">
        <f t="shared" ref="J595:K595" si="1014">C595-C635</f>
        <v>1</v>
      </c>
      <c r="K595">
        <f t="shared" si="1014"/>
        <v>-1</v>
      </c>
      <c r="L595">
        <f t="shared" ref="L595:N595" si="1015">E595+E635</f>
        <v>10</v>
      </c>
      <c r="M595">
        <f t="shared" si="1015"/>
        <v>3</v>
      </c>
      <c r="N595">
        <f t="shared" si="1015"/>
        <v>1</v>
      </c>
      <c r="P595" t="str">
        <f t="shared" si="948"/>
        <v>-1, 5, 2, 0</v>
      </c>
    </row>
    <row r="596" spans="1:16" x14ac:dyDescent="0.2">
      <c r="A596">
        <f t="shared" si="1005"/>
        <v>594</v>
      </c>
      <c r="B596" s="1" t="s">
        <v>29</v>
      </c>
      <c r="C596">
        <v>13</v>
      </c>
      <c r="D596">
        <v>-1</v>
      </c>
      <c r="E596">
        <v>5</v>
      </c>
      <c r="F596">
        <v>1</v>
      </c>
      <c r="G596">
        <v>1</v>
      </c>
      <c r="H596">
        <f>_xlfn.XLOOKUP(I596,$B$2:$B$1096,$A$2:$A$1096,65535)</f>
        <v>65535</v>
      </c>
      <c r="J596">
        <f t="shared" ref="J596:K596" si="1016">C596-C636</f>
        <v>1</v>
      </c>
      <c r="K596">
        <f t="shared" si="1016"/>
        <v>1</v>
      </c>
      <c r="L596">
        <f t="shared" ref="L596:N596" si="1017">E596+E636</f>
        <v>10</v>
      </c>
      <c r="M596">
        <f t="shared" si="1017"/>
        <v>2</v>
      </c>
      <c r="N596">
        <f t="shared" si="1017"/>
        <v>1</v>
      </c>
      <c r="P596" t="str">
        <f t="shared" si="948"/>
        <v>-1, 5, 1, 1</v>
      </c>
    </row>
    <row r="597" spans="1:16" x14ac:dyDescent="0.2">
      <c r="A597">
        <f t="shared" si="1005"/>
        <v>595</v>
      </c>
      <c r="B597" s="1" t="s">
        <v>30</v>
      </c>
      <c r="C597">
        <v>13</v>
      </c>
      <c r="D597">
        <v>-2</v>
      </c>
      <c r="E597">
        <v>5</v>
      </c>
      <c r="F597">
        <v>1</v>
      </c>
      <c r="G597">
        <v>0</v>
      </c>
      <c r="H597">
        <f>_xlfn.XLOOKUP(I597,$B$2:$B$1096,$A$2:$A$1096,65535)</f>
        <v>65535</v>
      </c>
      <c r="J597">
        <f t="shared" ref="J597:K597" si="1018">C597-C637</f>
        <v>-1</v>
      </c>
      <c r="K597">
        <f t="shared" si="1018"/>
        <v>1</v>
      </c>
      <c r="L597">
        <f t="shared" ref="L597:N597" si="1019">E597+E637</f>
        <v>10</v>
      </c>
      <c r="M597">
        <f t="shared" si="1019"/>
        <v>2</v>
      </c>
      <c r="N597">
        <f t="shared" si="1019"/>
        <v>1</v>
      </c>
      <c r="P597" t="str">
        <f t="shared" si="948"/>
        <v>-2, 5, 1, 0</v>
      </c>
    </row>
    <row r="598" spans="1:16" x14ac:dyDescent="0.2">
      <c r="A598">
        <f t="shared" si="1005"/>
        <v>596</v>
      </c>
      <c r="B598" s="1" t="s">
        <v>31</v>
      </c>
      <c r="C598">
        <v>13</v>
      </c>
      <c r="D598">
        <v>-4</v>
      </c>
      <c r="E598">
        <v>0</v>
      </c>
      <c r="F598">
        <v>0</v>
      </c>
      <c r="G598">
        <v>0</v>
      </c>
      <c r="H598">
        <f>_xlfn.XLOOKUP(I598,$B$2:$B$1096,$A$2:$A$1096,65535)</f>
        <v>560</v>
      </c>
      <c r="I598" s="1" t="s">
        <v>112</v>
      </c>
      <c r="J598">
        <f t="shared" ref="J598:K598" si="1020">C598-C638</f>
        <v>0</v>
      </c>
      <c r="K598">
        <f t="shared" si="1020"/>
        <v>0</v>
      </c>
      <c r="L598">
        <f t="shared" ref="L598:N598" si="1021">E598+E638</f>
        <v>0</v>
      </c>
      <c r="M598">
        <f t="shared" si="1021"/>
        <v>0</v>
      </c>
      <c r="N598">
        <f t="shared" si="1021"/>
        <v>0</v>
      </c>
      <c r="P598" t="str">
        <f t="shared" si="948"/>
        <v>-4, 0, 0, 0</v>
      </c>
    </row>
    <row r="599" spans="1:16" x14ac:dyDescent="0.2">
      <c r="A599">
        <f t="shared" si="1005"/>
        <v>597</v>
      </c>
      <c r="B599" s="1" t="s">
        <v>32</v>
      </c>
      <c r="C599">
        <v>13</v>
      </c>
      <c r="D599">
        <v>-4</v>
      </c>
      <c r="E599">
        <v>0</v>
      </c>
      <c r="F599">
        <v>0</v>
      </c>
      <c r="G599">
        <v>0</v>
      </c>
      <c r="H599">
        <f>_xlfn.XLOOKUP(I599,$B$2:$B$1096,$A$2:$A$1096,65535)</f>
        <v>65535</v>
      </c>
      <c r="J599">
        <f t="shared" ref="J599:K599" si="1022">C599-C639</f>
        <v>1</v>
      </c>
      <c r="K599">
        <f t="shared" si="1022"/>
        <v>-4</v>
      </c>
      <c r="L599">
        <f t="shared" ref="L599:N599" si="1023">E599+E639</f>
        <v>5</v>
      </c>
      <c r="M599">
        <f t="shared" si="1023"/>
        <v>0</v>
      </c>
      <c r="N599">
        <f t="shared" si="1023"/>
        <v>1</v>
      </c>
      <c r="P599" t="str">
        <f t="shared" si="948"/>
        <v>-4, 0, 0, 0</v>
      </c>
    </row>
    <row r="600" spans="1:16" x14ac:dyDescent="0.2">
      <c r="A600">
        <f t="shared" si="1005"/>
        <v>598</v>
      </c>
      <c r="B600" s="1" t="s">
        <v>33</v>
      </c>
      <c r="C600">
        <v>13</v>
      </c>
      <c r="D600">
        <v>-4</v>
      </c>
      <c r="E600">
        <v>0</v>
      </c>
      <c r="F600">
        <v>0</v>
      </c>
      <c r="G600">
        <v>0</v>
      </c>
      <c r="H600">
        <f>_xlfn.XLOOKUP(I600,$B$2:$B$1096,$A$2:$A$1096,65535)</f>
        <v>560</v>
      </c>
      <c r="I600" s="1" t="s">
        <v>112</v>
      </c>
      <c r="J600">
        <f t="shared" ref="J600:K600" si="1024">C600-C640</f>
        <v>1</v>
      </c>
      <c r="K600">
        <f t="shared" si="1024"/>
        <v>-8</v>
      </c>
      <c r="L600">
        <f t="shared" ref="L600:N600" si="1025">E600+E640</f>
        <v>5</v>
      </c>
      <c r="M600">
        <f t="shared" si="1025"/>
        <v>2</v>
      </c>
      <c r="N600">
        <f t="shared" si="1025"/>
        <v>0</v>
      </c>
      <c r="P600" t="str">
        <f t="shared" si="948"/>
        <v>-4, 0, 0, 0</v>
      </c>
    </row>
    <row r="601" spans="1:16" x14ac:dyDescent="0.2">
      <c r="A601">
        <f t="shared" si="1005"/>
        <v>599</v>
      </c>
      <c r="B601" s="1" t="s">
        <v>38</v>
      </c>
      <c r="C601">
        <v>13</v>
      </c>
      <c r="D601">
        <v>-4</v>
      </c>
      <c r="E601">
        <v>0</v>
      </c>
      <c r="F601">
        <v>0</v>
      </c>
      <c r="G601">
        <v>0</v>
      </c>
      <c r="H601">
        <f>_xlfn.XLOOKUP(I601,$B$2:$B$1096,$A$2:$A$1096,65535)</f>
        <v>65535</v>
      </c>
      <c r="J601">
        <f t="shared" ref="J601:K601" si="1026">C601-C641</f>
        <v>1</v>
      </c>
      <c r="K601">
        <f t="shared" si="1026"/>
        <v>-7</v>
      </c>
      <c r="L601">
        <f t="shared" ref="L601:N601" si="1027">E601+E641</f>
        <v>5</v>
      </c>
      <c r="M601">
        <f t="shared" si="1027"/>
        <v>2</v>
      </c>
      <c r="N601">
        <f t="shared" si="1027"/>
        <v>1</v>
      </c>
      <c r="P601" t="str">
        <f t="shared" si="948"/>
        <v>-4, 0, 0, 0</v>
      </c>
    </row>
    <row r="602" spans="1:16" x14ac:dyDescent="0.2">
      <c r="A602">
        <f t="shared" si="1005"/>
        <v>600</v>
      </c>
      <c r="B602" s="1" t="s">
        <v>41</v>
      </c>
      <c r="C602">
        <v>13</v>
      </c>
      <c r="D602">
        <v>-4</v>
      </c>
      <c r="E602">
        <v>0</v>
      </c>
      <c r="F602">
        <v>0</v>
      </c>
      <c r="G602">
        <v>0</v>
      </c>
      <c r="H602">
        <f>_xlfn.XLOOKUP(I602,$B$2:$B$1096,$A$2:$A$1096,65535)</f>
        <v>65535</v>
      </c>
      <c r="J602">
        <f t="shared" ref="J602:K602" si="1028">C602-C642</f>
        <v>1</v>
      </c>
      <c r="K602">
        <f t="shared" si="1028"/>
        <v>-6</v>
      </c>
      <c r="L602">
        <f t="shared" ref="L602:N602" si="1029">E602+E642</f>
        <v>5</v>
      </c>
      <c r="M602">
        <f t="shared" si="1029"/>
        <v>2</v>
      </c>
      <c r="N602">
        <f t="shared" si="1029"/>
        <v>0</v>
      </c>
      <c r="P602" t="str">
        <f t="shared" si="948"/>
        <v>-4, 0, 0, 0</v>
      </c>
    </row>
    <row r="603" spans="1:16" x14ac:dyDescent="0.2">
      <c r="A603">
        <f t="shared" si="1005"/>
        <v>601</v>
      </c>
      <c r="B603" s="1" t="s">
        <v>40</v>
      </c>
      <c r="C603">
        <v>15</v>
      </c>
      <c r="D603">
        <v>0</v>
      </c>
      <c r="E603">
        <v>0</v>
      </c>
      <c r="F603">
        <v>0</v>
      </c>
      <c r="G603">
        <v>0</v>
      </c>
      <c r="H603">
        <f>_xlfn.XLOOKUP(I603,$B$2:$B$1096,$A$2:$A$1096,65535)</f>
        <v>65535</v>
      </c>
      <c r="J603">
        <f t="shared" ref="J603:K603" si="1030">C603-C643</f>
        <v>3</v>
      </c>
      <c r="K603">
        <f t="shared" si="1030"/>
        <v>0</v>
      </c>
      <c r="L603">
        <f t="shared" ref="L603:N603" si="1031">E603+E643</f>
        <v>5</v>
      </c>
      <c r="M603">
        <f t="shared" si="1031"/>
        <v>2</v>
      </c>
      <c r="N603">
        <f t="shared" si="1031"/>
        <v>1</v>
      </c>
      <c r="P603" t="str">
        <f t="shared" si="948"/>
        <v>0, 0, 0, 0</v>
      </c>
    </row>
    <row r="604" spans="1:16" x14ac:dyDescent="0.2">
      <c r="A604">
        <f t="shared" si="1005"/>
        <v>602</v>
      </c>
      <c r="B604" s="1" t="s">
        <v>39</v>
      </c>
      <c r="C604">
        <v>13</v>
      </c>
      <c r="D604">
        <v>0</v>
      </c>
      <c r="E604">
        <v>0</v>
      </c>
      <c r="F604">
        <v>0</v>
      </c>
      <c r="G604">
        <v>0</v>
      </c>
      <c r="H604">
        <f>_xlfn.XLOOKUP(I604,$B$2:$B$1096,$A$2:$A$1096,65535)</f>
        <v>65535</v>
      </c>
      <c r="J604">
        <f t="shared" ref="J604:K607" si="1032">C604-C644</f>
        <v>1</v>
      </c>
      <c r="K604">
        <f t="shared" si="1032"/>
        <v>2</v>
      </c>
      <c r="L604">
        <f t="shared" ref="L604:N607" si="1033">E604+E644</f>
        <v>5</v>
      </c>
      <c r="M604">
        <f t="shared" si="1033"/>
        <v>2</v>
      </c>
      <c r="N604">
        <f t="shared" si="1033"/>
        <v>0</v>
      </c>
      <c r="P604" t="str">
        <f t="shared" si="948"/>
        <v>0, 0, 0, 0</v>
      </c>
    </row>
    <row r="605" spans="1:16" x14ac:dyDescent="0.2">
      <c r="A605">
        <f t="shared" si="1005"/>
        <v>603</v>
      </c>
      <c r="B605" s="1" t="s">
        <v>1074</v>
      </c>
      <c r="C605">
        <v>13</v>
      </c>
      <c r="D605">
        <v>-4</v>
      </c>
      <c r="E605">
        <v>0</v>
      </c>
      <c r="F605">
        <v>0</v>
      </c>
      <c r="G605">
        <v>0</v>
      </c>
      <c r="H605">
        <f>_xlfn.XLOOKUP(I605,$B$2:$B$1096,$A$2:$A$1096,65535)</f>
        <v>65535</v>
      </c>
      <c r="J605">
        <f t="shared" si="1032"/>
        <v>-1</v>
      </c>
      <c r="K605">
        <f t="shared" si="1032"/>
        <v>-1</v>
      </c>
      <c r="L605">
        <f t="shared" si="1033"/>
        <v>5</v>
      </c>
      <c r="M605">
        <f t="shared" si="1033"/>
        <v>2</v>
      </c>
      <c r="N605">
        <f t="shared" si="1033"/>
        <v>1</v>
      </c>
      <c r="P605" t="str">
        <f t="shared" si="948"/>
        <v>-4, 0, 0, 0</v>
      </c>
    </row>
    <row r="606" spans="1:16" x14ac:dyDescent="0.2">
      <c r="A606">
        <f t="shared" si="1005"/>
        <v>604</v>
      </c>
      <c r="B606" s="1" t="s">
        <v>1075</v>
      </c>
      <c r="C606">
        <v>13</v>
      </c>
      <c r="D606">
        <v>-4</v>
      </c>
      <c r="E606">
        <v>0</v>
      </c>
      <c r="F606">
        <v>0</v>
      </c>
      <c r="G606">
        <v>0</v>
      </c>
      <c r="H606">
        <f>_xlfn.XLOOKUP(I606,$B$2:$B$1096,$A$2:$A$1096,65535)</f>
        <v>65535</v>
      </c>
      <c r="J606">
        <f t="shared" si="1032"/>
        <v>0</v>
      </c>
      <c r="K606">
        <f t="shared" si="1032"/>
        <v>0</v>
      </c>
      <c r="L606">
        <f t="shared" si="1033"/>
        <v>5</v>
      </c>
      <c r="M606">
        <f t="shared" si="1033"/>
        <v>2</v>
      </c>
      <c r="N606">
        <f t="shared" si="1033"/>
        <v>0</v>
      </c>
      <c r="P606" t="str">
        <f t="shared" si="948"/>
        <v>-4, 0, 0, 0</v>
      </c>
    </row>
    <row r="607" spans="1:16" x14ac:dyDescent="0.2">
      <c r="A607">
        <f t="shared" si="1005"/>
        <v>605</v>
      </c>
      <c r="B607" s="1" t="s">
        <v>1076</v>
      </c>
      <c r="C607">
        <v>15</v>
      </c>
      <c r="D607">
        <v>0</v>
      </c>
      <c r="E607">
        <v>0</v>
      </c>
      <c r="F607">
        <v>0</v>
      </c>
      <c r="G607">
        <v>0</v>
      </c>
      <c r="H607">
        <f>_xlfn.XLOOKUP(I607,$B$2:$B$1096,$A$2:$A$1096,65535)</f>
        <v>65535</v>
      </c>
      <c r="J607">
        <f t="shared" si="1032"/>
        <v>3</v>
      </c>
      <c r="K607">
        <f t="shared" si="1032"/>
        <v>0</v>
      </c>
      <c r="L607">
        <f t="shared" si="1033"/>
        <v>5</v>
      </c>
      <c r="M607">
        <f t="shared" si="1033"/>
        <v>2</v>
      </c>
      <c r="N607">
        <f t="shared" si="1033"/>
        <v>1</v>
      </c>
      <c r="P607" t="str">
        <f t="shared" si="948"/>
        <v>0, 0, 0, 0</v>
      </c>
    </row>
    <row r="608" spans="1:16" x14ac:dyDescent="0.2">
      <c r="A608">
        <f t="shared" si="1005"/>
        <v>606</v>
      </c>
      <c r="B608" s="1" t="s">
        <v>1077</v>
      </c>
      <c r="C608">
        <v>13</v>
      </c>
      <c r="D608">
        <v>0</v>
      </c>
      <c r="E608">
        <v>0</v>
      </c>
      <c r="F608">
        <v>0</v>
      </c>
      <c r="G608">
        <v>0</v>
      </c>
      <c r="H608">
        <f>_xlfn.XLOOKUP(I608,$B$2:$B$1096,$A$2:$A$1096,65535)</f>
        <v>65535</v>
      </c>
      <c r="J608">
        <f t="shared" ref="J608" si="1034">C608-C648</f>
        <v>1</v>
      </c>
      <c r="K608">
        <f t="shared" ref="K608" si="1035">D608-D648</f>
        <v>-2</v>
      </c>
      <c r="L608">
        <f t="shared" ref="L608" si="1036">E608+E648</f>
        <v>5</v>
      </c>
      <c r="M608">
        <f t="shared" ref="M608" si="1037">F608+F648</f>
        <v>2</v>
      </c>
      <c r="N608">
        <f t="shared" ref="N608" si="1038">G608+G648</f>
        <v>0</v>
      </c>
      <c r="P608" t="str">
        <f t="shared" si="948"/>
        <v>0, 0, 0, 0</v>
      </c>
    </row>
    <row r="609" spans="1:16" x14ac:dyDescent="0.2">
      <c r="A609">
        <f t="shared" si="1005"/>
        <v>607</v>
      </c>
      <c r="B609" s="1" t="s">
        <v>115</v>
      </c>
      <c r="C609">
        <v>13</v>
      </c>
      <c r="D609">
        <v>0</v>
      </c>
      <c r="E609">
        <v>0</v>
      </c>
      <c r="F609">
        <v>0</v>
      </c>
      <c r="G609">
        <v>0</v>
      </c>
      <c r="H609">
        <f>_xlfn.XLOOKUP(I609,$B$2:$B$1096,$A$2:$A$1096,65535)</f>
        <v>65535</v>
      </c>
      <c r="J609">
        <f t="shared" ref="J609:K609" si="1039">C609-C645</f>
        <v>-1</v>
      </c>
      <c r="K609">
        <f t="shared" si="1039"/>
        <v>3</v>
      </c>
      <c r="L609">
        <f t="shared" ref="L609:N609" si="1040">E609+E645</f>
        <v>5</v>
      </c>
      <c r="M609">
        <f t="shared" si="1040"/>
        <v>2</v>
      </c>
      <c r="N609">
        <f t="shared" si="1040"/>
        <v>1</v>
      </c>
      <c r="P609" t="str">
        <f t="shared" si="948"/>
        <v>0, 0, 0, 0</v>
      </c>
    </row>
    <row r="610" spans="1:16" x14ac:dyDescent="0.2">
      <c r="A610">
        <f t="shared" si="1005"/>
        <v>608</v>
      </c>
      <c r="B610" s="1" t="s">
        <v>116</v>
      </c>
      <c r="C610">
        <v>13</v>
      </c>
      <c r="D610">
        <v>4</v>
      </c>
      <c r="E610">
        <v>0</v>
      </c>
      <c r="F610">
        <v>0</v>
      </c>
      <c r="G610">
        <v>0</v>
      </c>
      <c r="H610">
        <f>_xlfn.XLOOKUP(I610,$B$2:$B$1096,$A$2:$A$1096,65535)</f>
        <v>65535</v>
      </c>
      <c r="J610">
        <f t="shared" ref="J610:K610" si="1041">C610-C646</f>
        <v>0</v>
      </c>
      <c r="K610">
        <f t="shared" si="1041"/>
        <v>8</v>
      </c>
      <c r="L610">
        <f t="shared" ref="L610:N610" si="1042">E610+E646</f>
        <v>5</v>
      </c>
      <c r="M610">
        <f t="shared" si="1042"/>
        <v>2</v>
      </c>
      <c r="N610">
        <f t="shared" si="1042"/>
        <v>0</v>
      </c>
      <c r="P610" t="str">
        <f t="shared" si="948"/>
        <v>4, 0, 0, 0</v>
      </c>
    </row>
    <row r="611" spans="1:16" x14ac:dyDescent="0.2">
      <c r="A611">
        <f t="shared" si="1005"/>
        <v>609</v>
      </c>
      <c r="B611" s="1" t="s">
        <v>117</v>
      </c>
      <c r="C611">
        <v>13</v>
      </c>
      <c r="D611">
        <v>3</v>
      </c>
      <c r="E611">
        <v>0</v>
      </c>
      <c r="F611">
        <v>0</v>
      </c>
      <c r="G611">
        <v>0</v>
      </c>
      <c r="H611">
        <f>_xlfn.XLOOKUP(I611,$B$2:$B$1096,$A$2:$A$1096,65535)</f>
        <v>65535</v>
      </c>
      <c r="J611">
        <f t="shared" ref="J611:K611" si="1043">C611-C647</f>
        <v>1</v>
      </c>
      <c r="K611">
        <f t="shared" si="1043"/>
        <v>3</v>
      </c>
      <c r="L611">
        <f t="shared" ref="L611:N611" si="1044">E611+E647</f>
        <v>5</v>
      </c>
      <c r="M611">
        <f t="shared" si="1044"/>
        <v>2</v>
      </c>
      <c r="N611">
        <f t="shared" si="1044"/>
        <v>1</v>
      </c>
      <c r="P611" t="str">
        <f t="shared" si="948"/>
        <v>3, 0, 0, 0</v>
      </c>
    </row>
    <row r="612" spans="1:16" x14ac:dyDescent="0.2">
      <c r="A612">
        <f t="shared" si="1005"/>
        <v>610</v>
      </c>
      <c r="B612" s="1" t="s">
        <v>118</v>
      </c>
      <c r="C612">
        <v>13</v>
      </c>
      <c r="D612">
        <v>2</v>
      </c>
      <c r="E612">
        <v>0</v>
      </c>
      <c r="F612">
        <v>0</v>
      </c>
      <c r="G612">
        <v>0</v>
      </c>
      <c r="H612">
        <f>_xlfn.XLOOKUP(I612,$B$2:$B$1096,$A$2:$A$1096,65535)</f>
        <v>65535</v>
      </c>
      <c r="J612">
        <f t="shared" ref="J612:K612" si="1045">C612-C648</f>
        <v>1</v>
      </c>
      <c r="K612">
        <f t="shared" si="1045"/>
        <v>0</v>
      </c>
      <c r="L612">
        <f t="shared" ref="L612:N612" si="1046">E612+E648</f>
        <v>5</v>
      </c>
      <c r="M612">
        <f t="shared" si="1046"/>
        <v>2</v>
      </c>
      <c r="N612">
        <f t="shared" si="1046"/>
        <v>0</v>
      </c>
      <c r="P612" t="str">
        <f t="shared" si="948"/>
        <v>2, 0, 0, 0</v>
      </c>
    </row>
    <row r="613" spans="1:16" x14ac:dyDescent="0.2">
      <c r="A613">
        <f t="shared" si="1005"/>
        <v>611</v>
      </c>
      <c r="B613" s="1" t="s">
        <v>119</v>
      </c>
      <c r="C613">
        <v>13</v>
      </c>
      <c r="D613">
        <v>-2</v>
      </c>
      <c r="E613">
        <v>0</v>
      </c>
      <c r="F613">
        <v>0</v>
      </c>
      <c r="G613">
        <v>0</v>
      </c>
      <c r="H613">
        <f>_xlfn.XLOOKUP(I613,$B$2:$B$1096,$A$2:$A$1096,65535)</f>
        <v>65535</v>
      </c>
      <c r="J613">
        <f t="shared" ref="J613:K613" si="1047">C613-C649</f>
        <v>1</v>
      </c>
      <c r="K613">
        <f t="shared" si="1047"/>
        <v>-4</v>
      </c>
      <c r="L613">
        <f t="shared" ref="L613:N613" si="1048">E613+E649</f>
        <v>5</v>
      </c>
      <c r="M613">
        <f t="shared" si="1048"/>
        <v>2</v>
      </c>
      <c r="N613">
        <f t="shared" si="1048"/>
        <v>1</v>
      </c>
      <c r="P613" t="str">
        <f t="shared" si="948"/>
        <v>-2, 0, 0, 0</v>
      </c>
    </row>
    <row r="614" spans="1:16" x14ac:dyDescent="0.2">
      <c r="A614">
        <f t="shared" si="1005"/>
        <v>612</v>
      </c>
      <c r="B614" s="1" t="s">
        <v>120</v>
      </c>
      <c r="C614">
        <v>14</v>
      </c>
      <c r="D614">
        <v>-3</v>
      </c>
      <c r="E614">
        <v>0</v>
      </c>
      <c r="F614">
        <v>0</v>
      </c>
      <c r="G614">
        <v>0</v>
      </c>
      <c r="H614">
        <f>_xlfn.XLOOKUP(I614,$B$2:$B$1096,$A$2:$A$1096,65535)</f>
        <v>65535</v>
      </c>
      <c r="J614">
        <f t="shared" ref="J614:K614" si="1049">C614-C650</f>
        <v>2</v>
      </c>
      <c r="K614">
        <f t="shared" si="1049"/>
        <v>-4</v>
      </c>
      <c r="L614">
        <f t="shared" ref="L614:N614" si="1050">E614+E650</f>
        <v>5</v>
      </c>
      <c r="M614">
        <f t="shared" si="1050"/>
        <v>2</v>
      </c>
      <c r="N614">
        <f t="shared" si="1050"/>
        <v>0</v>
      </c>
      <c r="P614" t="str">
        <f t="shared" si="948"/>
        <v>-3, 0, 0, 0</v>
      </c>
    </row>
    <row r="615" spans="1:16" x14ac:dyDescent="0.2">
      <c r="A615">
        <f t="shared" si="1005"/>
        <v>613</v>
      </c>
      <c r="B615" s="1" t="s">
        <v>121</v>
      </c>
      <c r="C615">
        <v>13</v>
      </c>
      <c r="D615">
        <v>-4</v>
      </c>
      <c r="E615">
        <v>0</v>
      </c>
      <c r="F615">
        <v>0</v>
      </c>
      <c r="G615">
        <v>0</v>
      </c>
      <c r="H615">
        <f>_xlfn.XLOOKUP(I615,$B$2:$B$1096,$A$2:$A$1096,65535)</f>
        <v>65535</v>
      </c>
      <c r="J615">
        <f t="shared" ref="J615:K615" si="1051">C615-C651</f>
        <v>1</v>
      </c>
      <c r="K615">
        <f t="shared" si="1051"/>
        <v>-5</v>
      </c>
      <c r="L615">
        <f t="shared" ref="L615:N615" si="1052">E615+E651</f>
        <v>5</v>
      </c>
      <c r="M615">
        <f t="shared" si="1052"/>
        <v>3</v>
      </c>
      <c r="N615">
        <f t="shared" si="1052"/>
        <v>1</v>
      </c>
      <c r="P615" t="str">
        <f t="shared" si="948"/>
        <v>-4, 0, 0, 0</v>
      </c>
    </row>
    <row r="616" spans="1:16" x14ac:dyDescent="0.2">
      <c r="A616">
        <f t="shared" si="1005"/>
        <v>614</v>
      </c>
      <c r="B616" s="1" t="s">
        <v>193</v>
      </c>
      <c r="C616">
        <v>13</v>
      </c>
      <c r="D616">
        <v>1</v>
      </c>
      <c r="E616">
        <v>0</v>
      </c>
      <c r="F616">
        <v>0</v>
      </c>
      <c r="G616">
        <v>0</v>
      </c>
      <c r="H616">
        <f>_xlfn.XLOOKUP(I616,$B$2:$B$1096,$A$2:$A$1096,65535)</f>
        <v>65535</v>
      </c>
      <c r="J616">
        <f t="shared" ref="J616:K616" si="1053">C616-C652</f>
        <v>1</v>
      </c>
      <c r="K616">
        <f t="shared" si="1053"/>
        <v>1</v>
      </c>
      <c r="L616">
        <f t="shared" ref="L616:N616" si="1054">E616+E652</f>
        <v>5</v>
      </c>
      <c r="M616">
        <f t="shared" si="1054"/>
        <v>3</v>
      </c>
      <c r="N616">
        <f t="shared" si="1054"/>
        <v>0</v>
      </c>
      <c r="P616" t="str">
        <f t="shared" si="948"/>
        <v>1, 0, 0, 0</v>
      </c>
    </row>
    <row r="617" spans="1:16" x14ac:dyDescent="0.2">
      <c r="A617">
        <f t="shared" si="1005"/>
        <v>615</v>
      </c>
      <c r="B617" s="1" t="s">
        <v>194</v>
      </c>
      <c r="C617">
        <v>15</v>
      </c>
      <c r="D617">
        <v>0</v>
      </c>
      <c r="E617">
        <v>0</v>
      </c>
      <c r="F617">
        <v>0</v>
      </c>
      <c r="G617">
        <v>0</v>
      </c>
      <c r="H617">
        <f>_xlfn.XLOOKUP(I617,$B$2:$B$1096,$A$2:$A$1096,65535)</f>
        <v>65535</v>
      </c>
      <c r="J617">
        <f t="shared" ref="J617:K617" si="1055">C617-C653</f>
        <v>3</v>
      </c>
      <c r="K617">
        <f t="shared" si="1055"/>
        <v>0</v>
      </c>
      <c r="L617">
        <f t="shared" ref="L617:N617" si="1056">E617+E653</f>
        <v>5</v>
      </c>
      <c r="M617">
        <f t="shared" si="1056"/>
        <v>2</v>
      </c>
      <c r="N617">
        <f t="shared" si="1056"/>
        <v>1</v>
      </c>
      <c r="P617" t="str">
        <f t="shared" si="948"/>
        <v>0, 0, 0, 0</v>
      </c>
    </row>
    <row r="618" spans="1:16" x14ac:dyDescent="0.2">
      <c r="A618">
        <f t="shared" si="1005"/>
        <v>616</v>
      </c>
      <c r="B618" s="1" t="s">
        <v>195</v>
      </c>
      <c r="C618">
        <v>13</v>
      </c>
      <c r="D618">
        <v>-1</v>
      </c>
      <c r="E618">
        <v>0</v>
      </c>
      <c r="F618">
        <v>0</v>
      </c>
      <c r="G618">
        <v>0</v>
      </c>
      <c r="H618">
        <f>_xlfn.XLOOKUP(I618,$B$2:$B$1096,$A$2:$A$1096,65535)</f>
        <v>65535</v>
      </c>
      <c r="J618">
        <f t="shared" ref="J618:K618" si="1057">C618-C654</f>
        <v>1</v>
      </c>
      <c r="K618">
        <f t="shared" si="1057"/>
        <v>0</v>
      </c>
      <c r="L618">
        <f t="shared" ref="L618:N618" si="1058">E618+E654</f>
        <v>5</v>
      </c>
      <c r="M618">
        <f t="shared" si="1058"/>
        <v>2</v>
      </c>
      <c r="N618">
        <f t="shared" si="1058"/>
        <v>0</v>
      </c>
      <c r="P618" t="str">
        <f t="shared" si="948"/>
        <v>-1, 0, 0, 0</v>
      </c>
    </row>
    <row r="619" spans="1:16" x14ac:dyDescent="0.2">
      <c r="A619">
        <f t="shared" si="1005"/>
        <v>617</v>
      </c>
      <c r="B619" s="1" t="s">
        <v>122</v>
      </c>
      <c r="C619">
        <v>12</v>
      </c>
      <c r="D619" s="3">
        <v>4</v>
      </c>
      <c r="E619">
        <v>0</v>
      </c>
      <c r="F619">
        <v>0</v>
      </c>
      <c r="G619">
        <v>0</v>
      </c>
      <c r="H619">
        <f>_xlfn.XLOOKUP(I619,$B$2:$B$1096,$A$2:$A$1096,65535)</f>
        <v>65535</v>
      </c>
      <c r="J619">
        <f t="shared" ref="J619:K619" si="1059">C619-C655</f>
        <v>0</v>
      </c>
      <c r="K619">
        <f t="shared" si="1059"/>
        <v>5</v>
      </c>
      <c r="L619">
        <f t="shared" ref="L619:N619" si="1060">E619+E655</f>
        <v>5</v>
      </c>
      <c r="M619">
        <f t="shared" si="1060"/>
        <v>2</v>
      </c>
      <c r="N619">
        <f t="shared" si="1060"/>
        <v>1</v>
      </c>
      <c r="P619" t="str">
        <f t="shared" si="948"/>
        <v>4, 0, 0, 0</v>
      </c>
    </row>
    <row r="620" spans="1:16" x14ac:dyDescent="0.2">
      <c r="A620">
        <f t="shared" si="1005"/>
        <v>618</v>
      </c>
      <c r="B620" s="1" t="s">
        <v>123</v>
      </c>
      <c r="C620">
        <v>12</v>
      </c>
      <c r="D620">
        <v>3</v>
      </c>
      <c r="E620">
        <v>0</v>
      </c>
      <c r="F620">
        <v>0</v>
      </c>
      <c r="G620">
        <v>0</v>
      </c>
      <c r="H620">
        <f>_xlfn.XLOOKUP(I620,$B$2:$B$1096,$A$2:$A$1096,65535)</f>
        <v>65535</v>
      </c>
      <c r="J620">
        <f t="shared" ref="J620:K620" si="1061">C620-C656</f>
        <v>-2</v>
      </c>
      <c r="K620">
        <f t="shared" si="1061"/>
        <v>5</v>
      </c>
      <c r="L620">
        <f t="shared" ref="L620:N620" si="1062">E620+E656</f>
        <v>5</v>
      </c>
      <c r="M620">
        <f t="shared" si="1062"/>
        <v>2</v>
      </c>
      <c r="N620">
        <f t="shared" si="1062"/>
        <v>0</v>
      </c>
      <c r="P620" t="str">
        <f t="shared" si="948"/>
        <v>3, 0, 0, 0</v>
      </c>
    </row>
    <row r="621" spans="1:16" x14ac:dyDescent="0.2">
      <c r="A621">
        <f t="shared" si="1005"/>
        <v>619</v>
      </c>
      <c r="B621" s="1" t="s">
        <v>124</v>
      </c>
      <c r="C621">
        <v>12</v>
      </c>
      <c r="D621">
        <v>2</v>
      </c>
      <c r="E621">
        <v>0</v>
      </c>
      <c r="F621">
        <v>0</v>
      </c>
      <c r="G621">
        <v>0</v>
      </c>
      <c r="H621">
        <f>_xlfn.XLOOKUP(I621,$B$2:$B$1096,$A$2:$A$1096,65535)</f>
        <v>65535</v>
      </c>
      <c r="J621">
        <f t="shared" ref="J621:K621" si="1063">C621-C657</f>
        <v>-1</v>
      </c>
      <c r="K621">
        <f t="shared" si="1063"/>
        <v>4</v>
      </c>
      <c r="L621">
        <f t="shared" ref="L621:N621" si="1064">E621+E657</f>
        <v>5</v>
      </c>
      <c r="M621">
        <f t="shared" si="1064"/>
        <v>2</v>
      </c>
      <c r="N621">
        <f t="shared" si="1064"/>
        <v>1</v>
      </c>
      <c r="P621" t="str">
        <f t="shared" si="948"/>
        <v>2, 0, 0, 0</v>
      </c>
    </row>
    <row r="622" spans="1:16" x14ac:dyDescent="0.2">
      <c r="A622">
        <f t="shared" si="1005"/>
        <v>620</v>
      </c>
      <c r="B622" s="1" t="s">
        <v>125</v>
      </c>
      <c r="C622">
        <v>12</v>
      </c>
      <c r="D622">
        <v>1</v>
      </c>
      <c r="E622">
        <v>0</v>
      </c>
      <c r="F622">
        <v>0</v>
      </c>
      <c r="G622">
        <v>0</v>
      </c>
      <c r="H622">
        <f>_xlfn.XLOOKUP(I622,$B$2:$B$1096,$A$2:$A$1096,65535)</f>
        <v>65535</v>
      </c>
      <c r="J622">
        <f t="shared" ref="J622:K622" si="1065">C622-C669</f>
        <v>0</v>
      </c>
      <c r="K622">
        <f t="shared" si="1065"/>
        <v>1</v>
      </c>
      <c r="L622">
        <f t="shared" ref="L622:N622" si="1066">E622+E669</f>
        <v>5</v>
      </c>
      <c r="M622">
        <f t="shared" si="1066"/>
        <v>2</v>
      </c>
      <c r="N622">
        <f t="shared" si="1066"/>
        <v>1</v>
      </c>
      <c r="P622" t="str">
        <f t="shared" si="948"/>
        <v>1, 0, 0, 0</v>
      </c>
    </row>
    <row r="623" spans="1:16" x14ac:dyDescent="0.2">
      <c r="A623">
        <f t="shared" si="1005"/>
        <v>621</v>
      </c>
      <c r="B623" s="1" t="s">
        <v>126</v>
      </c>
      <c r="C623">
        <v>13</v>
      </c>
      <c r="D623">
        <v>-1</v>
      </c>
      <c r="E623">
        <v>0</v>
      </c>
      <c r="F623">
        <v>0</v>
      </c>
      <c r="G623">
        <v>0</v>
      </c>
      <c r="H623">
        <f>_xlfn.XLOOKUP(I623,$B$2:$B$1096,$A$2:$A$1096,65535)</f>
        <v>65535</v>
      </c>
      <c r="J623">
        <f t="shared" ref="J623:K623" si="1067">C623-C670</f>
        <v>1</v>
      </c>
      <c r="K623">
        <f t="shared" si="1067"/>
        <v>-3</v>
      </c>
      <c r="L623">
        <f t="shared" ref="L623:N623" si="1068">E623+E670</f>
        <v>5</v>
      </c>
      <c r="M623">
        <f t="shared" si="1068"/>
        <v>2</v>
      </c>
      <c r="N623">
        <f t="shared" si="1068"/>
        <v>0</v>
      </c>
      <c r="P623" t="str">
        <f t="shared" si="948"/>
        <v>-1, 0, 0, 0</v>
      </c>
    </row>
    <row r="624" spans="1:16" x14ac:dyDescent="0.2">
      <c r="A624">
        <f t="shared" si="1005"/>
        <v>622</v>
      </c>
      <c r="B624" s="1" t="s">
        <v>127</v>
      </c>
      <c r="C624">
        <v>13</v>
      </c>
      <c r="D624">
        <v>-1</v>
      </c>
      <c r="E624">
        <v>0</v>
      </c>
      <c r="F624">
        <v>0</v>
      </c>
      <c r="G624">
        <v>0</v>
      </c>
      <c r="H624">
        <f>_xlfn.XLOOKUP(I624,$B$2:$B$1096,$A$2:$A$1096,65535)</f>
        <v>560</v>
      </c>
      <c r="I624" s="1" t="s">
        <v>112</v>
      </c>
      <c r="J624">
        <f t="shared" ref="J624:K624" si="1069">C624-C671</f>
        <v>1</v>
      </c>
      <c r="K624">
        <f t="shared" si="1069"/>
        <v>-2</v>
      </c>
      <c r="L624">
        <f t="shared" ref="L624:N624" si="1070">E624+E671</f>
        <v>5</v>
      </c>
      <c r="M624">
        <f t="shared" si="1070"/>
        <v>2</v>
      </c>
      <c r="N624">
        <f t="shared" si="1070"/>
        <v>1</v>
      </c>
      <c r="P624" t="str">
        <f t="shared" si="948"/>
        <v>-1, 0, 0, 0</v>
      </c>
    </row>
    <row r="625" spans="1:16" x14ac:dyDescent="0.2">
      <c r="A625">
        <f t="shared" si="1005"/>
        <v>623</v>
      </c>
      <c r="B625" s="1" t="s">
        <v>6</v>
      </c>
      <c r="C625">
        <v>12</v>
      </c>
      <c r="D625">
        <v>3</v>
      </c>
      <c r="E625">
        <v>0</v>
      </c>
      <c r="F625">
        <v>0</v>
      </c>
      <c r="G625">
        <v>0</v>
      </c>
      <c r="H625">
        <f>_xlfn.XLOOKUP(I625,$B$2:$B$1096,$A$2:$A$1096,65535)</f>
        <v>65535</v>
      </c>
      <c r="J625">
        <f t="shared" ref="J625:K625" si="1071">C625-C672</f>
        <v>0</v>
      </c>
      <c r="K625">
        <f t="shared" si="1071"/>
        <v>3</v>
      </c>
      <c r="L625">
        <f t="shared" ref="L625:N625" si="1072">E625+E672</f>
        <v>5</v>
      </c>
      <c r="M625">
        <f t="shared" si="1072"/>
        <v>2</v>
      </c>
      <c r="N625">
        <f t="shared" si="1072"/>
        <v>0</v>
      </c>
      <c r="P625" t="str">
        <f t="shared" si="948"/>
        <v>3, 0, 0, 0</v>
      </c>
    </row>
    <row r="626" spans="1:16" x14ac:dyDescent="0.2">
      <c r="A626">
        <f t="shared" si="1005"/>
        <v>624</v>
      </c>
      <c r="B626" s="1" t="s">
        <v>13</v>
      </c>
      <c r="C626">
        <v>12</v>
      </c>
      <c r="D626">
        <v>3</v>
      </c>
      <c r="E626">
        <v>0</v>
      </c>
      <c r="F626">
        <v>0</v>
      </c>
      <c r="G626">
        <v>0</v>
      </c>
      <c r="H626">
        <f>_xlfn.XLOOKUP(I626,$B$2:$B$1096,$A$2:$A$1096,65535)</f>
        <v>65535</v>
      </c>
      <c r="J626">
        <f t="shared" ref="J626:K626" si="1073">C626-C673</f>
        <v>0</v>
      </c>
      <c r="K626">
        <f t="shared" si="1073"/>
        <v>4</v>
      </c>
      <c r="L626">
        <f t="shared" ref="L626:N626" si="1074">E626+E673</f>
        <v>5</v>
      </c>
      <c r="M626">
        <f t="shared" si="1074"/>
        <v>3</v>
      </c>
      <c r="N626">
        <f t="shared" si="1074"/>
        <v>1</v>
      </c>
      <c r="P626" t="str">
        <f t="shared" ref="P626:P700" si="1075">_xlfn.CONCAT(D626,", ",E626,", ",F626,", ",G626)</f>
        <v>3, 0, 0, 0</v>
      </c>
    </row>
    <row r="627" spans="1:16" x14ac:dyDescent="0.2">
      <c r="A627">
        <f t="shared" si="1005"/>
        <v>625</v>
      </c>
      <c r="B627" s="1" t="s">
        <v>14</v>
      </c>
      <c r="C627">
        <v>12</v>
      </c>
      <c r="D627">
        <v>2</v>
      </c>
      <c r="E627">
        <v>5</v>
      </c>
      <c r="F627">
        <v>2</v>
      </c>
      <c r="G627">
        <v>0</v>
      </c>
      <c r="H627">
        <f>_xlfn.XLOOKUP(I627,$B$2:$B$1096,$A$2:$A$1096,65535)</f>
        <v>65535</v>
      </c>
      <c r="J627">
        <f t="shared" ref="J627:K627" si="1076">C627-C674</f>
        <v>0</v>
      </c>
      <c r="K627">
        <f t="shared" si="1076"/>
        <v>3</v>
      </c>
      <c r="L627">
        <f t="shared" ref="L627:N627" si="1077">E627+E674</f>
        <v>10</v>
      </c>
      <c r="M627">
        <f t="shared" si="1077"/>
        <v>5</v>
      </c>
      <c r="N627">
        <f t="shared" si="1077"/>
        <v>0</v>
      </c>
      <c r="P627" t="str">
        <f t="shared" si="1075"/>
        <v>2, 5, 2, 0</v>
      </c>
    </row>
    <row r="628" spans="1:16" x14ac:dyDescent="0.2">
      <c r="A628">
        <f t="shared" si="1005"/>
        <v>626</v>
      </c>
      <c r="B628" s="1" t="s">
        <v>15</v>
      </c>
      <c r="C628">
        <v>12</v>
      </c>
      <c r="D628">
        <v>1</v>
      </c>
      <c r="E628">
        <v>5</v>
      </c>
      <c r="F628">
        <v>2</v>
      </c>
      <c r="G628">
        <v>1</v>
      </c>
      <c r="H628">
        <f>_xlfn.XLOOKUP(I628,$B$2:$B$1096,$A$2:$A$1096,65535)</f>
        <v>65535</v>
      </c>
      <c r="J628">
        <f t="shared" ref="J628:K628" si="1078">C628-C675</f>
        <v>0</v>
      </c>
      <c r="K628">
        <f t="shared" si="1078"/>
        <v>3</v>
      </c>
      <c r="L628">
        <f t="shared" ref="L628:N628" si="1079">E628+E675</f>
        <v>10</v>
      </c>
      <c r="M628">
        <f t="shared" si="1079"/>
        <v>4</v>
      </c>
      <c r="N628">
        <f t="shared" si="1079"/>
        <v>2</v>
      </c>
      <c r="P628" t="str">
        <f t="shared" si="1075"/>
        <v>1, 5, 2, 1</v>
      </c>
    </row>
    <row r="629" spans="1:16" x14ac:dyDescent="0.2">
      <c r="A629">
        <f t="shared" si="1005"/>
        <v>627</v>
      </c>
      <c r="B629" s="1" t="s">
        <v>16</v>
      </c>
      <c r="C629">
        <v>12</v>
      </c>
      <c r="D629">
        <v>0</v>
      </c>
      <c r="E629">
        <v>5</v>
      </c>
      <c r="F629">
        <v>2</v>
      </c>
      <c r="G629">
        <v>0</v>
      </c>
      <c r="H629">
        <f>_xlfn.XLOOKUP(I629,$B$2:$B$1096,$A$2:$A$1096,65535)</f>
        <v>65535</v>
      </c>
      <c r="J629">
        <f t="shared" ref="J629:K629" si="1080">C629-C676</f>
        <v>0</v>
      </c>
      <c r="K629">
        <f t="shared" si="1080"/>
        <v>3</v>
      </c>
      <c r="L629">
        <f t="shared" ref="L629:N629" si="1081">E629+E676</f>
        <v>10</v>
      </c>
      <c r="M629">
        <f t="shared" si="1081"/>
        <v>4</v>
      </c>
      <c r="N629">
        <f t="shared" si="1081"/>
        <v>0</v>
      </c>
      <c r="P629" t="str">
        <f t="shared" si="1075"/>
        <v>0, 5, 2, 0</v>
      </c>
    </row>
    <row r="630" spans="1:16" x14ac:dyDescent="0.2">
      <c r="A630">
        <f t="shared" si="1005"/>
        <v>628</v>
      </c>
      <c r="B630" s="1" t="s">
        <v>17</v>
      </c>
      <c r="C630">
        <v>13</v>
      </c>
      <c r="D630">
        <v>-1</v>
      </c>
      <c r="E630">
        <v>5</v>
      </c>
      <c r="F630">
        <v>2</v>
      </c>
      <c r="G630">
        <v>1</v>
      </c>
      <c r="H630">
        <f>_xlfn.XLOOKUP(I630,$B$2:$B$1096,$A$2:$A$1096,65535)</f>
        <v>560</v>
      </c>
      <c r="I630" s="1" t="s">
        <v>112</v>
      </c>
      <c r="J630">
        <f t="shared" ref="J630:K630" si="1082">C630-C677</f>
        <v>0</v>
      </c>
      <c r="K630">
        <f t="shared" si="1082"/>
        <v>3</v>
      </c>
      <c r="L630">
        <f t="shared" ref="L630:N630" si="1083">E630+E677</f>
        <v>10</v>
      </c>
      <c r="M630">
        <f t="shared" si="1083"/>
        <v>4</v>
      </c>
      <c r="N630">
        <f t="shared" si="1083"/>
        <v>2</v>
      </c>
      <c r="P630" t="str">
        <f t="shared" si="1075"/>
        <v>-1, 5, 2, 1</v>
      </c>
    </row>
    <row r="631" spans="1:16" x14ac:dyDescent="0.2">
      <c r="A631">
        <f t="shared" si="1005"/>
        <v>629</v>
      </c>
      <c r="B631" s="1" t="s">
        <v>128</v>
      </c>
      <c r="C631">
        <v>12</v>
      </c>
      <c r="D631">
        <v>0</v>
      </c>
      <c r="E631">
        <v>5</v>
      </c>
      <c r="F631">
        <v>0</v>
      </c>
      <c r="G631">
        <v>1</v>
      </c>
      <c r="H631">
        <f>_xlfn.XLOOKUP(I631,$B$2:$B$1096,$A$2:$A$1096,65535)</f>
        <v>65535</v>
      </c>
      <c r="J631">
        <f t="shared" ref="J631:K631" si="1084">C631-C678</f>
        <v>-2</v>
      </c>
      <c r="K631">
        <f t="shared" si="1084"/>
        <v>0</v>
      </c>
      <c r="L631">
        <f t="shared" ref="L631:N631" si="1085">E631+E678</f>
        <v>10</v>
      </c>
      <c r="M631">
        <f t="shared" si="1085"/>
        <v>2</v>
      </c>
      <c r="N631">
        <f t="shared" si="1085"/>
        <v>1</v>
      </c>
      <c r="P631" t="str">
        <f t="shared" si="1075"/>
        <v>0, 5, 0, 1</v>
      </c>
    </row>
    <row r="632" spans="1:16" x14ac:dyDescent="0.2">
      <c r="A632">
        <f t="shared" si="1005"/>
        <v>630</v>
      </c>
      <c r="B632" s="1" t="s">
        <v>129</v>
      </c>
      <c r="C632">
        <v>12</v>
      </c>
      <c r="D632">
        <v>4</v>
      </c>
      <c r="E632">
        <v>5</v>
      </c>
      <c r="F632">
        <v>2</v>
      </c>
      <c r="G632">
        <v>0</v>
      </c>
      <c r="H632">
        <f>_xlfn.XLOOKUP(I632,$B$2:$B$1096,$A$2:$A$1096,65535)</f>
        <v>65535</v>
      </c>
      <c r="J632">
        <f t="shared" ref="J632:K632" si="1086">C632-C679</f>
        <v>0</v>
      </c>
      <c r="K632">
        <f t="shared" si="1086"/>
        <v>4</v>
      </c>
      <c r="L632">
        <f t="shared" ref="L632:N632" si="1087">E632+E679</f>
        <v>10</v>
      </c>
      <c r="M632">
        <f t="shared" si="1087"/>
        <v>4</v>
      </c>
      <c r="N632">
        <f t="shared" si="1087"/>
        <v>1</v>
      </c>
      <c r="P632" t="str">
        <f t="shared" si="1075"/>
        <v>4, 5, 2, 0</v>
      </c>
    </row>
    <row r="633" spans="1:16" x14ac:dyDescent="0.2">
      <c r="A633">
        <f t="shared" si="1005"/>
        <v>631</v>
      </c>
      <c r="B633" s="1" t="s">
        <v>130</v>
      </c>
      <c r="C633">
        <v>12</v>
      </c>
      <c r="D633">
        <v>3</v>
      </c>
      <c r="E633">
        <v>5</v>
      </c>
      <c r="F633">
        <v>1</v>
      </c>
      <c r="G633">
        <v>1</v>
      </c>
      <c r="H633">
        <f>_xlfn.XLOOKUP(I633,$B$2:$B$1096,$A$2:$A$1096,65535)</f>
        <v>65535</v>
      </c>
      <c r="J633">
        <f t="shared" ref="J633:K633" si="1088">C633-C680</f>
        <v>0</v>
      </c>
      <c r="K633">
        <f t="shared" si="1088"/>
        <v>3</v>
      </c>
      <c r="L633">
        <f t="shared" ref="L633:N633" si="1089">E633+E680</f>
        <v>10</v>
      </c>
      <c r="M633">
        <f t="shared" si="1089"/>
        <v>3</v>
      </c>
      <c r="N633">
        <f t="shared" si="1089"/>
        <v>2</v>
      </c>
      <c r="P633" t="str">
        <f t="shared" si="1075"/>
        <v>3, 5, 1, 1</v>
      </c>
    </row>
    <row r="634" spans="1:16" x14ac:dyDescent="0.2">
      <c r="A634">
        <f t="shared" si="1005"/>
        <v>632</v>
      </c>
      <c r="B634" s="1" t="s">
        <v>131</v>
      </c>
      <c r="C634">
        <v>12</v>
      </c>
      <c r="D634">
        <v>2</v>
      </c>
      <c r="E634">
        <v>0</v>
      </c>
      <c r="F634">
        <v>0</v>
      </c>
      <c r="G634">
        <v>0</v>
      </c>
      <c r="H634">
        <f>_xlfn.XLOOKUP(I634,$B$2:$B$1096,$A$2:$A$1096,65535)</f>
        <v>65535</v>
      </c>
      <c r="J634">
        <f t="shared" ref="J634:K634" si="1090">C634-C681</f>
        <v>0</v>
      </c>
      <c r="K634">
        <f t="shared" si="1090"/>
        <v>0</v>
      </c>
      <c r="L634">
        <f t="shared" ref="L634:N634" si="1091">E634+E681</f>
        <v>5</v>
      </c>
      <c r="M634">
        <f t="shared" si="1091"/>
        <v>2</v>
      </c>
      <c r="N634">
        <f t="shared" si="1091"/>
        <v>0</v>
      </c>
      <c r="P634" t="str">
        <f t="shared" si="1075"/>
        <v>2, 0, 0, 0</v>
      </c>
    </row>
    <row r="635" spans="1:16" x14ac:dyDescent="0.2">
      <c r="A635">
        <f t="shared" si="1005"/>
        <v>633</v>
      </c>
      <c r="B635" s="1" t="s">
        <v>132</v>
      </c>
      <c r="C635">
        <v>12</v>
      </c>
      <c r="D635">
        <v>0</v>
      </c>
      <c r="E635">
        <v>5</v>
      </c>
      <c r="F635">
        <v>1</v>
      </c>
      <c r="G635">
        <v>1</v>
      </c>
      <c r="H635">
        <f>_xlfn.XLOOKUP(I635,$B$2:$B$1096,$A$2:$A$1096,65535)</f>
        <v>65535</v>
      </c>
      <c r="J635">
        <f t="shared" ref="J635:K635" si="1092">C635-C682</f>
        <v>0</v>
      </c>
      <c r="K635">
        <f t="shared" si="1092"/>
        <v>-1</v>
      </c>
      <c r="L635">
        <f t="shared" ref="L635:N635" si="1093">E635+E682</f>
        <v>10</v>
      </c>
      <c r="M635">
        <f t="shared" si="1093"/>
        <v>3</v>
      </c>
      <c r="N635">
        <f t="shared" si="1093"/>
        <v>2</v>
      </c>
      <c r="P635" t="str">
        <f t="shared" si="1075"/>
        <v>0, 5, 1, 1</v>
      </c>
    </row>
    <row r="636" spans="1:16" x14ac:dyDescent="0.2">
      <c r="A636">
        <f t="shared" si="1005"/>
        <v>634</v>
      </c>
      <c r="B636" s="1" t="s">
        <v>133</v>
      </c>
      <c r="C636">
        <v>12</v>
      </c>
      <c r="D636">
        <v>-2</v>
      </c>
      <c r="E636">
        <v>5</v>
      </c>
      <c r="F636">
        <v>1</v>
      </c>
      <c r="G636">
        <v>0</v>
      </c>
      <c r="H636">
        <f>_xlfn.XLOOKUP(I636,$B$2:$B$1096,$A$2:$A$1096,65535)</f>
        <v>65535</v>
      </c>
      <c r="J636">
        <f t="shared" ref="J636:K636" si="1094">C636-C683</f>
        <v>0</v>
      </c>
      <c r="K636">
        <f t="shared" si="1094"/>
        <v>-2</v>
      </c>
      <c r="L636">
        <f t="shared" ref="L636:N636" si="1095">E636+E683</f>
        <v>10</v>
      </c>
      <c r="M636">
        <f t="shared" si="1095"/>
        <v>3</v>
      </c>
      <c r="N636">
        <f t="shared" si="1095"/>
        <v>0</v>
      </c>
      <c r="P636" t="str">
        <f t="shared" si="1075"/>
        <v>-2, 5, 1, 0</v>
      </c>
    </row>
    <row r="637" spans="1:16" x14ac:dyDescent="0.2">
      <c r="A637">
        <f t="shared" si="1005"/>
        <v>635</v>
      </c>
      <c r="B637" s="1" t="s">
        <v>134</v>
      </c>
      <c r="C637">
        <v>14</v>
      </c>
      <c r="D637">
        <v>-3</v>
      </c>
      <c r="E637">
        <v>5</v>
      </c>
      <c r="F637">
        <v>1</v>
      </c>
      <c r="G637">
        <v>1</v>
      </c>
      <c r="H637">
        <f>_xlfn.XLOOKUP(I637,$B$2:$B$1096,$A$2:$A$1096,65535)</f>
        <v>65535</v>
      </c>
      <c r="J637">
        <f t="shared" ref="J637:K637" si="1096">C637-C684</f>
        <v>2</v>
      </c>
      <c r="K637">
        <f t="shared" si="1096"/>
        <v>-2</v>
      </c>
      <c r="L637">
        <f t="shared" ref="L637:N637" si="1097">E637+E684</f>
        <v>10</v>
      </c>
      <c r="M637">
        <f t="shared" si="1097"/>
        <v>4</v>
      </c>
      <c r="N637">
        <f t="shared" si="1097"/>
        <v>2</v>
      </c>
      <c r="P637" t="str">
        <f t="shared" si="1075"/>
        <v>-3, 5, 1, 1</v>
      </c>
    </row>
    <row r="638" spans="1:16" x14ac:dyDescent="0.2">
      <c r="A638">
        <f t="shared" si="1005"/>
        <v>636</v>
      </c>
      <c r="B638" s="1" t="s">
        <v>135</v>
      </c>
      <c r="C638">
        <v>13</v>
      </c>
      <c r="D638">
        <v>-4</v>
      </c>
      <c r="E638">
        <v>0</v>
      </c>
      <c r="F638">
        <v>0</v>
      </c>
      <c r="G638">
        <v>0</v>
      </c>
      <c r="H638">
        <f>_xlfn.XLOOKUP(I638,$B$2:$B$1096,$A$2:$A$1096,65535)</f>
        <v>65535</v>
      </c>
      <c r="J638">
        <f t="shared" ref="J638:K638" si="1098">C638-C685</f>
        <v>1</v>
      </c>
      <c r="K638">
        <f t="shared" si="1098"/>
        <v>-3</v>
      </c>
      <c r="L638">
        <f t="shared" ref="L638:N638" si="1099">E638+E685</f>
        <v>5</v>
      </c>
      <c r="M638">
        <f t="shared" si="1099"/>
        <v>3</v>
      </c>
      <c r="N638">
        <f t="shared" si="1099"/>
        <v>0</v>
      </c>
      <c r="P638" t="str">
        <f t="shared" si="1075"/>
        <v>-4, 0, 0, 0</v>
      </c>
    </row>
    <row r="639" spans="1:16" x14ac:dyDescent="0.2">
      <c r="A639">
        <f t="shared" si="1005"/>
        <v>637</v>
      </c>
      <c r="B639" s="1" t="s">
        <v>136</v>
      </c>
      <c r="C639">
        <v>12</v>
      </c>
      <c r="D639" s="2">
        <v>0</v>
      </c>
      <c r="E639">
        <v>5</v>
      </c>
      <c r="F639">
        <v>0</v>
      </c>
      <c r="G639">
        <v>1</v>
      </c>
      <c r="H639">
        <f>_xlfn.XLOOKUP(I639,$B$2:$B$1096,$A$2:$A$1096,65535)</f>
        <v>65535</v>
      </c>
      <c r="J639">
        <f t="shared" ref="J639:K639" si="1100">C639-C686</f>
        <v>0</v>
      </c>
      <c r="K639">
        <f t="shared" si="1100"/>
        <v>2</v>
      </c>
      <c r="L639">
        <f t="shared" ref="L639:N639" si="1101">E639+E686</f>
        <v>10</v>
      </c>
      <c r="M639">
        <f t="shared" si="1101"/>
        <v>2</v>
      </c>
      <c r="N639">
        <f t="shared" si="1101"/>
        <v>2</v>
      </c>
      <c r="P639" t="str">
        <f t="shared" si="1075"/>
        <v>0, 5, 0, 1</v>
      </c>
    </row>
    <row r="640" spans="1:16" x14ac:dyDescent="0.2">
      <c r="A640">
        <f t="shared" si="1005"/>
        <v>638</v>
      </c>
      <c r="B640" s="1" t="s">
        <v>137</v>
      </c>
      <c r="C640">
        <v>12</v>
      </c>
      <c r="D640">
        <v>4</v>
      </c>
      <c r="E640">
        <v>5</v>
      </c>
      <c r="F640">
        <v>2</v>
      </c>
      <c r="G640">
        <v>0</v>
      </c>
      <c r="H640">
        <f>_xlfn.XLOOKUP(I640,$B$2:$B$1096,$A$2:$A$1096,65535)</f>
        <v>65535</v>
      </c>
      <c r="J640">
        <f t="shared" ref="J640:K640" si="1102">C640-C687</f>
        <v>0</v>
      </c>
      <c r="K640">
        <f t="shared" si="1102"/>
        <v>7</v>
      </c>
      <c r="L640">
        <f t="shared" ref="L640:N640" si="1103">E640+E687</f>
        <v>10</v>
      </c>
      <c r="M640">
        <f t="shared" si="1103"/>
        <v>4</v>
      </c>
      <c r="N640">
        <f t="shared" si="1103"/>
        <v>0</v>
      </c>
      <c r="P640" t="str">
        <f t="shared" si="1075"/>
        <v>4, 5, 2, 0</v>
      </c>
    </row>
    <row r="641" spans="1:16" x14ac:dyDescent="0.2">
      <c r="A641">
        <f t="shared" si="1005"/>
        <v>639</v>
      </c>
      <c r="B641" s="1" t="s">
        <v>138</v>
      </c>
      <c r="C641">
        <v>12</v>
      </c>
      <c r="D641">
        <v>3</v>
      </c>
      <c r="E641">
        <v>5</v>
      </c>
      <c r="F641">
        <v>2</v>
      </c>
      <c r="G641">
        <v>1</v>
      </c>
      <c r="H641">
        <f>_xlfn.XLOOKUP(I641,$B$2:$B$1096,$A$2:$A$1096,65535)</f>
        <v>65535</v>
      </c>
      <c r="J641">
        <f t="shared" ref="J641:K641" si="1104">C641-C688</f>
        <v>0</v>
      </c>
      <c r="K641">
        <f t="shared" si="1104"/>
        <v>7</v>
      </c>
      <c r="L641">
        <f t="shared" ref="L641:N641" si="1105">E641+E688</f>
        <v>10</v>
      </c>
      <c r="M641">
        <f t="shared" si="1105"/>
        <v>4</v>
      </c>
      <c r="N641">
        <f t="shared" si="1105"/>
        <v>2</v>
      </c>
      <c r="P641" t="str">
        <f t="shared" si="1075"/>
        <v>3, 5, 2, 1</v>
      </c>
    </row>
    <row r="642" spans="1:16" x14ac:dyDescent="0.2">
      <c r="A642">
        <f t="shared" si="1005"/>
        <v>640</v>
      </c>
      <c r="B642" s="1" t="s">
        <v>139</v>
      </c>
      <c r="C642">
        <v>12</v>
      </c>
      <c r="D642">
        <v>2</v>
      </c>
      <c r="E642">
        <v>5</v>
      </c>
      <c r="F642">
        <v>2</v>
      </c>
      <c r="G642">
        <v>0</v>
      </c>
      <c r="H642">
        <f>_xlfn.XLOOKUP(I642,$B$2:$B$1096,$A$2:$A$1096,65535)</f>
        <v>65535</v>
      </c>
      <c r="J642">
        <f t="shared" ref="J642:K642" si="1106">C642-C689</f>
        <v>-2</v>
      </c>
      <c r="K642">
        <f t="shared" si="1106"/>
        <v>6</v>
      </c>
      <c r="L642">
        <f t="shared" ref="L642:N642" si="1107">E642+E689</f>
        <v>10</v>
      </c>
      <c r="M642">
        <f t="shared" si="1107"/>
        <v>4</v>
      </c>
      <c r="N642">
        <f t="shared" si="1107"/>
        <v>0</v>
      </c>
      <c r="P642" t="str">
        <f t="shared" si="1075"/>
        <v>2, 5, 2, 0</v>
      </c>
    </row>
    <row r="643" spans="1:16" x14ac:dyDescent="0.2">
      <c r="A643">
        <f t="shared" si="1005"/>
        <v>641</v>
      </c>
      <c r="B643" s="1" t="s">
        <v>140</v>
      </c>
      <c r="C643">
        <v>12</v>
      </c>
      <c r="D643">
        <v>0</v>
      </c>
      <c r="E643">
        <v>5</v>
      </c>
      <c r="F643">
        <v>2</v>
      </c>
      <c r="G643">
        <v>1</v>
      </c>
      <c r="H643">
        <f>_xlfn.XLOOKUP(I643,$B$2:$B$1096,$A$2:$A$1096,65535)</f>
        <v>65535</v>
      </c>
      <c r="J643">
        <f t="shared" ref="J643:K643" si="1108">C643-C690</f>
        <v>-1</v>
      </c>
      <c r="K643">
        <f t="shared" si="1108"/>
        <v>4</v>
      </c>
      <c r="L643">
        <f t="shared" ref="L643:N643" si="1109">E643+E690</f>
        <v>10</v>
      </c>
      <c r="M643">
        <f t="shared" si="1109"/>
        <v>4</v>
      </c>
      <c r="N643">
        <f t="shared" si="1109"/>
        <v>2</v>
      </c>
      <c r="P643" t="str">
        <f t="shared" si="1075"/>
        <v>0, 5, 2, 1</v>
      </c>
    </row>
    <row r="644" spans="1:16" x14ac:dyDescent="0.2">
      <c r="A644">
        <f t="shared" si="1005"/>
        <v>642</v>
      </c>
      <c r="B644" s="1" t="s">
        <v>141</v>
      </c>
      <c r="C644">
        <v>12</v>
      </c>
      <c r="D644">
        <v>-2</v>
      </c>
      <c r="E644">
        <v>5</v>
      </c>
      <c r="F644">
        <v>2</v>
      </c>
      <c r="G644">
        <v>0</v>
      </c>
      <c r="H644">
        <f>_xlfn.XLOOKUP(I644,$B$2:$B$1096,$A$2:$A$1096,65535)</f>
        <v>65535</v>
      </c>
      <c r="J644">
        <f t="shared" ref="J644:K644" si="1110">C644-C691</f>
        <v>0</v>
      </c>
      <c r="K644">
        <f t="shared" si="1110"/>
        <v>-2</v>
      </c>
      <c r="L644">
        <f t="shared" ref="L644:N644" si="1111">E644+E691</f>
        <v>10</v>
      </c>
      <c r="M644">
        <f t="shared" si="1111"/>
        <v>4</v>
      </c>
      <c r="N644">
        <f t="shared" si="1111"/>
        <v>0</v>
      </c>
      <c r="P644" t="str">
        <f t="shared" si="1075"/>
        <v>-2, 5, 2, 0</v>
      </c>
    </row>
    <row r="645" spans="1:16" x14ac:dyDescent="0.2">
      <c r="A645">
        <f t="shared" si="1005"/>
        <v>643</v>
      </c>
      <c r="B645" s="1" t="s">
        <v>142</v>
      </c>
      <c r="C645">
        <v>14</v>
      </c>
      <c r="D645">
        <v>-3</v>
      </c>
      <c r="E645">
        <v>5</v>
      </c>
      <c r="F645">
        <v>2</v>
      </c>
      <c r="G645">
        <v>1</v>
      </c>
      <c r="H645">
        <f>_xlfn.XLOOKUP(I645,$B$2:$B$1096,$A$2:$A$1096,65535)</f>
        <v>65535</v>
      </c>
      <c r="J645">
        <f t="shared" ref="J645:K645" si="1112">C645-C692</f>
        <v>2</v>
      </c>
      <c r="K645">
        <f t="shared" si="1112"/>
        <v>-7</v>
      </c>
      <c r="L645">
        <f t="shared" ref="L645:N645" si="1113">E645+E692</f>
        <v>10</v>
      </c>
      <c r="M645">
        <f t="shared" si="1113"/>
        <v>4</v>
      </c>
      <c r="N645">
        <f t="shared" si="1113"/>
        <v>1</v>
      </c>
      <c r="P645" t="str">
        <f t="shared" si="1075"/>
        <v>-3, 5, 2, 1</v>
      </c>
    </row>
    <row r="646" spans="1:16" x14ac:dyDescent="0.2">
      <c r="A646">
        <f t="shared" si="1005"/>
        <v>644</v>
      </c>
      <c r="B646" s="1" t="s">
        <v>143</v>
      </c>
      <c r="C646">
        <v>13</v>
      </c>
      <c r="D646">
        <v>-4</v>
      </c>
      <c r="E646">
        <v>5</v>
      </c>
      <c r="F646">
        <v>2</v>
      </c>
      <c r="G646">
        <v>0</v>
      </c>
      <c r="H646">
        <f>_xlfn.XLOOKUP(I646,$B$2:$B$1096,$A$2:$A$1096,65535)</f>
        <v>65535</v>
      </c>
      <c r="J646">
        <f t="shared" ref="J646:K646" si="1114">C646-C693</f>
        <v>1</v>
      </c>
      <c r="K646">
        <f t="shared" si="1114"/>
        <v>-7</v>
      </c>
      <c r="L646">
        <f t="shared" ref="L646:N646" si="1115">E646+E693</f>
        <v>10</v>
      </c>
      <c r="M646">
        <f t="shared" si="1115"/>
        <v>3</v>
      </c>
      <c r="N646">
        <f t="shared" si="1115"/>
        <v>1</v>
      </c>
      <c r="P646" t="str">
        <f t="shared" si="1075"/>
        <v>-4, 5, 2, 0</v>
      </c>
    </row>
    <row r="647" spans="1:16" s="7" customFormat="1" x14ac:dyDescent="0.2">
      <c r="A647">
        <f t="shared" si="1005"/>
        <v>645</v>
      </c>
      <c r="B647" s="5" t="s">
        <v>278</v>
      </c>
      <c r="C647" s="7">
        <v>12</v>
      </c>
      <c r="D647" s="7">
        <v>0</v>
      </c>
      <c r="E647" s="7">
        <v>5</v>
      </c>
      <c r="F647" s="7">
        <v>2</v>
      </c>
      <c r="G647" s="7">
        <v>1</v>
      </c>
      <c r="H647">
        <f>_xlfn.XLOOKUP(I647,$B$2:$B$1096,$A$2:$A$1096,65535)</f>
        <v>65535</v>
      </c>
      <c r="J647">
        <f t="shared" ref="J647:K647" si="1116">C647-C694</f>
        <v>-2</v>
      </c>
      <c r="K647">
        <f t="shared" si="1116"/>
        <v>-2</v>
      </c>
      <c r="L647">
        <f t="shared" ref="L647:N647" si="1117">E647+E694</f>
        <v>10</v>
      </c>
      <c r="M647">
        <f t="shared" si="1117"/>
        <v>3</v>
      </c>
      <c r="N647">
        <f t="shared" si="1117"/>
        <v>1</v>
      </c>
      <c r="O647"/>
      <c r="P647" t="str">
        <f t="shared" si="1075"/>
        <v>0, 5, 2, 1</v>
      </c>
    </row>
    <row r="648" spans="1:16" s="4" customFormat="1" x14ac:dyDescent="0.2">
      <c r="A648">
        <f t="shared" si="1005"/>
        <v>646</v>
      </c>
      <c r="B648" s="5" t="s">
        <v>279</v>
      </c>
      <c r="C648" s="4">
        <v>12</v>
      </c>
      <c r="D648" s="4">
        <v>2</v>
      </c>
      <c r="E648" s="4">
        <v>5</v>
      </c>
      <c r="F648" s="7">
        <v>2</v>
      </c>
      <c r="G648" s="4">
        <v>0</v>
      </c>
      <c r="H648">
        <f>_xlfn.XLOOKUP(I648,$B$2:$B$1096,$A$2:$A$1096,65535)</f>
        <v>65535</v>
      </c>
      <c r="J648">
        <f t="shared" ref="J648:K648" si="1118">C648-C695</f>
        <v>-1</v>
      </c>
      <c r="K648">
        <f t="shared" si="1118"/>
        <v>3</v>
      </c>
      <c r="L648">
        <f t="shared" ref="L648:N648" si="1119">E648+E695</f>
        <v>5</v>
      </c>
      <c r="M648">
        <f t="shared" si="1119"/>
        <v>2</v>
      </c>
      <c r="N648">
        <f t="shared" si="1119"/>
        <v>0</v>
      </c>
      <c r="O648"/>
      <c r="P648" t="str">
        <f t="shared" si="1075"/>
        <v>2, 5, 2, 0</v>
      </c>
    </row>
    <row r="649" spans="1:16" s="4" customFormat="1" x14ac:dyDescent="0.2">
      <c r="A649">
        <f t="shared" si="1005"/>
        <v>647</v>
      </c>
      <c r="B649" s="5" t="s">
        <v>280</v>
      </c>
      <c r="C649" s="4">
        <v>12</v>
      </c>
      <c r="D649" s="4">
        <v>2</v>
      </c>
      <c r="E649" s="4">
        <v>5</v>
      </c>
      <c r="F649" s="7">
        <v>2</v>
      </c>
      <c r="G649" s="4">
        <v>1</v>
      </c>
      <c r="H649">
        <f>_xlfn.XLOOKUP(I649,$B$2:$B$1096,$A$2:$A$1096,65535)</f>
        <v>65535</v>
      </c>
      <c r="J649">
        <f t="shared" ref="J649:K649" si="1120">C649-C696</f>
        <v>12</v>
      </c>
      <c r="K649">
        <f t="shared" si="1120"/>
        <v>2</v>
      </c>
      <c r="L649">
        <f t="shared" ref="L649:N649" si="1121">E649+E696</f>
        <v>5</v>
      </c>
      <c r="M649">
        <f t="shared" si="1121"/>
        <v>2</v>
      </c>
      <c r="N649">
        <f t="shared" si="1121"/>
        <v>1</v>
      </c>
      <c r="O649"/>
      <c r="P649" t="str">
        <f t="shared" si="1075"/>
        <v>2, 5, 2, 1</v>
      </c>
    </row>
    <row r="650" spans="1:16" s="4" customFormat="1" x14ac:dyDescent="0.2">
      <c r="A650">
        <f t="shared" si="1005"/>
        <v>648</v>
      </c>
      <c r="B650" s="5" t="s">
        <v>281</v>
      </c>
      <c r="C650" s="4">
        <v>12</v>
      </c>
      <c r="D650" s="4">
        <v>1</v>
      </c>
      <c r="E650" s="7">
        <v>5</v>
      </c>
      <c r="F650" s="7">
        <v>2</v>
      </c>
      <c r="G650" s="4">
        <v>0</v>
      </c>
      <c r="H650">
        <f>_xlfn.XLOOKUP(I650,$B$2:$B$1096,$A$2:$A$1096,65535)</f>
        <v>65535</v>
      </c>
      <c r="J650">
        <f t="shared" ref="J650:K650" si="1122">C650-C697</f>
        <v>-21</v>
      </c>
      <c r="K650">
        <f t="shared" si="1122"/>
        <v>-1</v>
      </c>
      <c r="L650">
        <f t="shared" ref="L650:N650" si="1123">E650+E697</f>
        <v>5</v>
      </c>
      <c r="M650">
        <f t="shared" si="1123"/>
        <v>2</v>
      </c>
      <c r="N650">
        <f t="shared" si="1123"/>
        <v>0</v>
      </c>
      <c r="O650"/>
      <c r="P650" t="str">
        <f t="shared" si="1075"/>
        <v>1, 5, 2, 0</v>
      </c>
    </row>
    <row r="651" spans="1:16" s="4" customFormat="1" x14ac:dyDescent="0.2">
      <c r="A651">
        <f t="shared" si="1005"/>
        <v>649</v>
      </c>
      <c r="B651" s="5" t="s">
        <v>282</v>
      </c>
      <c r="C651" s="4">
        <v>12</v>
      </c>
      <c r="D651" s="4">
        <v>1</v>
      </c>
      <c r="E651" s="4">
        <v>5</v>
      </c>
      <c r="F651" s="7">
        <v>3</v>
      </c>
      <c r="G651" s="4">
        <v>1</v>
      </c>
      <c r="H651">
        <f>_xlfn.XLOOKUP(I651,$B$2:$B$1096,$A$2:$A$1096,65535)</f>
        <v>65535</v>
      </c>
      <c r="J651">
        <f t="shared" ref="J651:K651" si="1124">C651-C698</f>
        <v>-20</v>
      </c>
      <c r="K651">
        <f t="shared" si="1124"/>
        <v>-1</v>
      </c>
      <c r="L651">
        <f t="shared" ref="L651:N651" si="1125">E651+E698</f>
        <v>5</v>
      </c>
      <c r="M651">
        <f t="shared" si="1125"/>
        <v>3</v>
      </c>
      <c r="N651">
        <f t="shared" si="1125"/>
        <v>1</v>
      </c>
      <c r="O651"/>
      <c r="P651" t="str">
        <f t="shared" si="1075"/>
        <v>1, 5, 3, 1</v>
      </c>
    </row>
    <row r="652" spans="1:16" s="4" customFormat="1" x14ac:dyDescent="0.2">
      <c r="A652">
        <f t="shared" si="1005"/>
        <v>650</v>
      </c>
      <c r="B652" s="5" t="s">
        <v>283</v>
      </c>
      <c r="C652" s="4">
        <v>12</v>
      </c>
      <c r="D652" s="4">
        <v>0</v>
      </c>
      <c r="E652" s="4">
        <v>5</v>
      </c>
      <c r="F652" s="7">
        <v>3</v>
      </c>
      <c r="G652" s="4">
        <v>0</v>
      </c>
      <c r="H652">
        <f>_xlfn.XLOOKUP(I652,$B$2:$B$1096,$A$2:$A$1096,65535)</f>
        <v>65535</v>
      </c>
      <c r="J652">
        <f t="shared" ref="J652:K652" si="1126">C652-C699</f>
        <v>-22</v>
      </c>
      <c r="K652">
        <f t="shared" si="1126"/>
        <v>0</v>
      </c>
      <c r="L652">
        <f t="shared" ref="L652:N652" si="1127">E652+E699</f>
        <v>10</v>
      </c>
      <c r="M652">
        <f t="shared" si="1127"/>
        <v>5</v>
      </c>
      <c r="N652">
        <f t="shared" si="1127"/>
        <v>0</v>
      </c>
      <c r="O652"/>
      <c r="P652" t="str">
        <f t="shared" si="1075"/>
        <v>0, 5, 3, 0</v>
      </c>
    </row>
    <row r="653" spans="1:16" s="4" customFormat="1" x14ac:dyDescent="0.2">
      <c r="A653">
        <f t="shared" si="1005"/>
        <v>651</v>
      </c>
      <c r="B653" s="5" t="s">
        <v>284</v>
      </c>
      <c r="C653" s="4">
        <v>12</v>
      </c>
      <c r="D653" s="4">
        <v>0</v>
      </c>
      <c r="E653" s="4">
        <v>5</v>
      </c>
      <c r="F653" s="7">
        <v>2</v>
      </c>
      <c r="G653" s="4">
        <v>1</v>
      </c>
      <c r="H653">
        <f>_xlfn.XLOOKUP(I653,$B$2:$B$1096,$A$2:$A$1096,65535)</f>
        <v>65535</v>
      </c>
      <c r="J653">
        <f t="shared" ref="J653:K653" si="1128">C653-C700</f>
        <v>-21</v>
      </c>
      <c r="K653">
        <f t="shared" si="1128"/>
        <v>0</v>
      </c>
      <c r="L653">
        <f t="shared" ref="L653:N653" si="1129">E653+E700</f>
        <v>10</v>
      </c>
      <c r="M653">
        <f t="shared" si="1129"/>
        <v>4</v>
      </c>
      <c r="N653">
        <f t="shared" si="1129"/>
        <v>2</v>
      </c>
      <c r="O653"/>
      <c r="P653" t="str">
        <f t="shared" si="1075"/>
        <v>0, 5, 2, 1</v>
      </c>
    </row>
    <row r="654" spans="1:16" s="4" customFormat="1" x14ac:dyDescent="0.2">
      <c r="A654">
        <f t="shared" si="1005"/>
        <v>652</v>
      </c>
      <c r="B654" s="5" t="s">
        <v>285</v>
      </c>
      <c r="C654" s="4">
        <v>12</v>
      </c>
      <c r="D654" s="4">
        <v>-1</v>
      </c>
      <c r="E654" s="4">
        <v>5</v>
      </c>
      <c r="F654" s="7">
        <v>2</v>
      </c>
      <c r="G654" s="4">
        <v>0</v>
      </c>
      <c r="H654">
        <f>_xlfn.XLOOKUP(I654,$B$2:$B$1096,$A$2:$A$1096,65535)</f>
        <v>65535</v>
      </c>
      <c r="J654">
        <f t="shared" ref="J654:K654" si="1130">C654-C701</f>
        <v>-20</v>
      </c>
      <c r="K654">
        <f t="shared" si="1130"/>
        <v>-1</v>
      </c>
      <c r="L654">
        <f t="shared" ref="L654:N654" si="1131">E654+E701</f>
        <v>10</v>
      </c>
      <c r="M654">
        <f t="shared" si="1131"/>
        <v>4</v>
      </c>
      <c r="N654">
        <f t="shared" si="1131"/>
        <v>0</v>
      </c>
      <c r="O654"/>
      <c r="P654" t="str">
        <f t="shared" si="1075"/>
        <v>-1, 5, 2, 0</v>
      </c>
    </row>
    <row r="655" spans="1:16" s="4" customFormat="1" x14ac:dyDescent="0.2">
      <c r="A655">
        <f t="shared" ref="A655:A718" si="1132">A654+1</f>
        <v>653</v>
      </c>
      <c r="B655" s="5" t="s">
        <v>286</v>
      </c>
      <c r="C655" s="4">
        <v>12</v>
      </c>
      <c r="D655" s="4">
        <v>-1</v>
      </c>
      <c r="E655" s="4">
        <v>5</v>
      </c>
      <c r="F655" s="7">
        <v>2</v>
      </c>
      <c r="G655" s="4">
        <v>1</v>
      </c>
      <c r="H655">
        <f>_xlfn.XLOOKUP(I655,$B$2:$B$1096,$A$2:$A$1096,65535)</f>
        <v>65535</v>
      </c>
      <c r="J655">
        <f t="shared" ref="J655:K655" si="1133">C655-C702</f>
        <v>-22</v>
      </c>
      <c r="K655">
        <f t="shared" si="1133"/>
        <v>-1</v>
      </c>
      <c r="L655">
        <f t="shared" ref="L655:N655" si="1134">E655+E702</f>
        <v>10</v>
      </c>
      <c r="M655">
        <f t="shared" si="1134"/>
        <v>4</v>
      </c>
      <c r="N655">
        <f t="shared" si="1134"/>
        <v>2</v>
      </c>
      <c r="O655"/>
      <c r="P655" t="str">
        <f t="shared" si="1075"/>
        <v>-1, 5, 2, 1</v>
      </c>
    </row>
    <row r="656" spans="1:16" s="4" customFormat="1" x14ac:dyDescent="0.2">
      <c r="A656">
        <f t="shared" si="1132"/>
        <v>654</v>
      </c>
      <c r="B656" s="5" t="s">
        <v>287</v>
      </c>
      <c r="C656" s="4">
        <v>14</v>
      </c>
      <c r="D656" s="4">
        <v>-2</v>
      </c>
      <c r="E656" s="4">
        <v>5</v>
      </c>
      <c r="F656" s="7">
        <v>2</v>
      </c>
      <c r="G656" s="4">
        <v>0</v>
      </c>
      <c r="H656">
        <f>_xlfn.XLOOKUP(I656,$B$2:$B$1096,$A$2:$A$1096,65535)</f>
        <v>65535</v>
      </c>
      <c r="J656">
        <f t="shared" ref="J656:K656" si="1135">C656-C703</f>
        <v>-19</v>
      </c>
      <c r="K656">
        <f t="shared" si="1135"/>
        <v>-2</v>
      </c>
      <c r="L656">
        <f t="shared" ref="L656:N656" si="1136">E656+E703</f>
        <v>10</v>
      </c>
      <c r="M656">
        <f t="shared" si="1136"/>
        <v>4</v>
      </c>
      <c r="N656">
        <f t="shared" si="1136"/>
        <v>1</v>
      </c>
      <c r="O656"/>
      <c r="P656" t="str">
        <f t="shared" si="1075"/>
        <v>-2, 5, 2, 0</v>
      </c>
    </row>
    <row r="657" spans="1:16" s="4" customFormat="1" x14ac:dyDescent="0.2">
      <c r="A657">
        <f t="shared" si="1132"/>
        <v>655</v>
      </c>
      <c r="B657" s="5" t="s">
        <v>288</v>
      </c>
      <c r="C657" s="4">
        <v>13</v>
      </c>
      <c r="D657" s="4">
        <v>-2</v>
      </c>
      <c r="E657" s="7">
        <v>5</v>
      </c>
      <c r="F657" s="7">
        <v>2</v>
      </c>
      <c r="G657" s="4">
        <v>1</v>
      </c>
      <c r="H657">
        <f>_xlfn.XLOOKUP(I657,$B$2:$B$1096,$A$2:$A$1096,65535)</f>
        <v>65535</v>
      </c>
      <c r="J657">
        <f t="shared" ref="J657:K667" si="1137">C657-C704</f>
        <v>-19</v>
      </c>
      <c r="K657">
        <f t="shared" si="1137"/>
        <v>-2</v>
      </c>
      <c r="L657">
        <f t="shared" ref="L657:N667" si="1138">E657+E704</f>
        <v>10</v>
      </c>
      <c r="M657">
        <f t="shared" si="1138"/>
        <v>4</v>
      </c>
      <c r="N657">
        <f t="shared" si="1138"/>
        <v>1</v>
      </c>
      <c r="O657"/>
      <c r="P657" t="str">
        <f t="shared" si="1075"/>
        <v>-2, 5, 2, 1</v>
      </c>
    </row>
    <row r="658" spans="1:16" s="7" customFormat="1" x14ac:dyDescent="0.2">
      <c r="A658">
        <f t="shared" si="1132"/>
        <v>656</v>
      </c>
      <c r="B658" s="5" t="s">
        <v>1218</v>
      </c>
      <c r="C658" s="7">
        <v>12</v>
      </c>
      <c r="D658" s="7">
        <v>0</v>
      </c>
      <c r="E658" s="7">
        <v>5</v>
      </c>
      <c r="F658" s="7">
        <v>2</v>
      </c>
      <c r="G658" s="7">
        <v>1</v>
      </c>
      <c r="H658">
        <f>_xlfn.XLOOKUP(I658,$B$2:$B$1096,$A$2:$A$1096,65535)</f>
        <v>65535</v>
      </c>
      <c r="J658">
        <f t="shared" si="1137"/>
        <v>-22</v>
      </c>
      <c r="K658">
        <f t="shared" si="1137"/>
        <v>0</v>
      </c>
      <c r="L658">
        <f t="shared" si="1138"/>
        <v>10</v>
      </c>
      <c r="M658">
        <f t="shared" si="1138"/>
        <v>4</v>
      </c>
      <c r="N658">
        <f t="shared" si="1138"/>
        <v>2</v>
      </c>
      <c r="O658"/>
      <c r="P658" t="str">
        <f t="shared" ref="P658:P668" si="1139">_xlfn.CONCAT(D658,", ",E658,", ",F658,", ",G658)</f>
        <v>0, 5, 2, 1</v>
      </c>
    </row>
    <row r="659" spans="1:16" s="4" customFormat="1" x14ac:dyDescent="0.2">
      <c r="A659">
        <f t="shared" si="1132"/>
        <v>657</v>
      </c>
      <c r="B659" s="5" t="s">
        <v>1219</v>
      </c>
      <c r="C659" s="4">
        <v>12</v>
      </c>
      <c r="D659" s="4">
        <v>2</v>
      </c>
      <c r="E659" s="4">
        <v>5</v>
      </c>
      <c r="F659" s="7">
        <v>2</v>
      </c>
      <c r="G659" s="4">
        <v>0</v>
      </c>
      <c r="H659">
        <f>_xlfn.XLOOKUP(I659,$B$2:$B$1096,$A$2:$A$1096,65535)</f>
        <v>65535</v>
      </c>
      <c r="J659">
        <f t="shared" si="1137"/>
        <v>-22</v>
      </c>
      <c r="K659">
        <f t="shared" si="1137"/>
        <v>4</v>
      </c>
      <c r="L659">
        <f t="shared" si="1138"/>
        <v>10</v>
      </c>
      <c r="M659">
        <f t="shared" si="1138"/>
        <v>4</v>
      </c>
      <c r="N659">
        <f t="shared" si="1138"/>
        <v>0</v>
      </c>
      <c r="O659"/>
      <c r="P659" t="str">
        <f t="shared" si="1139"/>
        <v>2, 5, 2, 0</v>
      </c>
    </row>
    <row r="660" spans="1:16" s="4" customFormat="1" x14ac:dyDescent="0.2">
      <c r="A660">
        <f t="shared" si="1132"/>
        <v>658</v>
      </c>
      <c r="B660" s="5" t="s">
        <v>1220</v>
      </c>
      <c r="C660" s="4">
        <v>12</v>
      </c>
      <c r="D660" s="4">
        <v>2</v>
      </c>
      <c r="E660" s="4">
        <v>5</v>
      </c>
      <c r="F660" s="7">
        <v>2</v>
      </c>
      <c r="G660" s="4">
        <v>1</v>
      </c>
      <c r="H660">
        <f>_xlfn.XLOOKUP(I660,$B$2:$B$1096,$A$2:$A$1096,65535)</f>
        <v>65535</v>
      </c>
      <c r="J660">
        <f t="shared" si="1137"/>
        <v>-20</v>
      </c>
      <c r="K660">
        <f t="shared" si="1137"/>
        <v>4</v>
      </c>
      <c r="L660">
        <f t="shared" si="1138"/>
        <v>5</v>
      </c>
      <c r="M660">
        <f t="shared" si="1138"/>
        <v>2</v>
      </c>
      <c r="N660">
        <f t="shared" si="1138"/>
        <v>1</v>
      </c>
      <c r="O660"/>
      <c r="P660" t="str">
        <f t="shared" si="1139"/>
        <v>2, 5, 2, 1</v>
      </c>
    </row>
    <row r="661" spans="1:16" s="4" customFormat="1" x14ac:dyDescent="0.2">
      <c r="A661">
        <f t="shared" si="1132"/>
        <v>659</v>
      </c>
      <c r="B661" s="5" t="s">
        <v>1221</v>
      </c>
      <c r="C661" s="4">
        <v>12</v>
      </c>
      <c r="D661" s="4">
        <v>1</v>
      </c>
      <c r="E661" s="7">
        <v>5</v>
      </c>
      <c r="F661" s="7">
        <v>2</v>
      </c>
      <c r="G661" s="4">
        <v>0</v>
      </c>
      <c r="H661">
        <f>_xlfn.XLOOKUP(I661,$B$2:$B$1096,$A$2:$A$1096,65535)</f>
        <v>65535</v>
      </c>
      <c r="J661">
        <f t="shared" si="1137"/>
        <v>12</v>
      </c>
      <c r="K661">
        <f t="shared" si="1137"/>
        <v>1</v>
      </c>
      <c r="L661">
        <f t="shared" si="1138"/>
        <v>5</v>
      </c>
      <c r="M661">
        <f t="shared" si="1138"/>
        <v>2</v>
      </c>
      <c r="N661">
        <f t="shared" si="1138"/>
        <v>0</v>
      </c>
      <c r="O661"/>
      <c r="P661" t="str">
        <f t="shared" si="1139"/>
        <v>1, 5, 2, 0</v>
      </c>
    </row>
    <row r="662" spans="1:16" s="4" customFormat="1" x14ac:dyDescent="0.2">
      <c r="A662">
        <f t="shared" si="1132"/>
        <v>660</v>
      </c>
      <c r="B662" s="5" t="s">
        <v>1222</v>
      </c>
      <c r="C662" s="4">
        <v>12</v>
      </c>
      <c r="D662" s="4">
        <v>0</v>
      </c>
      <c r="E662" s="4">
        <v>5</v>
      </c>
      <c r="F662" s="7">
        <v>3</v>
      </c>
      <c r="G662" s="4">
        <v>1</v>
      </c>
      <c r="H662">
        <f>_xlfn.XLOOKUP(I662,$B$2:$B$1096,$A$2:$A$1096,65535)</f>
        <v>65535</v>
      </c>
      <c r="J662">
        <f t="shared" si="1137"/>
        <v>0</v>
      </c>
      <c r="K662">
        <f t="shared" si="1137"/>
        <v>0</v>
      </c>
      <c r="L662">
        <f t="shared" si="1138"/>
        <v>5</v>
      </c>
      <c r="M662">
        <f t="shared" si="1138"/>
        <v>3</v>
      </c>
      <c r="N662">
        <f t="shared" si="1138"/>
        <v>1</v>
      </c>
      <c r="O662"/>
      <c r="P662" t="str">
        <f t="shared" si="1139"/>
        <v>0, 5, 3, 1</v>
      </c>
    </row>
    <row r="663" spans="1:16" s="4" customFormat="1" x14ac:dyDescent="0.2">
      <c r="A663">
        <f t="shared" si="1132"/>
        <v>661</v>
      </c>
      <c r="B663" s="5" t="s">
        <v>1223</v>
      </c>
      <c r="C663" s="4">
        <v>12</v>
      </c>
      <c r="D663" s="4">
        <v>0</v>
      </c>
      <c r="E663" s="4">
        <v>5</v>
      </c>
      <c r="F663" s="7">
        <v>3</v>
      </c>
      <c r="G663" s="4">
        <v>0</v>
      </c>
      <c r="H663">
        <f>_xlfn.XLOOKUP(I663,$B$2:$B$1096,$A$2:$A$1096,65535)</f>
        <v>65535</v>
      </c>
      <c r="J663">
        <f t="shared" si="1137"/>
        <v>0</v>
      </c>
      <c r="K663">
        <f t="shared" si="1137"/>
        <v>-4</v>
      </c>
      <c r="L663">
        <f t="shared" si="1138"/>
        <v>5</v>
      </c>
      <c r="M663">
        <f t="shared" si="1138"/>
        <v>3</v>
      </c>
      <c r="N663">
        <f t="shared" si="1138"/>
        <v>0</v>
      </c>
      <c r="O663"/>
      <c r="P663" t="str">
        <f t="shared" si="1139"/>
        <v>0, 5, 3, 0</v>
      </c>
    </row>
    <row r="664" spans="1:16" s="4" customFormat="1" x14ac:dyDescent="0.2">
      <c r="A664">
        <f t="shared" si="1132"/>
        <v>662</v>
      </c>
      <c r="B664" s="5" t="s">
        <v>1224</v>
      </c>
      <c r="C664" s="4">
        <v>12</v>
      </c>
      <c r="D664" s="4">
        <v>-1</v>
      </c>
      <c r="E664" s="4">
        <v>5</v>
      </c>
      <c r="F664" s="7">
        <v>2</v>
      </c>
      <c r="G664" s="4">
        <v>1</v>
      </c>
      <c r="H664">
        <f>_xlfn.XLOOKUP(I664,$B$2:$B$1096,$A$2:$A$1096,65535)</f>
        <v>65535</v>
      </c>
      <c r="J664">
        <f t="shared" si="1137"/>
        <v>-22</v>
      </c>
      <c r="K664">
        <f t="shared" si="1137"/>
        <v>0</v>
      </c>
      <c r="L664">
        <f t="shared" si="1138"/>
        <v>5</v>
      </c>
      <c r="M664">
        <f t="shared" si="1138"/>
        <v>2</v>
      </c>
      <c r="N664">
        <f t="shared" si="1138"/>
        <v>1</v>
      </c>
      <c r="O664"/>
      <c r="P664" t="str">
        <f t="shared" si="1139"/>
        <v>-1, 5, 2, 1</v>
      </c>
    </row>
    <row r="665" spans="1:16" s="4" customFormat="1" x14ac:dyDescent="0.2">
      <c r="A665">
        <f t="shared" si="1132"/>
        <v>663</v>
      </c>
      <c r="B665" s="5" t="s">
        <v>1225</v>
      </c>
      <c r="C665" s="4">
        <v>12</v>
      </c>
      <c r="D665" s="4">
        <v>-2</v>
      </c>
      <c r="E665" s="4">
        <v>5</v>
      </c>
      <c r="F665" s="7">
        <v>2</v>
      </c>
      <c r="G665" s="4">
        <v>0</v>
      </c>
      <c r="H665">
        <f>_xlfn.XLOOKUP(I665,$B$2:$B$1096,$A$2:$A$1096,65535)</f>
        <v>65535</v>
      </c>
      <c r="J665">
        <f t="shared" si="1137"/>
        <v>-22</v>
      </c>
      <c r="K665">
        <f t="shared" si="1137"/>
        <v>-3</v>
      </c>
      <c r="L665">
        <f t="shared" si="1138"/>
        <v>5</v>
      </c>
      <c r="M665">
        <f t="shared" si="1138"/>
        <v>2</v>
      </c>
      <c r="N665">
        <f t="shared" si="1138"/>
        <v>0</v>
      </c>
      <c r="O665"/>
      <c r="P665" t="str">
        <f t="shared" si="1139"/>
        <v>-2, 5, 2, 0</v>
      </c>
    </row>
    <row r="666" spans="1:16" s="4" customFormat="1" x14ac:dyDescent="0.2">
      <c r="A666">
        <f t="shared" si="1132"/>
        <v>664</v>
      </c>
      <c r="B666" s="5" t="s">
        <v>1226</v>
      </c>
      <c r="C666" s="4">
        <v>12</v>
      </c>
      <c r="D666" s="4">
        <v>-2</v>
      </c>
      <c r="E666" s="4">
        <v>5</v>
      </c>
      <c r="F666" s="7">
        <v>2</v>
      </c>
      <c r="G666" s="4">
        <v>1</v>
      </c>
      <c r="H666">
        <f>_xlfn.XLOOKUP(I666,$B$2:$B$1096,$A$2:$A$1096,65535)</f>
        <v>65535</v>
      </c>
      <c r="J666">
        <f t="shared" si="1137"/>
        <v>-22</v>
      </c>
      <c r="K666">
        <f t="shared" si="1137"/>
        <v>-4</v>
      </c>
      <c r="L666">
        <f t="shared" si="1138"/>
        <v>5</v>
      </c>
      <c r="M666">
        <f t="shared" si="1138"/>
        <v>2</v>
      </c>
      <c r="N666">
        <f t="shared" si="1138"/>
        <v>1</v>
      </c>
      <c r="O666"/>
      <c r="P666" t="str">
        <f t="shared" si="1139"/>
        <v>-2, 5, 2, 1</v>
      </c>
    </row>
    <row r="667" spans="1:16" s="4" customFormat="1" x14ac:dyDescent="0.2">
      <c r="A667">
        <f t="shared" si="1132"/>
        <v>665</v>
      </c>
      <c r="B667" s="5" t="s">
        <v>1227</v>
      </c>
      <c r="C667" s="4">
        <v>14</v>
      </c>
      <c r="D667" s="4">
        <v>-4</v>
      </c>
      <c r="E667" s="4">
        <v>5</v>
      </c>
      <c r="F667" s="7">
        <v>2</v>
      </c>
      <c r="G667" s="4">
        <v>0</v>
      </c>
      <c r="H667">
        <f>_xlfn.XLOOKUP(I667,$B$2:$B$1096,$A$2:$A$1096,65535)</f>
        <v>65535</v>
      </c>
      <c r="J667">
        <f t="shared" si="1137"/>
        <v>-20</v>
      </c>
      <c r="K667">
        <f t="shared" si="1137"/>
        <v>-5</v>
      </c>
      <c r="L667">
        <f t="shared" si="1138"/>
        <v>5</v>
      </c>
      <c r="M667">
        <f t="shared" si="1138"/>
        <v>2</v>
      </c>
      <c r="N667">
        <f t="shared" si="1138"/>
        <v>0</v>
      </c>
      <c r="O667"/>
      <c r="P667" t="str">
        <f t="shared" si="1139"/>
        <v>-4, 5, 2, 0</v>
      </c>
    </row>
    <row r="668" spans="1:16" s="4" customFormat="1" x14ac:dyDescent="0.2">
      <c r="A668">
        <f t="shared" si="1132"/>
        <v>666</v>
      </c>
      <c r="B668" s="5" t="s">
        <v>1228</v>
      </c>
      <c r="C668" s="4">
        <v>13</v>
      </c>
      <c r="D668" s="4">
        <v>-4</v>
      </c>
      <c r="E668" s="7">
        <v>5</v>
      </c>
      <c r="F668" s="7">
        <v>2</v>
      </c>
      <c r="G668" s="4">
        <v>1</v>
      </c>
      <c r="H668">
        <f>_xlfn.XLOOKUP(I668,$B$2:$B$1096,$A$2:$A$1096,65535)</f>
        <v>65535</v>
      </c>
      <c r="J668">
        <f t="shared" ref="J668" si="1140">C668-C715</f>
        <v>-21</v>
      </c>
      <c r="K668">
        <f t="shared" ref="K668" si="1141">D668-D715</f>
        <v>-4</v>
      </c>
      <c r="L668">
        <f t="shared" ref="L668" si="1142">E668+E715</f>
        <v>5</v>
      </c>
      <c r="M668">
        <f t="shared" ref="M668" si="1143">F668+F715</f>
        <v>2</v>
      </c>
      <c r="N668">
        <f t="shared" ref="N668" si="1144">G668+G715</f>
        <v>1</v>
      </c>
      <c r="O668"/>
      <c r="P668" t="str">
        <f t="shared" si="1139"/>
        <v>-4, 5, 2, 1</v>
      </c>
    </row>
    <row r="669" spans="1:16" s="2" customFormat="1" x14ac:dyDescent="0.2">
      <c r="A669">
        <f t="shared" si="1132"/>
        <v>667</v>
      </c>
      <c r="B669" s="1" t="s">
        <v>289</v>
      </c>
      <c r="C669" s="2">
        <v>12</v>
      </c>
      <c r="D669" s="2">
        <v>0</v>
      </c>
      <c r="E669" s="2">
        <v>5</v>
      </c>
      <c r="F669" s="2">
        <v>2</v>
      </c>
      <c r="G669" s="2">
        <v>1</v>
      </c>
      <c r="H669">
        <f>_xlfn.XLOOKUP(I669,$B$2:$B$1096,$A$2:$A$1096,65535)</f>
        <v>65535</v>
      </c>
      <c r="J669">
        <f t="shared" ref="J669:K669" si="1145">C669-C705</f>
        <v>-22</v>
      </c>
      <c r="K669">
        <f t="shared" si="1145"/>
        <v>0</v>
      </c>
      <c r="L669">
        <f t="shared" ref="L669:N669" si="1146">E669+E705</f>
        <v>10</v>
      </c>
      <c r="M669">
        <f t="shared" si="1146"/>
        <v>4</v>
      </c>
      <c r="N669">
        <f t="shared" si="1146"/>
        <v>2</v>
      </c>
      <c r="O669"/>
      <c r="P669" t="str">
        <f t="shared" si="1075"/>
        <v>0, 5, 2, 1</v>
      </c>
    </row>
    <row r="670" spans="1:16" x14ac:dyDescent="0.2">
      <c r="A670">
        <f t="shared" si="1132"/>
        <v>668</v>
      </c>
      <c r="B670" s="1" t="s">
        <v>290</v>
      </c>
      <c r="C670">
        <v>12</v>
      </c>
      <c r="D670">
        <v>2</v>
      </c>
      <c r="E670">
        <v>5</v>
      </c>
      <c r="F670" s="2">
        <v>2</v>
      </c>
      <c r="G670">
        <v>0</v>
      </c>
      <c r="H670">
        <f>_xlfn.XLOOKUP(I670,$B$2:$B$1096,$A$2:$A$1096,65535)</f>
        <v>65535</v>
      </c>
      <c r="J670">
        <f t="shared" ref="J670:K670" si="1147">C670-C706</f>
        <v>-22</v>
      </c>
      <c r="K670">
        <f t="shared" si="1147"/>
        <v>4</v>
      </c>
      <c r="L670">
        <f t="shared" ref="L670:N670" si="1148">E670+E706</f>
        <v>10</v>
      </c>
      <c r="M670">
        <f t="shared" si="1148"/>
        <v>4</v>
      </c>
      <c r="N670">
        <f t="shared" si="1148"/>
        <v>0</v>
      </c>
      <c r="P670" t="str">
        <f t="shared" si="1075"/>
        <v>2, 5, 2, 0</v>
      </c>
    </row>
    <row r="671" spans="1:16" x14ac:dyDescent="0.2">
      <c r="A671">
        <f t="shared" si="1132"/>
        <v>669</v>
      </c>
      <c r="B671" s="1" t="s">
        <v>291</v>
      </c>
      <c r="C671">
        <v>12</v>
      </c>
      <c r="D671">
        <v>1</v>
      </c>
      <c r="E671">
        <v>5</v>
      </c>
      <c r="F671" s="2">
        <v>2</v>
      </c>
      <c r="G671">
        <v>1</v>
      </c>
      <c r="H671">
        <f>_xlfn.XLOOKUP(I671,$B$2:$B$1096,$A$2:$A$1096,65535)</f>
        <v>65535</v>
      </c>
      <c r="J671">
        <f t="shared" ref="J671:K671" si="1149">C671-C707</f>
        <v>-20</v>
      </c>
      <c r="K671">
        <f t="shared" si="1149"/>
        <v>3</v>
      </c>
      <c r="L671">
        <f t="shared" ref="L671:N671" si="1150">E671+E707</f>
        <v>5</v>
      </c>
      <c r="M671">
        <f t="shared" si="1150"/>
        <v>2</v>
      </c>
      <c r="N671">
        <f t="shared" si="1150"/>
        <v>1</v>
      </c>
      <c r="P671" t="str">
        <f t="shared" si="1075"/>
        <v>1, 5, 2, 1</v>
      </c>
    </row>
    <row r="672" spans="1:16" x14ac:dyDescent="0.2">
      <c r="A672">
        <f t="shared" si="1132"/>
        <v>670</v>
      </c>
      <c r="B672" s="1" t="s">
        <v>292</v>
      </c>
      <c r="C672">
        <v>12</v>
      </c>
      <c r="D672">
        <v>0</v>
      </c>
      <c r="E672" s="2">
        <v>5</v>
      </c>
      <c r="F672" s="2">
        <v>2</v>
      </c>
      <c r="G672">
        <v>0</v>
      </c>
      <c r="H672">
        <f>_xlfn.XLOOKUP(I672,$B$2:$B$1096,$A$2:$A$1096,65535)</f>
        <v>65535</v>
      </c>
      <c r="J672">
        <f t="shared" ref="J672:K672" si="1151">C672-C708</f>
        <v>12</v>
      </c>
      <c r="K672">
        <f t="shared" si="1151"/>
        <v>0</v>
      </c>
      <c r="L672">
        <f t="shared" ref="L672:N672" si="1152">E672+E708</f>
        <v>5</v>
      </c>
      <c r="M672">
        <f t="shared" si="1152"/>
        <v>2</v>
      </c>
      <c r="N672">
        <f t="shared" si="1152"/>
        <v>0</v>
      </c>
      <c r="P672" t="str">
        <f t="shared" si="1075"/>
        <v>0, 5, 2, 0</v>
      </c>
    </row>
    <row r="673" spans="1:16" x14ac:dyDescent="0.2">
      <c r="A673">
        <f t="shared" si="1132"/>
        <v>671</v>
      </c>
      <c r="B673" s="1" t="s">
        <v>293</v>
      </c>
      <c r="C673">
        <v>12</v>
      </c>
      <c r="D673">
        <v>-1</v>
      </c>
      <c r="E673">
        <v>5</v>
      </c>
      <c r="F673" s="2">
        <v>3</v>
      </c>
      <c r="G673">
        <v>1</v>
      </c>
      <c r="H673">
        <f>_xlfn.XLOOKUP(I673,$B$2:$B$1096,$A$2:$A$1096,65535)</f>
        <v>65535</v>
      </c>
      <c r="J673">
        <f t="shared" ref="J673:K673" si="1153">C673-C709</f>
        <v>0</v>
      </c>
      <c r="K673">
        <f t="shared" si="1153"/>
        <v>-1</v>
      </c>
      <c r="L673">
        <f t="shared" ref="L673:N673" si="1154">E673+E709</f>
        <v>5</v>
      </c>
      <c r="M673">
        <f t="shared" si="1154"/>
        <v>3</v>
      </c>
      <c r="N673">
        <f t="shared" si="1154"/>
        <v>1</v>
      </c>
      <c r="P673" t="str">
        <f t="shared" si="1075"/>
        <v>-1, 5, 3, 1</v>
      </c>
    </row>
    <row r="674" spans="1:16" x14ac:dyDescent="0.2">
      <c r="A674">
        <f t="shared" si="1132"/>
        <v>672</v>
      </c>
      <c r="B674" s="1" t="s">
        <v>294</v>
      </c>
      <c r="C674">
        <v>12</v>
      </c>
      <c r="D674">
        <v>-1</v>
      </c>
      <c r="E674">
        <v>5</v>
      </c>
      <c r="F674" s="2">
        <v>3</v>
      </c>
      <c r="G674">
        <v>0</v>
      </c>
      <c r="H674">
        <f>_xlfn.XLOOKUP(I674,$B$2:$B$1096,$A$2:$A$1096,65535)</f>
        <v>65535</v>
      </c>
      <c r="J674">
        <f t="shared" ref="J674:K674" si="1155">C674-C710</f>
        <v>0</v>
      </c>
      <c r="K674">
        <f t="shared" si="1155"/>
        <v>-5</v>
      </c>
      <c r="L674">
        <f t="shared" ref="L674:N674" si="1156">E674+E710</f>
        <v>5</v>
      </c>
      <c r="M674">
        <f t="shared" si="1156"/>
        <v>3</v>
      </c>
      <c r="N674">
        <f t="shared" si="1156"/>
        <v>0</v>
      </c>
      <c r="P674" t="str">
        <f t="shared" si="1075"/>
        <v>-1, 5, 3, 0</v>
      </c>
    </row>
    <row r="675" spans="1:16" x14ac:dyDescent="0.2">
      <c r="A675">
        <f t="shared" si="1132"/>
        <v>673</v>
      </c>
      <c r="B675" s="1" t="s">
        <v>295</v>
      </c>
      <c r="C675">
        <v>12</v>
      </c>
      <c r="D675">
        <v>-2</v>
      </c>
      <c r="E675">
        <v>5</v>
      </c>
      <c r="F675" s="2">
        <v>2</v>
      </c>
      <c r="G675">
        <v>1</v>
      </c>
      <c r="H675">
        <f>_xlfn.XLOOKUP(I675,$B$2:$B$1096,$A$2:$A$1096,65535)</f>
        <v>65535</v>
      </c>
      <c r="J675">
        <f t="shared" ref="J675:K675" si="1157">C675-C711</f>
        <v>-22</v>
      </c>
      <c r="K675">
        <f t="shared" si="1157"/>
        <v>-1</v>
      </c>
      <c r="L675">
        <f t="shared" ref="L675:N675" si="1158">E675+E711</f>
        <v>5</v>
      </c>
      <c r="M675">
        <f t="shared" si="1158"/>
        <v>2</v>
      </c>
      <c r="N675">
        <f t="shared" si="1158"/>
        <v>1</v>
      </c>
      <c r="P675" t="str">
        <f t="shared" si="1075"/>
        <v>-2, 5, 2, 1</v>
      </c>
    </row>
    <row r="676" spans="1:16" x14ac:dyDescent="0.2">
      <c r="A676">
        <f t="shared" si="1132"/>
        <v>674</v>
      </c>
      <c r="B676" s="1" t="s">
        <v>296</v>
      </c>
      <c r="C676">
        <v>12</v>
      </c>
      <c r="D676">
        <v>-3</v>
      </c>
      <c r="E676">
        <v>5</v>
      </c>
      <c r="F676" s="2">
        <v>2</v>
      </c>
      <c r="G676">
        <v>0</v>
      </c>
      <c r="H676">
        <f>_xlfn.XLOOKUP(I676,$B$2:$B$1096,$A$2:$A$1096,65535)</f>
        <v>65535</v>
      </c>
      <c r="J676">
        <f t="shared" ref="J676:K676" si="1159">C676-C712</f>
        <v>-22</v>
      </c>
      <c r="K676">
        <f t="shared" si="1159"/>
        <v>-4</v>
      </c>
      <c r="L676">
        <f t="shared" ref="L676:N676" si="1160">E676+E712</f>
        <v>5</v>
      </c>
      <c r="M676">
        <f t="shared" si="1160"/>
        <v>2</v>
      </c>
      <c r="N676">
        <f t="shared" si="1160"/>
        <v>0</v>
      </c>
      <c r="P676" t="str">
        <f t="shared" si="1075"/>
        <v>-3, 5, 2, 0</v>
      </c>
    </row>
    <row r="677" spans="1:16" x14ac:dyDescent="0.2">
      <c r="A677">
        <f t="shared" si="1132"/>
        <v>675</v>
      </c>
      <c r="B677" s="1" t="s">
        <v>297</v>
      </c>
      <c r="C677">
        <v>13</v>
      </c>
      <c r="D677">
        <v>-4</v>
      </c>
      <c r="E677">
        <v>5</v>
      </c>
      <c r="F677" s="2">
        <v>2</v>
      </c>
      <c r="G677">
        <v>1</v>
      </c>
      <c r="H677">
        <f>_xlfn.XLOOKUP(I677,$B$2:$B$1096,$A$2:$A$1096,65535)</f>
        <v>65535</v>
      </c>
      <c r="J677">
        <f t="shared" ref="J677:K677" si="1161">C677-C713</f>
        <v>-21</v>
      </c>
      <c r="K677">
        <f t="shared" si="1161"/>
        <v>-6</v>
      </c>
      <c r="L677">
        <f t="shared" ref="L677:N677" si="1162">E677+E713</f>
        <v>5</v>
      </c>
      <c r="M677">
        <f t="shared" si="1162"/>
        <v>2</v>
      </c>
      <c r="N677">
        <f t="shared" si="1162"/>
        <v>1</v>
      </c>
      <c r="P677" t="str">
        <f t="shared" si="1075"/>
        <v>-4, 5, 2, 1</v>
      </c>
    </row>
    <row r="678" spans="1:16" x14ac:dyDescent="0.2">
      <c r="A678">
        <f t="shared" si="1132"/>
        <v>676</v>
      </c>
      <c r="B678" s="1" t="s">
        <v>298</v>
      </c>
      <c r="C678">
        <v>14</v>
      </c>
      <c r="D678">
        <v>0</v>
      </c>
      <c r="E678">
        <v>5</v>
      </c>
      <c r="F678" s="2">
        <v>2</v>
      </c>
      <c r="G678">
        <v>0</v>
      </c>
      <c r="H678">
        <f>_xlfn.XLOOKUP(I678,$B$2:$B$1096,$A$2:$A$1096,65535)</f>
        <v>65535</v>
      </c>
      <c r="J678">
        <f t="shared" ref="J678:K678" si="1163">C678-C714</f>
        <v>-20</v>
      </c>
      <c r="K678">
        <f t="shared" si="1163"/>
        <v>-1</v>
      </c>
      <c r="L678">
        <f t="shared" ref="L678:N678" si="1164">E678+E714</f>
        <v>5</v>
      </c>
      <c r="M678">
        <f t="shared" si="1164"/>
        <v>2</v>
      </c>
      <c r="N678">
        <f t="shared" si="1164"/>
        <v>0</v>
      </c>
      <c r="P678" t="str">
        <f t="shared" si="1075"/>
        <v>0, 5, 2, 0</v>
      </c>
    </row>
    <row r="679" spans="1:16" x14ac:dyDescent="0.2">
      <c r="A679">
        <f t="shared" si="1132"/>
        <v>677</v>
      </c>
      <c r="B679" s="1" t="s">
        <v>299</v>
      </c>
      <c r="C679">
        <v>12</v>
      </c>
      <c r="D679">
        <v>0</v>
      </c>
      <c r="E679" s="2">
        <v>5</v>
      </c>
      <c r="F679" s="2">
        <v>2</v>
      </c>
      <c r="G679">
        <v>1</v>
      </c>
      <c r="H679">
        <f>_xlfn.XLOOKUP(I679,$B$2:$B$1096,$A$2:$A$1096,65535)</f>
        <v>65535</v>
      </c>
      <c r="J679">
        <f t="shared" ref="J679:K679" si="1165">C679-C715</f>
        <v>-22</v>
      </c>
      <c r="K679">
        <f t="shared" si="1165"/>
        <v>0</v>
      </c>
      <c r="L679">
        <f t="shared" ref="L679:N679" si="1166">E679+E715</f>
        <v>5</v>
      </c>
      <c r="M679">
        <f t="shared" si="1166"/>
        <v>2</v>
      </c>
      <c r="N679">
        <f t="shared" si="1166"/>
        <v>1</v>
      </c>
      <c r="P679" t="str">
        <f t="shared" si="1075"/>
        <v>0, 5, 2, 1</v>
      </c>
    </row>
    <row r="680" spans="1:16" s="2" customFormat="1" x14ac:dyDescent="0.2">
      <c r="A680">
        <f t="shared" si="1132"/>
        <v>678</v>
      </c>
      <c r="B680" s="1" t="s">
        <v>505</v>
      </c>
      <c r="C680" s="2">
        <v>12</v>
      </c>
      <c r="D680" s="2">
        <v>0</v>
      </c>
      <c r="E680" s="2">
        <v>5</v>
      </c>
      <c r="F680" s="2">
        <v>2</v>
      </c>
      <c r="G680" s="2">
        <v>1</v>
      </c>
      <c r="H680">
        <f>_xlfn.XLOOKUP(I680,$B$2:$B$1096,$A$2:$A$1096,65535)</f>
        <v>65535</v>
      </c>
      <c r="J680">
        <f t="shared" ref="J680:K680" si="1167">C680-C716</f>
        <v>12</v>
      </c>
      <c r="K680">
        <f t="shared" si="1167"/>
        <v>1</v>
      </c>
      <c r="L680">
        <f t="shared" ref="L680:N680" si="1168">E680+E716</f>
        <v>5</v>
      </c>
      <c r="M680">
        <f t="shared" si="1168"/>
        <v>2</v>
      </c>
      <c r="N680">
        <f t="shared" si="1168"/>
        <v>1</v>
      </c>
      <c r="O680"/>
      <c r="P680" t="str">
        <f t="shared" si="1075"/>
        <v>0, 5, 2, 1</v>
      </c>
    </row>
    <row r="681" spans="1:16" x14ac:dyDescent="0.2">
      <c r="A681">
        <f t="shared" si="1132"/>
        <v>679</v>
      </c>
      <c r="B681" s="1" t="s">
        <v>506</v>
      </c>
      <c r="C681">
        <v>12</v>
      </c>
      <c r="D681">
        <v>2</v>
      </c>
      <c r="E681">
        <v>5</v>
      </c>
      <c r="F681" s="2">
        <v>2</v>
      </c>
      <c r="G681">
        <v>0</v>
      </c>
      <c r="H681">
        <f>_xlfn.XLOOKUP(I681,$B$2:$B$1096,$A$2:$A$1096,65535)</f>
        <v>65535</v>
      </c>
      <c r="J681">
        <f t="shared" ref="J681:K681" si="1169">C681-C717</f>
        <v>12</v>
      </c>
      <c r="K681">
        <f t="shared" si="1169"/>
        <v>4</v>
      </c>
      <c r="L681">
        <f t="shared" ref="L681:N681" si="1170">E681+E717</f>
        <v>5</v>
      </c>
      <c r="M681">
        <f t="shared" si="1170"/>
        <v>2</v>
      </c>
      <c r="N681">
        <f t="shared" si="1170"/>
        <v>0</v>
      </c>
      <c r="P681" t="str">
        <f t="shared" si="1075"/>
        <v>2, 5, 2, 0</v>
      </c>
    </row>
    <row r="682" spans="1:16" x14ac:dyDescent="0.2">
      <c r="A682">
        <f t="shared" si="1132"/>
        <v>680</v>
      </c>
      <c r="B682" s="1" t="s">
        <v>507</v>
      </c>
      <c r="C682">
        <v>12</v>
      </c>
      <c r="D682">
        <v>1</v>
      </c>
      <c r="E682">
        <v>5</v>
      </c>
      <c r="F682" s="2">
        <v>2</v>
      </c>
      <c r="G682">
        <v>1</v>
      </c>
      <c r="H682">
        <f>_xlfn.XLOOKUP(I682,$B$2:$B$1096,$A$2:$A$1096,65535)</f>
        <v>65535</v>
      </c>
      <c r="J682">
        <f t="shared" ref="J682:K682" si="1171">C682-C718</f>
        <v>12</v>
      </c>
      <c r="K682">
        <f t="shared" si="1171"/>
        <v>2</v>
      </c>
      <c r="L682">
        <f t="shared" ref="L682:N682" si="1172">E682+E718</f>
        <v>5</v>
      </c>
      <c r="M682">
        <f t="shared" si="1172"/>
        <v>2</v>
      </c>
      <c r="N682">
        <f t="shared" si="1172"/>
        <v>1</v>
      </c>
      <c r="P682" t="str">
        <f t="shared" si="1075"/>
        <v>1, 5, 2, 1</v>
      </c>
    </row>
    <row r="683" spans="1:16" x14ac:dyDescent="0.2">
      <c r="A683">
        <f t="shared" si="1132"/>
        <v>681</v>
      </c>
      <c r="B683" s="1" t="s">
        <v>508</v>
      </c>
      <c r="C683">
        <v>12</v>
      </c>
      <c r="D683">
        <v>0</v>
      </c>
      <c r="E683" s="2">
        <v>5</v>
      </c>
      <c r="F683" s="2">
        <v>2</v>
      </c>
      <c r="G683">
        <v>0</v>
      </c>
      <c r="H683">
        <f>_xlfn.XLOOKUP(I683,$B$2:$B$1096,$A$2:$A$1096,65535)</f>
        <v>65535</v>
      </c>
      <c r="J683">
        <f t="shared" ref="J683:K683" si="1173">C683-C719</f>
        <v>12</v>
      </c>
      <c r="K683">
        <f t="shared" si="1173"/>
        <v>0</v>
      </c>
      <c r="L683">
        <f t="shared" ref="L683:N683" si="1174">E683+E719</f>
        <v>5</v>
      </c>
      <c r="M683">
        <f t="shared" si="1174"/>
        <v>2</v>
      </c>
      <c r="N683">
        <f t="shared" si="1174"/>
        <v>0</v>
      </c>
      <c r="P683" t="str">
        <f t="shared" si="1075"/>
        <v>0, 5, 2, 0</v>
      </c>
    </row>
    <row r="684" spans="1:16" x14ac:dyDescent="0.2">
      <c r="A684">
        <f t="shared" si="1132"/>
        <v>682</v>
      </c>
      <c r="B684" s="1" t="s">
        <v>509</v>
      </c>
      <c r="C684">
        <v>12</v>
      </c>
      <c r="D684">
        <v>-1</v>
      </c>
      <c r="E684">
        <v>5</v>
      </c>
      <c r="F684" s="2">
        <v>3</v>
      </c>
      <c r="G684">
        <v>1</v>
      </c>
      <c r="H684">
        <f>_xlfn.XLOOKUP(I684,$B$2:$B$1096,$A$2:$A$1096,65535)</f>
        <v>65535</v>
      </c>
      <c r="J684">
        <f t="shared" ref="J684:K684" si="1175">C684-C720</f>
        <v>-22</v>
      </c>
      <c r="K684">
        <f t="shared" si="1175"/>
        <v>-2</v>
      </c>
      <c r="L684">
        <f t="shared" ref="L684:N684" si="1176">E684+E720</f>
        <v>5</v>
      </c>
      <c r="M684">
        <f t="shared" si="1176"/>
        <v>3</v>
      </c>
      <c r="N684">
        <f t="shared" si="1176"/>
        <v>1</v>
      </c>
      <c r="P684" t="str">
        <f t="shared" si="1075"/>
        <v>-1, 5, 3, 1</v>
      </c>
    </row>
    <row r="685" spans="1:16" x14ac:dyDescent="0.2">
      <c r="A685">
        <f t="shared" si="1132"/>
        <v>683</v>
      </c>
      <c r="B685" s="1" t="s">
        <v>510</v>
      </c>
      <c r="C685">
        <v>12</v>
      </c>
      <c r="D685">
        <v>-1</v>
      </c>
      <c r="E685">
        <v>5</v>
      </c>
      <c r="F685" s="2">
        <v>3</v>
      </c>
      <c r="G685">
        <v>0</v>
      </c>
      <c r="H685">
        <f>_xlfn.XLOOKUP(I685,$B$2:$B$1096,$A$2:$A$1096,65535)</f>
        <v>65535</v>
      </c>
      <c r="J685">
        <f t="shared" ref="J685:K685" si="1177">C685-C721</f>
        <v>-22</v>
      </c>
      <c r="K685">
        <f t="shared" si="1177"/>
        <v>-3</v>
      </c>
      <c r="L685">
        <f t="shared" ref="L685:N685" si="1178">E685+E721</f>
        <v>5</v>
      </c>
      <c r="M685">
        <f t="shared" si="1178"/>
        <v>3</v>
      </c>
      <c r="N685">
        <f t="shared" si="1178"/>
        <v>0</v>
      </c>
      <c r="P685" t="str">
        <f t="shared" si="1075"/>
        <v>-1, 5, 3, 0</v>
      </c>
    </row>
    <row r="686" spans="1:16" x14ac:dyDescent="0.2">
      <c r="A686">
        <f t="shared" si="1132"/>
        <v>684</v>
      </c>
      <c r="B686" s="1" t="s">
        <v>511</v>
      </c>
      <c r="C686">
        <v>12</v>
      </c>
      <c r="D686">
        <v>-2</v>
      </c>
      <c r="E686">
        <v>5</v>
      </c>
      <c r="F686" s="2">
        <v>2</v>
      </c>
      <c r="G686">
        <v>1</v>
      </c>
      <c r="H686">
        <f>_xlfn.XLOOKUP(I686,$B$2:$B$1096,$A$2:$A$1096,65535)</f>
        <v>65535</v>
      </c>
      <c r="J686">
        <f t="shared" ref="J686:K686" si="1179">C686-C722</f>
        <v>-22</v>
      </c>
      <c r="K686">
        <f t="shared" si="1179"/>
        <v>-5</v>
      </c>
      <c r="L686">
        <f t="shared" ref="L686:N686" si="1180">E686+E722</f>
        <v>5</v>
      </c>
      <c r="M686">
        <f t="shared" si="1180"/>
        <v>2</v>
      </c>
      <c r="N686">
        <f t="shared" si="1180"/>
        <v>1</v>
      </c>
      <c r="P686" t="str">
        <f t="shared" si="1075"/>
        <v>-2, 5, 2, 1</v>
      </c>
    </row>
    <row r="687" spans="1:16" x14ac:dyDescent="0.2">
      <c r="A687">
        <f t="shared" si="1132"/>
        <v>685</v>
      </c>
      <c r="B687" s="1" t="s">
        <v>512</v>
      </c>
      <c r="C687">
        <v>12</v>
      </c>
      <c r="D687">
        <v>-3</v>
      </c>
      <c r="E687">
        <v>5</v>
      </c>
      <c r="F687" s="2">
        <v>2</v>
      </c>
      <c r="G687">
        <v>0</v>
      </c>
      <c r="H687">
        <f>_xlfn.XLOOKUP(I687,$B$2:$B$1096,$A$2:$A$1096,65535)</f>
        <v>65535</v>
      </c>
      <c r="J687">
        <f t="shared" ref="J687:K687" si="1181">C687-C723</f>
        <v>-22</v>
      </c>
      <c r="K687">
        <f t="shared" si="1181"/>
        <v>-6</v>
      </c>
      <c r="L687">
        <f t="shared" ref="L687:N687" si="1182">E687+E723</f>
        <v>5</v>
      </c>
      <c r="M687">
        <f t="shared" si="1182"/>
        <v>2</v>
      </c>
      <c r="N687">
        <f t="shared" si="1182"/>
        <v>0</v>
      </c>
      <c r="P687" t="str">
        <f t="shared" si="1075"/>
        <v>-3, 5, 2, 0</v>
      </c>
    </row>
    <row r="688" spans="1:16" x14ac:dyDescent="0.2">
      <c r="A688">
        <f t="shared" si="1132"/>
        <v>686</v>
      </c>
      <c r="B688" s="1" t="s">
        <v>513</v>
      </c>
      <c r="C688">
        <v>12</v>
      </c>
      <c r="D688">
        <v>-4</v>
      </c>
      <c r="E688">
        <v>5</v>
      </c>
      <c r="F688" s="2">
        <v>2</v>
      </c>
      <c r="G688">
        <v>1</v>
      </c>
      <c r="H688">
        <f>_xlfn.XLOOKUP(I688,$B$2:$B$1096,$A$2:$A$1096,65535)</f>
        <v>65535</v>
      </c>
      <c r="J688">
        <f t="shared" ref="J688:K688" si="1183">C688-C724</f>
        <v>-22</v>
      </c>
      <c r="K688">
        <f t="shared" si="1183"/>
        <v>-6</v>
      </c>
      <c r="L688">
        <f t="shared" ref="L688:N688" si="1184">E688+E724</f>
        <v>5</v>
      </c>
      <c r="M688">
        <f t="shared" si="1184"/>
        <v>2</v>
      </c>
      <c r="N688">
        <f t="shared" si="1184"/>
        <v>1</v>
      </c>
      <c r="P688" t="str">
        <f t="shared" si="1075"/>
        <v>-4, 5, 2, 1</v>
      </c>
    </row>
    <row r="689" spans="1:16" x14ac:dyDescent="0.2">
      <c r="A689">
        <f t="shared" si="1132"/>
        <v>687</v>
      </c>
      <c r="B689" s="1" t="s">
        <v>514</v>
      </c>
      <c r="C689">
        <v>14</v>
      </c>
      <c r="D689">
        <v>-4</v>
      </c>
      <c r="E689">
        <v>5</v>
      </c>
      <c r="F689" s="2">
        <v>2</v>
      </c>
      <c r="G689">
        <v>0</v>
      </c>
      <c r="H689">
        <f>_xlfn.XLOOKUP(I689,$B$2:$B$1096,$A$2:$A$1096,65535)</f>
        <v>65535</v>
      </c>
      <c r="J689">
        <f t="shared" ref="J689:K689" si="1185">C689-C725</f>
        <v>-20</v>
      </c>
      <c r="K689">
        <f t="shared" si="1185"/>
        <v>-5</v>
      </c>
      <c r="L689">
        <f t="shared" ref="L689:N689" si="1186">E689+E725</f>
        <v>5</v>
      </c>
      <c r="M689">
        <f t="shared" si="1186"/>
        <v>2</v>
      </c>
      <c r="N689">
        <f t="shared" si="1186"/>
        <v>0</v>
      </c>
      <c r="P689" t="str">
        <f t="shared" si="1075"/>
        <v>-4, 5, 2, 0</v>
      </c>
    </row>
    <row r="690" spans="1:16" x14ac:dyDescent="0.2">
      <c r="A690">
        <f t="shared" si="1132"/>
        <v>688</v>
      </c>
      <c r="B690" s="1" t="s">
        <v>515</v>
      </c>
      <c r="C690">
        <v>13</v>
      </c>
      <c r="D690">
        <v>-4</v>
      </c>
      <c r="E690" s="2">
        <v>5</v>
      </c>
      <c r="F690" s="2">
        <v>2</v>
      </c>
      <c r="G690">
        <v>1</v>
      </c>
      <c r="H690">
        <f>_xlfn.XLOOKUP(I690,$B$2:$B$1096,$A$2:$A$1096,65535)</f>
        <v>65535</v>
      </c>
      <c r="J690">
        <f t="shared" ref="J690:K690" si="1187">C690-C726</f>
        <v>-21</v>
      </c>
      <c r="K690">
        <f t="shared" si="1187"/>
        <v>-4</v>
      </c>
      <c r="L690">
        <f t="shared" ref="L690:N690" si="1188">E690+E726</f>
        <v>5</v>
      </c>
      <c r="M690">
        <f t="shared" si="1188"/>
        <v>2</v>
      </c>
      <c r="N690">
        <f t="shared" si="1188"/>
        <v>1</v>
      </c>
      <c r="P690" t="str">
        <f t="shared" si="1075"/>
        <v>-4, 5, 2, 1</v>
      </c>
    </row>
    <row r="691" spans="1:16" s="4" customFormat="1" x14ac:dyDescent="0.2">
      <c r="A691">
        <f t="shared" si="1132"/>
        <v>689</v>
      </c>
      <c r="B691" s="5" t="s">
        <v>144</v>
      </c>
      <c r="C691" s="4">
        <v>12</v>
      </c>
      <c r="D691" s="4">
        <v>0</v>
      </c>
      <c r="E691" s="4">
        <v>5</v>
      </c>
      <c r="F691" s="4">
        <v>2</v>
      </c>
      <c r="G691" s="4">
        <v>0</v>
      </c>
      <c r="H691">
        <f>_xlfn.XLOOKUP(I691,$B$2:$B$1096,$A$2:$A$1096,65535)</f>
        <v>65535</v>
      </c>
      <c r="J691">
        <f t="shared" ref="J691:K691" si="1189">C691-C727</f>
        <v>12</v>
      </c>
      <c r="K691">
        <f t="shared" si="1189"/>
        <v>1</v>
      </c>
      <c r="L691">
        <f t="shared" ref="L691:N691" si="1190">E691+E727</f>
        <v>5</v>
      </c>
      <c r="M691">
        <f t="shared" si="1190"/>
        <v>2</v>
      </c>
      <c r="N691">
        <f t="shared" si="1190"/>
        <v>0</v>
      </c>
      <c r="O691"/>
      <c r="P691" t="str">
        <f t="shared" si="1075"/>
        <v>0, 5, 2, 0</v>
      </c>
    </row>
    <row r="692" spans="1:16" s="4" customFormat="1" x14ac:dyDescent="0.2">
      <c r="A692">
        <f t="shared" si="1132"/>
        <v>690</v>
      </c>
      <c r="B692" s="5" t="s">
        <v>145</v>
      </c>
      <c r="C692" s="4">
        <v>12</v>
      </c>
      <c r="D692" s="4">
        <v>4</v>
      </c>
      <c r="E692" s="4">
        <v>5</v>
      </c>
      <c r="F692" s="4">
        <v>2</v>
      </c>
      <c r="G692" s="4">
        <v>0</v>
      </c>
      <c r="H692">
        <f>_xlfn.XLOOKUP(I692,$B$2:$B$1096,$A$2:$A$1096,65535)</f>
        <v>65535</v>
      </c>
      <c r="J692">
        <f t="shared" ref="J692:K692" si="1191">C692-C728</f>
        <v>12</v>
      </c>
      <c r="K692">
        <f t="shared" si="1191"/>
        <v>6</v>
      </c>
      <c r="L692">
        <f t="shared" ref="L692:N692" si="1192">E692+E728</f>
        <v>5</v>
      </c>
      <c r="M692">
        <f t="shared" si="1192"/>
        <v>2</v>
      </c>
      <c r="N692">
        <f t="shared" si="1192"/>
        <v>0</v>
      </c>
      <c r="O692"/>
      <c r="P692" t="str">
        <f t="shared" si="1075"/>
        <v>4, 5, 2, 0</v>
      </c>
    </row>
    <row r="693" spans="1:16" s="4" customFormat="1" x14ac:dyDescent="0.2">
      <c r="A693">
        <f t="shared" si="1132"/>
        <v>691</v>
      </c>
      <c r="B693" s="5" t="s">
        <v>146</v>
      </c>
      <c r="C693" s="4">
        <v>12</v>
      </c>
      <c r="D693" s="4">
        <v>3</v>
      </c>
      <c r="E693" s="4">
        <v>5</v>
      </c>
      <c r="F693" s="4">
        <v>1</v>
      </c>
      <c r="G693" s="4">
        <v>1</v>
      </c>
      <c r="H693">
        <f>_xlfn.XLOOKUP(I693,$B$2:$B$1096,$A$2:$A$1096,65535)</f>
        <v>65535</v>
      </c>
      <c r="J693">
        <f t="shared" ref="J693:K693" si="1193">C693-C729</f>
        <v>12</v>
      </c>
      <c r="K693">
        <f t="shared" si="1193"/>
        <v>6</v>
      </c>
      <c r="L693">
        <f t="shared" ref="L693:N693" si="1194">E693+E729</f>
        <v>5</v>
      </c>
      <c r="M693">
        <f t="shared" si="1194"/>
        <v>1</v>
      </c>
      <c r="N693">
        <f t="shared" si="1194"/>
        <v>1</v>
      </c>
      <c r="O693"/>
      <c r="P693" t="str">
        <f t="shared" si="1075"/>
        <v>3, 5, 1, 1</v>
      </c>
    </row>
    <row r="694" spans="1:16" s="4" customFormat="1" x14ac:dyDescent="0.2">
      <c r="A694">
        <f t="shared" si="1132"/>
        <v>692</v>
      </c>
      <c r="B694" s="5" t="s">
        <v>147</v>
      </c>
      <c r="C694" s="4">
        <v>14</v>
      </c>
      <c r="D694" s="4">
        <v>2</v>
      </c>
      <c r="E694" s="4">
        <v>5</v>
      </c>
      <c r="F694" s="4">
        <v>1</v>
      </c>
      <c r="G694" s="4">
        <v>0</v>
      </c>
      <c r="H694">
        <f>_xlfn.XLOOKUP(I694,$B$2:$B$1096,$A$2:$A$1096,65535)</f>
        <v>65535</v>
      </c>
      <c r="J694">
        <f t="shared" ref="J694:K694" si="1195">C694-C730</f>
        <v>14</v>
      </c>
      <c r="K694">
        <f t="shared" si="1195"/>
        <v>5</v>
      </c>
      <c r="L694">
        <f t="shared" ref="L694:N694" si="1196">E694+E730</f>
        <v>5</v>
      </c>
      <c r="M694">
        <f t="shared" si="1196"/>
        <v>1</v>
      </c>
      <c r="N694">
        <f t="shared" si="1196"/>
        <v>0</v>
      </c>
      <c r="O694"/>
      <c r="P694" t="str">
        <f t="shared" si="1075"/>
        <v>2, 5, 1, 0</v>
      </c>
    </row>
    <row r="695" spans="1:16" s="4" customFormat="1" x14ac:dyDescent="0.2">
      <c r="A695">
        <f t="shared" si="1132"/>
        <v>693</v>
      </c>
      <c r="B695" s="5" t="s">
        <v>148</v>
      </c>
      <c r="C695" s="4">
        <v>13</v>
      </c>
      <c r="D695" s="4">
        <v>-1</v>
      </c>
      <c r="E695" s="4">
        <v>0</v>
      </c>
      <c r="F695" s="4">
        <v>0</v>
      </c>
      <c r="G695" s="4">
        <v>0</v>
      </c>
      <c r="H695">
        <f>_xlfn.XLOOKUP(I695,$B$2:$B$1096,$A$2:$A$1096,65535)</f>
        <v>560</v>
      </c>
      <c r="I695" s="5" t="s">
        <v>112</v>
      </c>
      <c r="J695">
        <f t="shared" ref="J695:K695" si="1197">C695-C731</f>
        <v>13</v>
      </c>
      <c r="K695">
        <f t="shared" si="1197"/>
        <v>1</v>
      </c>
      <c r="L695">
        <f t="shared" ref="L695:N695" si="1198">E695+E731</f>
        <v>0</v>
      </c>
      <c r="M695">
        <f t="shared" si="1198"/>
        <v>0</v>
      </c>
      <c r="N695">
        <f t="shared" si="1198"/>
        <v>0</v>
      </c>
      <c r="O695"/>
      <c r="P695" t="str">
        <f t="shared" si="1075"/>
        <v>-1, 0, 0, 0</v>
      </c>
    </row>
    <row r="696" spans="1:16" s="2" customFormat="1" x14ac:dyDescent="0.2">
      <c r="A696">
        <f t="shared" si="1132"/>
        <v>694</v>
      </c>
      <c r="B696" s="8" t="s">
        <v>313</v>
      </c>
      <c r="C696" s="9">
        <v>0</v>
      </c>
      <c r="D696" s="9">
        <v>0</v>
      </c>
      <c r="E696" s="9">
        <v>0</v>
      </c>
      <c r="F696" s="9">
        <v>0</v>
      </c>
      <c r="G696" s="9">
        <v>0</v>
      </c>
      <c r="H696">
        <f>_xlfn.XLOOKUP(I696,$B$2:$B$1096,$A$2:$A$1096,65535)</f>
        <v>65535</v>
      </c>
      <c r="I696" s="9"/>
      <c r="J696">
        <f t="shared" ref="J696:K696" si="1199">C696-C732</f>
        <v>0</v>
      </c>
      <c r="K696">
        <f t="shared" si="1199"/>
        <v>1</v>
      </c>
      <c r="L696">
        <f t="shared" ref="L696:N696" si="1200">E696+E732</f>
        <v>0</v>
      </c>
      <c r="M696">
        <f t="shared" si="1200"/>
        <v>0</v>
      </c>
      <c r="N696">
        <f t="shared" si="1200"/>
        <v>0</v>
      </c>
      <c r="O696"/>
      <c r="P696" t="str">
        <f t="shared" si="1075"/>
        <v>0, 0, 0, 0</v>
      </c>
    </row>
    <row r="697" spans="1:16" x14ac:dyDescent="0.2">
      <c r="A697">
        <f t="shared" si="1132"/>
        <v>695</v>
      </c>
      <c r="B697" s="8" t="s">
        <v>314</v>
      </c>
      <c r="C697" s="10">
        <v>33</v>
      </c>
      <c r="D697" s="10">
        <v>2</v>
      </c>
      <c r="E697" s="10">
        <v>0</v>
      </c>
      <c r="F697" s="9">
        <v>0</v>
      </c>
      <c r="G697" s="10">
        <v>0</v>
      </c>
      <c r="H697">
        <f>_xlfn.XLOOKUP(I697,$B$2:$B$1096,$A$2:$A$1096,65535)</f>
        <v>65535</v>
      </c>
      <c r="I697" s="10"/>
      <c r="J697">
        <f t="shared" ref="J697:K697" si="1201">C697-C733</f>
        <v>33</v>
      </c>
      <c r="K697">
        <f t="shared" si="1201"/>
        <v>2</v>
      </c>
      <c r="L697">
        <f t="shared" ref="L697:N697" si="1202">E697+E733</f>
        <v>0</v>
      </c>
      <c r="M697">
        <f t="shared" si="1202"/>
        <v>0</v>
      </c>
      <c r="N697">
        <f t="shared" si="1202"/>
        <v>0</v>
      </c>
      <c r="P697" t="str">
        <f t="shared" si="1075"/>
        <v>2, 0, 0, 0</v>
      </c>
    </row>
    <row r="698" spans="1:16" x14ac:dyDescent="0.2">
      <c r="A698">
        <f t="shared" si="1132"/>
        <v>696</v>
      </c>
      <c r="B698" s="8" t="s">
        <v>315</v>
      </c>
      <c r="C698" s="10">
        <v>32</v>
      </c>
      <c r="D698" s="10">
        <v>2</v>
      </c>
      <c r="E698" s="10">
        <v>0</v>
      </c>
      <c r="F698" s="9">
        <v>0</v>
      </c>
      <c r="G698" s="10">
        <v>0</v>
      </c>
      <c r="H698">
        <f>_xlfn.XLOOKUP(I698,$B$2:$B$1096,$A$2:$A$1096,65535)</f>
        <v>65535</v>
      </c>
      <c r="I698" s="10"/>
      <c r="J698">
        <f t="shared" ref="J698:K698" si="1203">C698-C734</f>
        <v>-2</v>
      </c>
      <c r="K698">
        <f t="shared" si="1203"/>
        <v>1</v>
      </c>
      <c r="L698">
        <f t="shared" ref="L698:N698" si="1204">E698+E734</f>
        <v>0</v>
      </c>
      <c r="M698">
        <f t="shared" si="1204"/>
        <v>0</v>
      </c>
      <c r="N698">
        <f t="shared" si="1204"/>
        <v>0</v>
      </c>
      <c r="P698" t="str">
        <f t="shared" si="1075"/>
        <v>2, 0, 0, 0</v>
      </c>
    </row>
    <row r="699" spans="1:16" x14ac:dyDescent="0.2">
      <c r="A699">
        <f t="shared" si="1132"/>
        <v>697</v>
      </c>
      <c r="B699" s="8" t="s">
        <v>316</v>
      </c>
      <c r="C699" s="10">
        <v>34</v>
      </c>
      <c r="D699" s="10">
        <v>0</v>
      </c>
      <c r="E699" s="9">
        <v>5</v>
      </c>
      <c r="F699" s="9">
        <v>2</v>
      </c>
      <c r="G699" s="10">
        <v>0</v>
      </c>
      <c r="H699">
        <f>_xlfn.XLOOKUP(I699,$B$2:$B$1096,$A$2:$A$1096,65535)</f>
        <v>65535</v>
      </c>
      <c r="I699" s="10"/>
      <c r="J699">
        <f t="shared" ref="J699:K699" si="1205">C699-C735</f>
        <v>0</v>
      </c>
      <c r="K699">
        <f t="shared" si="1205"/>
        <v>-2</v>
      </c>
      <c r="L699">
        <f t="shared" ref="L699:N699" si="1206">E699+E735</f>
        <v>5</v>
      </c>
      <c r="M699">
        <f t="shared" si="1206"/>
        <v>2</v>
      </c>
      <c r="N699">
        <f t="shared" si="1206"/>
        <v>0</v>
      </c>
      <c r="P699" t="str">
        <f t="shared" si="1075"/>
        <v>0, 5, 2, 0</v>
      </c>
    </row>
    <row r="700" spans="1:16" x14ac:dyDescent="0.2">
      <c r="A700">
        <f t="shared" si="1132"/>
        <v>698</v>
      </c>
      <c r="B700" s="8" t="s">
        <v>317</v>
      </c>
      <c r="C700" s="10">
        <v>33</v>
      </c>
      <c r="D700" s="10">
        <v>0</v>
      </c>
      <c r="E700" s="10">
        <v>5</v>
      </c>
      <c r="F700" s="9">
        <v>2</v>
      </c>
      <c r="G700" s="10">
        <v>1</v>
      </c>
      <c r="H700">
        <f>_xlfn.XLOOKUP(I700,$B$2:$B$1096,$A$2:$A$1096,65535)</f>
        <v>65535</v>
      </c>
      <c r="I700" s="10"/>
      <c r="J700">
        <f t="shared" ref="J700:K700" si="1207">C700-C736</f>
        <v>-1</v>
      </c>
      <c r="K700">
        <f t="shared" si="1207"/>
        <v>-3</v>
      </c>
      <c r="L700">
        <f t="shared" ref="L700:N700" si="1208">E700+E736</f>
        <v>5</v>
      </c>
      <c r="M700">
        <f t="shared" si="1208"/>
        <v>2</v>
      </c>
      <c r="N700">
        <f t="shared" si="1208"/>
        <v>1</v>
      </c>
      <c r="P700" t="str">
        <f t="shared" si="1075"/>
        <v>0, 5, 2, 1</v>
      </c>
    </row>
    <row r="701" spans="1:16" x14ac:dyDescent="0.2">
      <c r="A701">
        <f t="shared" si="1132"/>
        <v>699</v>
      </c>
      <c r="B701" s="8" t="s">
        <v>318</v>
      </c>
      <c r="C701" s="10">
        <v>32</v>
      </c>
      <c r="D701" s="10">
        <v>0</v>
      </c>
      <c r="E701" s="10">
        <v>5</v>
      </c>
      <c r="F701" s="9">
        <v>2</v>
      </c>
      <c r="G701" s="10">
        <v>0</v>
      </c>
      <c r="H701">
        <f>_xlfn.XLOOKUP(I701,$B$2:$B$1096,$A$2:$A$1096,65535)</f>
        <v>65535</v>
      </c>
      <c r="I701" s="10"/>
      <c r="J701">
        <f t="shared" ref="J701:K701" si="1209">C701-C737</f>
        <v>-2</v>
      </c>
      <c r="K701">
        <f t="shared" si="1209"/>
        <v>-3</v>
      </c>
      <c r="L701">
        <f t="shared" ref="L701:N701" si="1210">E701+E737</f>
        <v>5</v>
      </c>
      <c r="M701">
        <f t="shared" si="1210"/>
        <v>2</v>
      </c>
      <c r="N701">
        <f t="shared" si="1210"/>
        <v>0</v>
      </c>
      <c r="P701" t="str">
        <f t="shared" ref="P701:P796" si="1211">_xlfn.CONCAT(D701,", ",E701,", ",F701,", ",G701)</f>
        <v>0, 5, 2, 0</v>
      </c>
    </row>
    <row r="702" spans="1:16" x14ac:dyDescent="0.2">
      <c r="A702">
        <f t="shared" si="1132"/>
        <v>700</v>
      </c>
      <c r="B702" s="8" t="s">
        <v>319</v>
      </c>
      <c r="C702" s="10">
        <v>34</v>
      </c>
      <c r="D702" s="10">
        <v>0</v>
      </c>
      <c r="E702" s="10">
        <v>5</v>
      </c>
      <c r="F702" s="9">
        <v>2</v>
      </c>
      <c r="G702" s="10">
        <v>1</v>
      </c>
      <c r="H702">
        <f>_xlfn.XLOOKUP(I702,$B$2:$B$1096,$A$2:$A$1096,65535)</f>
        <v>65535</v>
      </c>
      <c r="I702" s="10"/>
      <c r="J702">
        <f t="shared" ref="J702:K702" si="1212">C702-C738</f>
        <v>0</v>
      </c>
      <c r="K702">
        <f t="shared" si="1212"/>
        <v>-4</v>
      </c>
      <c r="L702">
        <f t="shared" ref="L702:N702" si="1213">E702+E738</f>
        <v>5</v>
      </c>
      <c r="M702">
        <f t="shared" si="1213"/>
        <v>2</v>
      </c>
      <c r="N702">
        <f t="shared" si="1213"/>
        <v>1</v>
      </c>
      <c r="P702" t="str">
        <f t="shared" si="1211"/>
        <v>0, 5, 2, 1</v>
      </c>
    </row>
    <row r="703" spans="1:16" s="2" customFormat="1" x14ac:dyDescent="0.2">
      <c r="A703">
        <f t="shared" si="1132"/>
        <v>701</v>
      </c>
      <c r="B703" s="8" t="s">
        <v>320</v>
      </c>
      <c r="C703" s="9">
        <v>33</v>
      </c>
      <c r="D703" s="9">
        <v>0</v>
      </c>
      <c r="E703" s="9">
        <v>5</v>
      </c>
      <c r="F703" s="9">
        <v>2</v>
      </c>
      <c r="G703" s="9">
        <v>1</v>
      </c>
      <c r="H703">
        <f>_xlfn.XLOOKUP(I703,$B$2:$B$1096,$A$2:$A$1096,65535)</f>
        <v>65535</v>
      </c>
      <c r="I703" s="9"/>
      <c r="J703" t="e">
        <f>C703-#REF!</f>
        <v>#REF!</v>
      </c>
      <c r="K703" t="e">
        <f>D703-#REF!</f>
        <v>#REF!</v>
      </c>
      <c r="L703" t="e">
        <f>E703+#REF!</f>
        <v>#REF!</v>
      </c>
      <c r="M703" t="e">
        <f>F703+#REF!</f>
        <v>#REF!</v>
      </c>
      <c r="N703" t="e">
        <f>G703+#REF!</f>
        <v>#REF!</v>
      </c>
      <c r="O703"/>
      <c r="P703" t="str">
        <f t="shared" si="1211"/>
        <v>0, 5, 2, 1</v>
      </c>
    </row>
    <row r="704" spans="1:16" x14ac:dyDescent="0.2">
      <c r="A704">
        <f t="shared" si="1132"/>
        <v>702</v>
      </c>
      <c r="B704" s="8" t="s">
        <v>321</v>
      </c>
      <c r="C704" s="10">
        <v>32</v>
      </c>
      <c r="D704" s="10">
        <v>0</v>
      </c>
      <c r="E704" s="10">
        <v>5</v>
      </c>
      <c r="F704" s="9">
        <v>2</v>
      </c>
      <c r="G704" s="10">
        <v>0</v>
      </c>
      <c r="H704">
        <f>_xlfn.XLOOKUP(I704,$B$2:$B$1096,$A$2:$A$1096,65535)</f>
        <v>65535</v>
      </c>
      <c r="I704" s="10"/>
      <c r="J704" t="e">
        <f>C704-#REF!</f>
        <v>#REF!</v>
      </c>
      <c r="K704" t="e">
        <f>D704-#REF!</f>
        <v>#REF!</v>
      </c>
      <c r="L704" t="e">
        <f>E704+#REF!</f>
        <v>#REF!</v>
      </c>
      <c r="M704" t="e">
        <f>F704+#REF!</f>
        <v>#REF!</v>
      </c>
      <c r="N704" t="e">
        <f>G704+#REF!</f>
        <v>#REF!</v>
      </c>
      <c r="P704" t="str">
        <f t="shared" si="1211"/>
        <v>0, 5, 2, 0</v>
      </c>
    </row>
    <row r="705" spans="1:16" x14ac:dyDescent="0.2">
      <c r="A705">
        <f t="shared" si="1132"/>
        <v>703</v>
      </c>
      <c r="B705" s="8" t="s">
        <v>322</v>
      </c>
      <c r="C705" s="10">
        <v>34</v>
      </c>
      <c r="D705" s="10">
        <v>0</v>
      </c>
      <c r="E705" s="10">
        <v>5</v>
      </c>
      <c r="F705" s="9">
        <v>2</v>
      </c>
      <c r="G705" s="10">
        <v>1</v>
      </c>
      <c r="H705">
        <f>_xlfn.XLOOKUP(I705,$B$2:$B$1096,$A$2:$A$1096,65535)</f>
        <v>65535</v>
      </c>
      <c r="I705" s="10"/>
      <c r="J705">
        <f>C705-C739</f>
        <v>0</v>
      </c>
      <c r="K705">
        <f>D705-D739</f>
        <v>-4</v>
      </c>
      <c r="L705">
        <f t="shared" ref="L705:N706" si="1214">E705+E739</f>
        <v>5</v>
      </c>
      <c r="M705">
        <f t="shared" si="1214"/>
        <v>2</v>
      </c>
      <c r="N705">
        <f t="shared" si="1214"/>
        <v>1</v>
      </c>
      <c r="P705" t="str">
        <f t="shared" si="1211"/>
        <v>0, 5, 2, 1</v>
      </c>
    </row>
    <row r="706" spans="1:16" x14ac:dyDescent="0.2">
      <c r="A706">
        <f t="shared" si="1132"/>
        <v>704</v>
      </c>
      <c r="B706" s="8" t="s">
        <v>323</v>
      </c>
      <c r="C706" s="10">
        <v>34</v>
      </c>
      <c r="D706" s="10">
        <v>-2</v>
      </c>
      <c r="E706" s="9">
        <v>5</v>
      </c>
      <c r="F706" s="9">
        <v>2</v>
      </c>
      <c r="G706" s="10">
        <v>0</v>
      </c>
      <c r="H706">
        <f>_xlfn.XLOOKUP(I706,$B$2:$B$1096,$A$2:$A$1096,65535)</f>
        <v>65535</v>
      </c>
      <c r="I706" s="10"/>
      <c r="J706">
        <f>C706-C740</f>
        <v>0</v>
      </c>
      <c r="K706">
        <f>D706-D740</f>
        <v>-2</v>
      </c>
      <c r="L706">
        <f t="shared" si="1214"/>
        <v>5</v>
      </c>
      <c r="M706">
        <f t="shared" si="1214"/>
        <v>2</v>
      </c>
      <c r="N706">
        <f t="shared" si="1214"/>
        <v>0</v>
      </c>
      <c r="P706" t="str">
        <f t="shared" si="1211"/>
        <v>-2, 5, 2, 0</v>
      </c>
    </row>
    <row r="707" spans="1:16" x14ac:dyDescent="0.2">
      <c r="A707">
        <f t="shared" si="1132"/>
        <v>705</v>
      </c>
      <c r="B707" s="8" t="s">
        <v>324</v>
      </c>
      <c r="C707" s="10">
        <v>32</v>
      </c>
      <c r="D707" s="10">
        <v>-2</v>
      </c>
      <c r="E707" s="10">
        <v>0</v>
      </c>
      <c r="F707" s="9">
        <v>0</v>
      </c>
      <c r="G707" s="10">
        <v>0</v>
      </c>
      <c r="H707">
        <f>_xlfn.XLOOKUP(I707,$B$2:$B$1096,$A$2:$A$1096,65535)</f>
        <v>65535</v>
      </c>
      <c r="I707" s="10"/>
      <c r="J707">
        <f t="shared" ref="J707:J738" si="1215">C707-C775</f>
        <v>19</v>
      </c>
      <c r="K707">
        <f t="shared" ref="K707:K738" si="1216">D707-D775</f>
        <v>-2</v>
      </c>
      <c r="L707">
        <f t="shared" ref="L707:L738" si="1217">E707+E775</f>
        <v>5</v>
      </c>
      <c r="M707">
        <f t="shared" ref="M707:M738" si="1218">F707+F775</f>
        <v>2</v>
      </c>
      <c r="N707">
        <f t="shared" ref="N707:N738" si="1219">G707+G775</f>
        <v>1</v>
      </c>
      <c r="P707" t="str">
        <f t="shared" si="1211"/>
        <v>-2, 0, 0, 0</v>
      </c>
    </row>
    <row r="708" spans="1:16" x14ac:dyDescent="0.2">
      <c r="A708">
        <f t="shared" si="1132"/>
        <v>706</v>
      </c>
      <c r="B708" s="8" t="s">
        <v>325</v>
      </c>
      <c r="C708" s="10">
        <v>0</v>
      </c>
      <c r="D708" s="10">
        <v>0</v>
      </c>
      <c r="E708" s="10">
        <v>0</v>
      </c>
      <c r="F708" s="9">
        <v>0</v>
      </c>
      <c r="G708" s="10">
        <v>0</v>
      </c>
      <c r="H708">
        <f>_xlfn.XLOOKUP(I708,$B$2:$B$1096,$A$2:$A$1096,65535)</f>
        <v>560</v>
      </c>
      <c r="I708" s="5" t="s">
        <v>112</v>
      </c>
      <c r="J708">
        <f t="shared" si="1215"/>
        <v>-12</v>
      </c>
      <c r="K708">
        <f t="shared" si="1216"/>
        <v>0</v>
      </c>
      <c r="L708">
        <f t="shared" si="1217"/>
        <v>5</v>
      </c>
      <c r="M708">
        <f t="shared" si="1218"/>
        <v>2</v>
      </c>
      <c r="N708">
        <f t="shared" si="1219"/>
        <v>1</v>
      </c>
      <c r="P708" t="str">
        <f t="shared" si="1211"/>
        <v>0, 0, 0, 0</v>
      </c>
    </row>
    <row r="709" spans="1:16" x14ac:dyDescent="0.2">
      <c r="A709">
        <f t="shared" si="1132"/>
        <v>707</v>
      </c>
      <c r="B709" s="1" t="s">
        <v>1181</v>
      </c>
      <c r="C709" s="2">
        <v>12</v>
      </c>
      <c r="D709" s="2">
        <v>0</v>
      </c>
      <c r="E709" s="2">
        <v>0</v>
      </c>
      <c r="F709" s="2">
        <v>0</v>
      </c>
      <c r="G709" s="2">
        <v>0</v>
      </c>
      <c r="H709">
        <f>_xlfn.XLOOKUP(I709,$B$2:$B$1096,$A$2:$A$1096,65535)</f>
        <v>65535</v>
      </c>
      <c r="I709" s="2"/>
      <c r="J709">
        <f t="shared" si="1215"/>
        <v>-1</v>
      </c>
      <c r="K709">
        <f t="shared" si="1216"/>
        <v>0</v>
      </c>
      <c r="L709">
        <f t="shared" si="1217"/>
        <v>5</v>
      </c>
      <c r="M709">
        <f t="shared" si="1218"/>
        <v>2</v>
      </c>
      <c r="N709">
        <f t="shared" si="1219"/>
        <v>1</v>
      </c>
      <c r="P709" t="str">
        <f t="shared" si="1211"/>
        <v>0, 0, 0, 0</v>
      </c>
    </row>
    <row r="710" spans="1:16" x14ac:dyDescent="0.2">
      <c r="A710">
        <f t="shared" si="1132"/>
        <v>708</v>
      </c>
      <c r="B710" s="1" t="s">
        <v>1150</v>
      </c>
      <c r="C710">
        <v>12</v>
      </c>
      <c r="D710">
        <v>4</v>
      </c>
      <c r="E710">
        <v>0</v>
      </c>
      <c r="F710">
        <v>0</v>
      </c>
      <c r="G710">
        <v>0</v>
      </c>
      <c r="H710">
        <f>_xlfn.XLOOKUP(I710,$B$2:$B$1096,$A$2:$A$1096,65535)</f>
        <v>65535</v>
      </c>
      <c r="J710">
        <f t="shared" si="1215"/>
        <v>-2</v>
      </c>
      <c r="K710">
        <f t="shared" si="1216"/>
        <v>4</v>
      </c>
      <c r="L710">
        <f t="shared" si="1217"/>
        <v>5</v>
      </c>
      <c r="M710">
        <f t="shared" si="1218"/>
        <v>2</v>
      </c>
      <c r="N710">
        <f t="shared" si="1219"/>
        <v>1</v>
      </c>
      <c r="P710" t="str">
        <f t="shared" si="1211"/>
        <v>4, 0, 0, 0</v>
      </c>
    </row>
    <row r="711" spans="1:16" x14ac:dyDescent="0.2">
      <c r="A711">
        <f t="shared" si="1132"/>
        <v>709</v>
      </c>
      <c r="B711" s="1" t="s">
        <v>1151</v>
      </c>
      <c r="C711">
        <v>34</v>
      </c>
      <c r="D711">
        <v>-1</v>
      </c>
      <c r="E711">
        <v>0</v>
      </c>
      <c r="F711">
        <v>0</v>
      </c>
      <c r="G711">
        <v>0</v>
      </c>
      <c r="H711">
        <f>_xlfn.XLOOKUP(I711,$B$2:$B$1096,$A$2:$A$1096,65535)</f>
        <v>65535</v>
      </c>
      <c r="J711">
        <f t="shared" si="1215"/>
        <v>21</v>
      </c>
      <c r="K711">
        <f t="shared" si="1216"/>
        <v>2</v>
      </c>
      <c r="L711">
        <f t="shared" si="1217"/>
        <v>0</v>
      </c>
      <c r="M711">
        <f t="shared" si="1218"/>
        <v>0</v>
      </c>
      <c r="N711">
        <f t="shared" si="1219"/>
        <v>0</v>
      </c>
      <c r="P711" t="str">
        <f t="shared" si="1211"/>
        <v>-1, 0, 0, 0</v>
      </c>
    </row>
    <row r="712" spans="1:16" x14ac:dyDescent="0.2">
      <c r="A712">
        <f t="shared" si="1132"/>
        <v>710</v>
      </c>
      <c r="B712" s="1" t="s">
        <v>1152</v>
      </c>
      <c r="C712">
        <v>34</v>
      </c>
      <c r="D712">
        <v>1</v>
      </c>
      <c r="E712">
        <v>0</v>
      </c>
      <c r="F712">
        <v>0</v>
      </c>
      <c r="G712">
        <v>0</v>
      </c>
      <c r="H712">
        <f>_xlfn.XLOOKUP(I712,$B$2:$B$1096,$A$2:$A$1096,65535)</f>
        <v>65535</v>
      </c>
      <c r="J712">
        <f t="shared" si="1215"/>
        <v>-10</v>
      </c>
      <c r="K712">
        <f t="shared" si="1216"/>
        <v>3</v>
      </c>
      <c r="L712">
        <f t="shared" si="1217"/>
        <v>5</v>
      </c>
      <c r="M712">
        <f t="shared" si="1218"/>
        <v>2</v>
      </c>
      <c r="N712">
        <f t="shared" si="1219"/>
        <v>1</v>
      </c>
      <c r="P712" t="str">
        <f t="shared" si="1211"/>
        <v>1, 0, 0, 0</v>
      </c>
    </row>
    <row r="713" spans="1:16" x14ac:dyDescent="0.2">
      <c r="A713">
        <f t="shared" si="1132"/>
        <v>711</v>
      </c>
      <c r="B713" s="1" t="s">
        <v>1153</v>
      </c>
      <c r="C713">
        <v>34</v>
      </c>
      <c r="D713">
        <v>2</v>
      </c>
      <c r="E713">
        <v>0</v>
      </c>
      <c r="F713">
        <v>0</v>
      </c>
      <c r="G713">
        <v>0</v>
      </c>
      <c r="H713">
        <f>_xlfn.XLOOKUP(I713,$B$2:$B$1096,$A$2:$A$1096,65535)</f>
        <v>65535</v>
      </c>
      <c r="J713">
        <f t="shared" si="1215"/>
        <v>-10</v>
      </c>
      <c r="K713">
        <f t="shared" si="1216"/>
        <v>4</v>
      </c>
      <c r="L713">
        <f t="shared" si="1217"/>
        <v>5</v>
      </c>
      <c r="M713">
        <f t="shared" si="1218"/>
        <v>2</v>
      </c>
      <c r="N713">
        <f t="shared" si="1219"/>
        <v>1</v>
      </c>
      <c r="P713" t="str">
        <f t="shared" si="1211"/>
        <v>2, 0, 0, 0</v>
      </c>
    </row>
    <row r="714" spans="1:16" x14ac:dyDescent="0.2">
      <c r="A714">
        <f t="shared" si="1132"/>
        <v>712</v>
      </c>
      <c r="B714" s="1" t="s">
        <v>1154</v>
      </c>
      <c r="C714">
        <v>34</v>
      </c>
      <c r="D714">
        <v>1</v>
      </c>
      <c r="E714">
        <v>0</v>
      </c>
      <c r="F714">
        <v>0</v>
      </c>
      <c r="G714">
        <v>0</v>
      </c>
      <c r="H714">
        <f>_xlfn.XLOOKUP(I714,$B$2:$B$1096,$A$2:$A$1096,65535)</f>
        <v>65535</v>
      </c>
      <c r="J714">
        <f t="shared" si="1215"/>
        <v>-10</v>
      </c>
      <c r="K714">
        <f t="shared" si="1216"/>
        <v>3</v>
      </c>
      <c r="L714">
        <f t="shared" si="1217"/>
        <v>5</v>
      </c>
      <c r="M714">
        <f t="shared" si="1218"/>
        <v>2</v>
      </c>
      <c r="N714">
        <f t="shared" si="1219"/>
        <v>1</v>
      </c>
      <c r="P714" t="str">
        <f t="shared" si="1211"/>
        <v>1, 0, 0, 0</v>
      </c>
    </row>
    <row r="715" spans="1:16" x14ac:dyDescent="0.2">
      <c r="A715">
        <f t="shared" si="1132"/>
        <v>713</v>
      </c>
      <c r="B715" s="1" t="s">
        <v>1155</v>
      </c>
      <c r="C715">
        <v>34</v>
      </c>
      <c r="D715">
        <v>0</v>
      </c>
      <c r="E715">
        <v>0</v>
      </c>
      <c r="F715">
        <v>0</v>
      </c>
      <c r="G715">
        <v>0</v>
      </c>
      <c r="H715">
        <f>_xlfn.XLOOKUP(I715,$B$2:$B$1096,$A$2:$A$1096,65535)</f>
        <v>65535</v>
      </c>
      <c r="J715">
        <f t="shared" si="1215"/>
        <v>-10</v>
      </c>
      <c r="K715">
        <f t="shared" si="1216"/>
        <v>2</v>
      </c>
      <c r="L715">
        <f t="shared" si="1217"/>
        <v>5</v>
      </c>
      <c r="M715">
        <f t="shared" si="1218"/>
        <v>2</v>
      </c>
      <c r="N715">
        <f t="shared" si="1219"/>
        <v>1</v>
      </c>
      <c r="P715" t="str">
        <f t="shared" si="1211"/>
        <v>0, 0, 0, 0</v>
      </c>
    </row>
    <row r="716" spans="1:16" x14ac:dyDescent="0.2">
      <c r="A716">
        <f t="shared" si="1132"/>
        <v>714</v>
      </c>
      <c r="B716" s="1" t="s">
        <v>1156</v>
      </c>
      <c r="C716">
        <v>0</v>
      </c>
      <c r="D716">
        <v>-1</v>
      </c>
      <c r="E716">
        <v>0</v>
      </c>
      <c r="F716">
        <v>0</v>
      </c>
      <c r="G716">
        <v>0</v>
      </c>
      <c r="H716">
        <f>_xlfn.XLOOKUP(I716,$B$2:$B$1096,$A$2:$A$1096,65535)</f>
        <v>65535</v>
      </c>
      <c r="J716">
        <f t="shared" si="1215"/>
        <v>-13</v>
      </c>
      <c r="K716">
        <f t="shared" si="1216"/>
        <v>0</v>
      </c>
      <c r="L716">
        <f t="shared" si="1217"/>
        <v>0</v>
      </c>
      <c r="M716">
        <f t="shared" si="1218"/>
        <v>0</v>
      </c>
      <c r="N716">
        <f t="shared" si="1219"/>
        <v>0</v>
      </c>
      <c r="P716" t="str">
        <f t="shared" si="1211"/>
        <v>-1, 0, 0, 0</v>
      </c>
    </row>
    <row r="717" spans="1:16" x14ac:dyDescent="0.2">
      <c r="A717">
        <f t="shared" si="1132"/>
        <v>715</v>
      </c>
      <c r="B717" s="1" t="s">
        <v>1157</v>
      </c>
      <c r="C717">
        <v>0</v>
      </c>
      <c r="D717">
        <v>-2</v>
      </c>
      <c r="E717">
        <v>0</v>
      </c>
      <c r="F717">
        <v>0</v>
      </c>
      <c r="G717">
        <v>0</v>
      </c>
      <c r="H717">
        <f>_xlfn.XLOOKUP(I717,$B$2:$B$1096,$A$2:$A$1096,65535)</f>
        <v>65535</v>
      </c>
      <c r="J717">
        <f t="shared" si="1215"/>
        <v>-13</v>
      </c>
      <c r="K717">
        <f t="shared" si="1216"/>
        <v>2</v>
      </c>
      <c r="L717">
        <f t="shared" si="1217"/>
        <v>0</v>
      </c>
      <c r="M717">
        <f t="shared" si="1218"/>
        <v>0</v>
      </c>
      <c r="N717">
        <f t="shared" si="1219"/>
        <v>0</v>
      </c>
      <c r="P717" t="str">
        <f t="shared" si="1211"/>
        <v>-2, 0, 0, 0</v>
      </c>
    </row>
    <row r="718" spans="1:16" x14ac:dyDescent="0.2">
      <c r="A718">
        <f t="shared" si="1132"/>
        <v>716</v>
      </c>
      <c r="B718" s="1" t="s">
        <v>1158</v>
      </c>
      <c r="C718">
        <v>0</v>
      </c>
      <c r="D718">
        <v>-1</v>
      </c>
      <c r="E718">
        <v>0</v>
      </c>
      <c r="F718">
        <v>0</v>
      </c>
      <c r="G718">
        <v>0</v>
      </c>
      <c r="H718">
        <f>_xlfn.XLOOKUP(I718,$B$2:$B$1096,$A$2:$A$1096,65535)</f>
        <v>65535</v>
      </c>
      <c r="J718">
        <f t="shared" si="1215"/>
        <v>-13</v>
      </c>
      <c r="K718">
        <f t="shared" si="1216"/>
        <v>-1</v>
      </c>
      <c r="L718">
        <f t="shared" si="1217"/>
        <v>5</v>
      </c>
      <c r="M718">
        <f t="shared" si="1218"/>
        <v>2</v>
      </c>
      <c r="N718">
        <f t="shared" si="1219"/>
        <v>1</v>
      </c>
      <c r="P718" t="str">
        <f t="shared" si="1211"/>
        <v>-1, 0, 0, 0</v>
      </c>
    </row>
    <row r="719" spans="1:16" x14ac:dyDescent="0.2">
      <c r="A719">
        <f t="shared" ref="A719:A782" si="1220">A718+1</f>
        <v>717</v>
      </c>
      <c r="B719" s="1" t="s">
        <v>1159</v>
      </c>
      <c r="C719">
        <v>0</v>
      </c>
      <c r="D719" s="2">
        <v>0</v>
      </c>
      <c r="E719" s="2">
        <v>0</v>
      </c>
      <c r="F719" s="2">
        <v>0</v>
      </c>
      <c r="G719" s="2">
        <v>0</v>
      </c>
      <c r="H719">
        <f>_xlfn.XLOOKUP(I719,$B$2:$B$1096,$A$2:$A$1096,65535)</f>
        <v>65535</v>
      </c>
      <c r="I719" s="2"/>
      <c r="J719">
        <f t="shared" si="1215"/>
        <v>-12</v>
      </c>
      <c r="K719">
        <f t="shared" si="1216"/>
        <v>0</v>
      </c>
      <c r="L719">
        <f t="shared" si="1217"/>
        <v>5</v>
      </c>
      <c r="M719">
        <f t="shared" si="1218"/>
        <v>2</v>
      </c>
      <c r="N719">
        <f t="shared" si="1219"/>
        <v>1</v>
      </c>
      <c r="P719" t="str">
        <f t="shared" si="1211"/>
        <v>0, 0, 0, 0</v>
      </c>
    </row>
    <row r="720" spans="1:16" x14ac:dyDescent="0.2">
      <c r="A720">
        <f t="shared" si="1220"/>
        <v>718</v>
      </c>
      <c r="B720" s="1" t="s">
        <v>1160</v>
      </c>
      <c r="C720">
        <v>34</v>
      </c>
      <c r="D720">
        <v>1</v>
      </c>
      <c r="E720">
        <v>0</v>
      </c>
      <c r="F720">
        <v>0</v>
      </c>
      <c r="G720">
        <v>0</v>
      </c>
      <c r="H720">
        <f>_xlfn.XLOOKUP(I720,$B$2:$B$1096,$A$2:$A$1096,65535)</f>
        <v>65535</v>
      </c>
      <c r="J720">
        <f t="shared" si="1215"/>
        <v>21</v>
      </c>
      <c r="K720">
        <f t="shared" si="1216"/>
        <v>1</v>
      </c>
      <c r="L720">
        <f t="shared" si="1217"/>
        <v>5</v>
      </c>
      <c r="M720">
        <f t="shared" si="1218"/>
        <v>2</v>
      </c>
      <c r="N720">
        <f t="shared" si="1219"/>
        <v>1</v>
      </c>
      <c r="P720" t="str">
        <f t="shared" si="1211"/>
        <v>1, 0, 0, 0</v>
      </c>
    </row>
    <row r="721" spans="1:16" x14ac:dyDescent="0.2">
      <c r="A721">
        <f t="shared" si="1220"/>
        <v>719</v>
      </c>
      <c r="B721" s="1" t="s">
        <v>1161</v>
      </c>
      <c r="C721">
        <v>34</v>
      </c>
      <c r="D721">
        <v>2</v>
      </c>
      <c r="E721">
        <v>0</v>
      </c>
      <c r="F721">
        <v>0</v>
      </c>
      <c r="G721">
        <v>0</v>
      </c>
      <c r="H721">
        <f>_xlfn.XLOOKUP(I721,$B$2:$B$1096,$A$2:$A$1096,65535)</f>
        <v>65535</v>
      </c>
      <c r="J721">
        <f t="shared" si="1215"/>
        <v>20</v>
      </c>
      <c r="K721">
        <f t="shared" si="1216"/>
        <v>2</v>
      </c>
      <c r="L721">
        <f t="shared" si="1217"/>
        <v>5</v>
      </c>
      <c r="M721">
        <f t="shared" si="1218"/>
        <v>2</v>
      </c>
      <c r="N721">
        <f t="shared" si="1219"/>
        <v>1</v>
      </c>
      <c r="P721" t="str">
        <f t="shared" si="1211"/>
        <v>2, 0, 0, 0</v>
      </c>
    </row>
    <row r="722" spans="1:16" x14ac:dyDescent="0.2">
      <c r="A722">
        <f t="shared" si="1220"/>
        <v>720</v>
      </c>
      <c r="B722" s="1" t="s">
        <v>1162</v>
      </c>
      <c r="C722">
        <v>34</v>
      </c>
      <c r="D722">
        <v>3</v>
      </c>
      <c r="E722">
        <v>0</v>
      </c>
      <c r="F722">
        <v>0</v>
      </c>
      <c r="G722">
        <v>0</v>
      </c>
      <c r="H722">
        <f>_xlfn.XLOOKUP(I722,$B$2:$B$1096,$A$2:$A$1096,65535)</f>
        <v>65535</v>
      </c>
      <c r="J722">
        <f t="shared" si="1215"/>
        <v>21</v>
      </c>
      <c r="K722">
        <f t="shared" si="1216"/>
        <v>6</v>
      </c>
      <c r="L722">
        <f t="shared" si="1217"/>
        <v>0</v>
      </c>
      <c r="M722">
        <f t="shared" si="1218"/>
        <v>0</v>
      </c>
      <c r="N722">
        <f t="shared" si="1219"/>
        <v>0</v>
      </c>
      <c r="P722" t="str">
        <f t="shared" si="1211"/>
        <v>3, 0, 0, 0</v>
      </c>
    </row>
    <row r="723" spans="1:16" x14ac:dyDescent="0.2">
      <c r="A723">
        <f t="shared" si="1220"/>
        <v>721</v>
      </c>
      <c r="B723" s="1" t="s">
        <v>1163</v>
      </c>
      <c r="C723">
        <v>34</v>
      </c>
      <c r="D723">
        <v>3</v>
      </c>
      <c r="E723">
        <v>0</v>
      </c>
      <c r="F723">
        <v>0</v>
      </c>
      <c r="G723">
        <v>0</v>
      </c>
      <c r="H723">
        <f>_xlfn.XLOOKUP(I723,$B$2:$B$1096,$A$2:$A$1096,65535)</f>
        <v>65535</v>
      </c>
      <c r="J723">
        <f t="shared" si="1215"/>
        <v>-10</v>
      </c>
      <c r="K723">
        <f t="shared" si="1216"/>
        <v>5</v>
      </c>
      <c r="L723">
        <f t="shared" si="1217"/>
        <v>5</v>
      </c>
      <c r="M723">
        <f t="shared" si="1218"/>
        <v>2</v>
      </c>
      <c r="N723">
        <f t="shared" si="1219"/>
        <v>1</v>
      </c>
      <c r="P723" t="str">
        <f t="shared" si="1211"/>
        <v>3, 0, 0, 0</v>
      </c>
    </row>
    <row r="724" spans="1:16" x14ac:dyDescent="0.2">
      <c r="A724">
        <f t="shared" si="1220"/>
        <v>722</v>
      </c>
      <c r="B724" s="1" t="s">
        <v>1164</v>
      </c>
      <c r="C724">
        <v>34</v>
      </c>
      <c r="D724">
        <v>2</v>
      </c>
      <c r="E724">
        <v>0</v>
      </c>
      <c r="F724">
        <v>0</v>
      </c>
      <c r="G724">
        <v>0</v>
      </c>
      <c r="H724">
        <f>_xlfn.XLOOKUP(I724,$B$2:$B$1096,$A$2:$A$1096,65535)</f>
        <v>65535</v>
      </c>
      <c r="J724">
        <f t="shared" si="1215"/>
        <v>-10</v>
      </c>
      <c r="K724">
        <f t="shared" si="1216"/>
        <v>4</v>
      </c>
      <c r="L724">
        <f t="shared" si="1217"/>
        <v>5</v>
      </c>
      <c r="M724">
        <f t="shared" si="1218"/>
        <v>2</v>
      </c>
      <c r="N724">
        <f t="shared" si="1219"/>
        <v>1</v>
      </c>
      <c r="P724" t="str">
        <f t="shared" si="1211"/>
        <v>2, 0, 0, 0</v>
      </c>
    </row>
    <row r="725" spans="1:16" x14ac:dyDescent="0.2">
      <c r="A725">
        <f t="shared" si="1220"/>
        <v>723</v>
      </c>
      <c r="B725" s="1" t="s">
        <v>1165</v>
      </c>
      <c r="C725">
        <v>34</v>
      </c>
      <c r="D725">
        <v>1</v>
      </c>
      <c r="E725">
        <v>0</v>
      </c>
      <c r="F725">
        <v>0</v>
      </c>
      <c r="G725">
        <v>0</v>
      </c>
      <c r="H725">
        <f>_xlfn.XLOOKUP(I725,$B$2:$B$1096,$A$2:$A$1096,65535)</f>
        <v>65535</v>
      </c>
      <c r="J725">
        <f t="shared" si="1215"/>
        <v>-10</v>
      </c>
      <c r="K725">
        <f t="shared" si="1216"/>
        <v>3</v>
      </c>
      <c r="L725">
        <f t="shared" si="1217"/>
        <v>5</v>
      </c>
      <c r="M725">
        <f t="shared" si="1218"/>
        <v>2</v>
      </c>
      <c r="N725">
        <f t="shared" si="1219"/>
        <v>1</v>
      </c>
      <c r="P725" t="str">
        <f t="shared" si="1211"/>
        <v>1, 0, 0, 0</v>
      </c>
    </row>
    <row r="726" spans="1:16" x14ac:dyDescent="0.2">
      <c r="A726">
        <f t="shared" si="1220"/>
        <v>724</v>
      </c>
      <c r="B726" s="1" t="s">
        <v>1166</v>
      </c>
      <c r="C726">
        <v>34</v>
      </c>
      <c r="D726">
        <v>0</v>
      </c>
      <c r="E726">
        <v>0</v>
      </c>
      <c r="F726">
        <v>0</v>
      </c>
      <c r="G726">
        <v>0</v>
      </c>
      <c r="H726">
        <f>_xlfn.XLOOKUP(I726,$B$2:$B$1096,$A$2:$A$1096,65535)</f>
        <v>65535</v>
      </c>
      <c r="J726">
        <f t="shared" si="1215"/>
        <v>-10</v>
      </c>
      <c r="K726">
        <f t="shared" si="1216"/>
        <v>2</v>
      </c>
      <c r="L726">
        <f t="shared" si="1217"/>
        <v>5</v>
      </c>
      <c r="M726">
        <f t="shared" si="1218"/>
        <v>2</v>
      </c>
      <c r="N726">
        <f t="shared" si="1219"/>
        <v>1</v>
      </c>
      <c r="P726" t="str">
        <f t="shared" si="1211"/>
        <v>0, 0, 0, 0</v>
      </c>
    </row>
    <row r="727" spans="1:16" x14ac:dyDescent="0.2">
      <c r="A727">
        <f t="shared" si="1220"/>
        <v>725</v>
      </c>
      <c r="B727" s="1" t="s">
        <v>1167</v>
      </c>
      <c r="C727">
        <v>0</v>
      </c>
      <c r="D727">
        <v>-1</v>
      </c>
      <c r="E727">
        <v>0</v>
      </c>
      <c r="F727">
        <v>0</v>
      </c>
      <c r="G727">
        <v>0</v>
      </c>
      <c r="H727">
        <f>_xlfn.XLOOKUP(I727,$B$2:$B$1096,$A$2:$A$1096,65535)</f>
        <v>65535</v>
      </c>
      <c r="J727">
        <f t="shared" si="1215"/>
        <v>-44</v>
      </c>
      <c r="K727">
        <f t="shared" si="1216"/>
        <v>1</v>
      </c>
      <c r="L727">
        <f t="shared" si="1217"/>
        <v>5</v>
      </c>
      <c r="M727">
        <f t="shared" si="1218"/>
        <v>2</v>
      </c>
      <c r="N727">
        <f t="shared" si="1219"/>
        <v>1</v>
      </c>
      <c r="P727" t="str">
        <f t="shared" si="1211"/>
        <v>-1, 0, 0, 0</v>
      </c>
    </row>
    <row r="728" spans="1:16" x14ac:dyDescent="0.2">
      <c r="A728">
        <f t="shared" si="1220"/>
        <v>726</v>
      </c>
      <c r="B728" s="1" t="s">
        <v>1168</v>
      </c>
      <c r="C728">
        <v>0</v>
      </c>
      <c r="D728">
        <v>-2</v>
      </c>
      <c r="E728">
        <v>0</v>
      </c>
      <c r="F728">
        <v>0</v>
      </c>
      <c r="G728">
        <v>0</v>
      </c>
      <c r="H728">
        <f>_xlfn.XLOOKUP(I728,$B$2:$B$1096,$A$2:$A$1096,65535)</f>
        <v>65535</v>
      </c>
      <c r="J728">
        <f t="shared" si="1215"/>
        <v>-44</v>
      </c>
      <c r="K728">
        <f t="shared" si="1216"/>
        <v>0</v>
      </c>
      <c r="L728">
        <f t="shared" si="1217"/>
        <v>5</v>
      </c>
      <c r="M728">
        <f t="shared" si="1218"/>
        <v>2</v>
      </c>
      <c r="N728">
        <f t="shared" si="1219"/>
        <v>1</v>
      </c>
      <c r="P728" t="str">
        <f t="shared" si="1211"/>
        <v>-2, 0, 0, 0</v>
      </c>
    </row>
    <row r="729" spans="1:16" x14ac:dyDescent="0.2">
      <c r="A729">
        <f t="shared" si="1220"/>
        <v>727</v>
      </c>
      <c r="B729" s="1" t="s">
        <v>1169</v>
      </c>
      <c r="C729">
        <v>0</v>
      </c>
      <c r="D729">
        <v>-3</v>
      </c>
      <c r="E729">
        <v>0</v>
      </c>
      <c r="F729">
        <v>0</v>
      </c>
      <c r="G729">
        <v>0</v>
      </c>
      <c r="H729">
        <f>_xlfn.XLOOKUP(I729,$B$2:$B$1096,$A$2:$A$1096,65535)</f>
        <v>65535</v>
      </c>
      <c r="J729">
        <f t="shared" si="1215"/>
        <v>-44</v>
      </c>
      <c r="K729">
        <f t="shared" si="1216"/>
        <v>-2</v>
      </c>
      <c r="L729">
        <f t="shared" si="1217"/>
        <v>5</v>
      </c>
      <c r="M729">
        <f t="shared" si="1218"/>
        <v>2</v>
      </c>
      <c r="N729">
        <f t="shared" si="1219"/>
        <v>1</v>
      </c>
      <c r="P729" t="str">
        <f t="shared" si="1211"/>
        <v>-3, 0, 0, 0</v>
      </c>
    </row>
    <row r="730" spans="1:16" x14ac:dyDescent="0.2">
      <c r="A730">
        <f t="shared" si="1220"/>
        <v>728</v>
      </c>
      <c r="B730" s="1" t="s">
        <v>1170</v>
      </c>
      <c r="C730">
        <v>0</v>
      </c>
      <c r="D730">
        <v>-3</v>
      </c>
      <c r="E730">
        <v>0</v>
      </c>
      <c r="F730">
        <v>0</v>
      </c>
      <c r="G730">
        <v>0</v>
      </c>
      <c r="H730">
        <f>_xlfn.XLOOKUP(I730,$B$2:$B$1096,$A$2:$A$1096,65535)</f>
        <v>65535</v>
      </c>
      <c r="J730">
        <f t="shared" si="1215"/>
        <v>-13</v>
      </c>
      <c r="K730">
        <f t="shared" si="1216"/>
        <v>-3</v>
      </c>
      <c r="L730">
        <f t="shared" si="1217"/>
        <v>5</v>
      </c>
      <c r="M730">
        <f t="shared" si="1218"/>
        <v>2</v>
      </c>
      <c r="N730">
        <f t="shared" si="1219"/>
        <v>1</v>
      </c>
      <c r="P730" t="str">
        <f t="shared" si="1211"/>
        <v>-3, 0, 0, 0</v>
      </c>
    </row>
    <row r="731" spans="1:16" x14ac:dyDescent="0.2">
      <c r="A731">
        <f t="shared" si="1220"/>
        <v>729</v>
      </c>
      <c r="B731" s="1" t="s">
        <v>1171</v>
      </c>
      <c r="C731">
        <v>0</v>
      </c>
      <c r="D731">
        <v>-2</v>
      </c>
      <c r="E731">
        <v>0</v>
      </c>
      <c r="F731">
        <v>0</v>
      </c>
      <c r="G731">
        <v>0</v>
      </c>
      <c r="H731">
        <f>_xlfn.XLOOKUP(I731,$B$2:$B$1096,$A$2:$A$1096,65535)</f>
        <v>65535</v>
      </c>
      <c r="J731">
        <f t="shared" si="1215"/>
        <v>-13</v>
      </c>
      <c r="K731">
        <f t="shared" si="1216"/>
        <v>-2</v>
      </c>
      <c r="L731">
        <f t="shared" si="1217"/>
        <v>5</v>
      </c>
      <c r="M731">
        <f t="shared" si="1218"/>
        <v>2</v>
      </c>
      <c r="N731">
        <f t="shared" si="1219"/>
        <v>1</v>
      </c>
      <c r="P731" t="str">
        <f t="shared" si="1211"/>
        <v>-2, 0, 0, 0</v>
      </c>
    </row>
    <row r="732" spans="1:16" x14ac:dyDescent="0.2">
      <c r="A732">
        <f t="shared" si="1220"/>
        <v>730</v>
      </c>
      <c r="B732" s="1" t="s">
        <v>1172</v>
      </c>
      <c r="C732">
        <v>0</v>
      </c>
      <c r="D732">
        <v>-1</v>
      </c>
      <c r="E732">
        <v>0</v>
      </c>
      <c r="F732">
        <v>0</v>
      </c>
      <c r="G732">
        <v>0</v>
      </c>
      <c r="H732">
        <f>_xlfn.XLOOKUP(I732,$B$2:$B$1096,$A$2:$A$1096,65535)</f>
        <v>65535</v>
      </c>
      <c r="J732">
        <f t="shared" si="1215"/>
        <v>-12</v>
      </c>
      <c r="K732">
        <f t="shared" si="1216"/>
        <v>-1</v>
      </c>
      <c r="L732">
        <f t="shared" si="1217"/>
        <v>5</v>
      </c>
      <c r="M732">
        <f t="shared" si="1218"/>
        <v>2</v>
      </c>
      <c r="N732">
        <f t="shared" si="1219"/>
        <v>1</v>
      </c>
      <c r="P732" t="str">
        <f t="shared" si="1211"/>
        <v>-1, 0, 0, 0</v>
      </c>
    </row>
    <row r="733" spans="1:16" x14ac:dyDescent="0.2">
      <c r="A733">
        <f t="shared" si="1220"/>
        <v>731</v>
      </c>
      <c r="B733" s="1" t="s">
        <v>1173</v>
      </c>
      <c r="C733">
        <v>0</v>
      </c>
      <c r="D733">
        <v>0</v>
      </c>
      <c r="E733">
        <v>0</v>
      </c>
      <c r="F733">
        <v>0</v>
      </c>
      <c r="G733">
        <v>0</v>
      </c>
      <c r="H733">
        <f>_xlfn.XLOOKUP(I733,$B$2:$B$1096,$A$2:$A$1096,65535)</f>
        <v>65535</v>
      </c>
      <c r="J733">
        <f t="shared" si="1215"/>
        <v>-13</v>
      </c>
      <c r="K733">
        <f t="shared" si="1216"/>
        <v>0</v>
      </c>
      <c r="L733">
        <f t="shared" si="1217"/>
        <v>5</v>
      </c>
      <c r="M733">
        <f t="shared" si="1218"/>
        <v>2</v>
      </c>
      <c r="N733">
        <f t="shared" si="1219"/>
        <v>1</v>
      </c>
      <c r="P733" t="str">
        <f t="shared" si="1211"/>
        <v>0, 0, 0, 0</v>
      </c>
    </row>
    <row r="734" spans="1:16" x14ac:dyDescent="0.2">
      <c r="A734">
        <f t="shared" si="1220"/>
        <v>732</v>
      </c>
      <c r="B734" s="1" t="s">
        <v>1174</v>
      </c>
      <c r="C734">
        <v>34</v>
      </c>
      <c r="D734">
        <v>1</v>
      </c>
      <c r="E734">
        <v>0</v>
      </c>
      <c r="F734">
        <v>0</v>
      </c>
      <c r="G734">
        <v>0</v>
      </c>
      <c r="H734">
        <f>_xlfn.XLOOKUP(I734,$B$2:$B$1096,$A$2:$A$1096,65535)</f>
        <v>65535</v>
      </c>
      <c r="J734">
        <f t="shared" si="1215"/>
        <v>20</v>
      </c>
      <c r="K734">
        <f t="shared" si="1216"/>
        <v>1</v>
      </c>
      <c r="L734">
        <f t="shared" si="1217"/>
        <v>5</v>
      </c>
      <c r="M734">
        <f t="shared" si="1218"/>
        <v>2</v>
      </c>
      <c r="N734">
        <f t="shared" si="1219"/>
        <v>1</v>
      </c>
      <c r="P734" t="str">
        <f t="shared" si="1211"/>
        <v>1, 0, 0, 0</v>
      </c>
    </row>
    <row r="735" spans="1:16" x14ac:dyDescent="0.2">
      <c r="A735">
        <f t="shared" si="1220"/>
        <v>733</v>
      </c>
      <c r="B735" s="1" t="s">
        <v>1175</v>
      </c>
      <c r="C735">
        <v>34</v>
      </c>
      <c r="D735">
        <v>2</v>
      </c>
      <c r="E735">
        <v>0</v>
      </c>
      <c r="F735">
        <v>0</v>
      </c>
      <c r="G735">
        <v>0</v>
      </c>
      <c r="H735">
        <f>_xlfn.XLOOKUP(I735,$B$2:$B$1096,$A$2:$A$1096,65535)</f>
        <v>65535</v>
      </c>
      <c r="J735">
        <f t="shared" si="1215"/>
        <v>21</v>
      </c>
      <c r="K735">
        <f t="shared" si="1216"/>
        <v>5</v>
      </c>
      <c r="L735">
        <f t="shared" si="1217"/>
        <v>5</v>
      </c>
      <c r="M735">
        <f t="shared" si="1218"/>
        <v>2</v>
      </c>
      <c r="N735">
        <f t="shared" si="1219"/>
        <v>1</v>
      </c>
      <c r="P735" t="str">
        <f t="shared" si="1211"/>
        <v>2, 0, 0, 0</v>
      </c>
    </row>
    <row r="736" spans="1:16" x14ac:dyDescent="0.2">
      <c r="A736">
        <f t="shared" si="1220"/>
        <v>734</v>
      </c>
      <c r="B736" s="1" t="s">
        <v>1176</v>
      </c>
      <c r="C736">
        <v>34</v>
      </c>
      <c r="D736">
        <v>3</v>
      </c>
      <c r="E736">
        <v>0</v>
      </c>
      <c r="F736">
        <v>0</v>
      </c>
      <c r="G736">
        <v>0</v>
      </c>
      <c r="H736">
        <f>_xlfn.XLOOKUP(I736,$B$2:$B$1096,$A$2:$A$1096,65535)</f>
        <v>65535</v>
      </c>
      <c r="J736">
        <f t="shared" si="1215"/>
        <v>-10</v>
      </c>
      <c r="K736">
        <f t="shared" si="1216"/>
        <v>5</v>
      </c>
      <c r="L736">
        <f t="shared" si="1217"/>
        <v>5</v>
      </c>
      <c r="M736">
        <f t="shared" si="1218"/>
        <v>2</v>
      </c>
      <c r="N736">
        <f t="shared" si="1219"/>
        <v>1</v>
      </c>
      <c r="P736" t="str">
        <f t="shared" si="1211"/>
        <v>3, 0, 0, 0</v>
      </c>
    </row>
    <row r="737" spans="1:16" x14ac:dyDescent="0.2">
      <c r="A737">
        <f t="shared" si="1220"/>
        <v>735</v>
      </c>
      <c r="B737" s="1" t="s">
        <v>1177</v>
      </c>
      <c r="C737">
        <v>34</v>
      </c>
      <c r="D737">
        <v>3</v>
      </c>
      <c r="E737">
        <v>0</v>
      </c>
      <c r="F737">
        <v>0</v>
      </c>
      <c r="G737">
        <v>0</v>
      </c>
      <c r="H737">
        <f>_xlfn.XLOOKUP(I737,$B$2:$B$1096,$A$2:$A$1096,65535)</f>
        <v>65535</v>
      </c>
      <c r="J737">
        <f t="shared" si="1215"/>
        <v>-10</v>
      </c>
      <c r="K737">
        <f t="shared" si="1216"/>
        <v>5</v>
      </c>
      <c r="L737">
        <f t="shared" si="1217"/>
        <v>5</v>
      </c>
      <c r="M737">
        <f t="shared" si="1218"/>
        <v>2</v>
      </c>
      <c r="N737">
        <f t="shared" si="1219"/>
        <v>1</v>
      </c>
      <c r="P737" t="str">
        <f t="shared" si="1211"/>
        <v>3, 0, 0, 0</v>
      </c>
    </row>
    <row r="738" spans="1:16" x14ac:dyDescent="0.2">
      <c r="A738">
        <f t="shared" si="1220"/>
        <v>736</v>
      </c>
      <c r="B738" s="1" t="s">
        <v>1178</v>
      </c>
      <c r="C738">
        <v>34</v>
      </c>
      <c r="D738">
        <v>4</v>
      </c>
      <c r="E738">
        <v>0</v>
      </c>
      <c r="F738">
        <v>0</v>
      </c>
      <c r="G738">
        <v>0</v>
      </c>
      <c r="H738">
        <f>_xlfn.XLOOKUP(I738,$B$2:$B$1096,$A$2:$A$1096,65535)</f>
        <v>65535</v>
      </c>
      <c r="J738">
        <f t="shared" si="1215"/>
        <v>-10</v>
      </c>
      <c r="K738">
        <f t="shared" si="1216"/>
        <v>6</v>
      </c>
      <c r="L738">
        <f t="shared" si="1217"/>
        <v>5</v>
      </c>
      <c r="M738">
        <f t="shared" si="1218"/>
        <v>2</v>
      </c>
      <c r="N738">
        <f t="shared" si="1219"/>
        <v>1</v>
      </c>
      <c r="P738" t="str">
        <f t="shared" si="1211"/>
        <v>4, 0, 0, 0</v>
      </c>
    </row>
    <row r="739" spans="1:16" x14ac:dyDescent="0.2">
      <c r="A739">
        <f t="shared" si="1220"/>
        <v>737</v>
      </c>
      <c r="B739" s="1" t="s">
        <v>1179</v>
      </c>
      <c r="C739">
        <v>34</v>
      </c>
      <c r="D739">
        <v>4</v>
      </c>
      <c r="E739">
        <v>0</v>
      </c>
      <c r="F739">
        <v>0</v>
      </c>
      <c r="G739">
        <v>0</v>
      </c>
      <c r="H739">
        <f>_xlfn.XLOOKUP(I739,$B$2:$B$1096,$A$2:$A$1096,65535)</f>
        <v>65535</v>
      </c>
      <c r="J739">
        <f t="shared" ref="J739:K739" si="1221">C739-C809</f>
        <v>-10</v>
      </c>
      <c r="K739">
        <f t="shared" si="1221"/>
        <v>6</v>
      </c>
      <c r="L739">
        <f t="shared" ref="L739:N739" si="1222">E739+E809</f>
        <v>5</v>
      </c>
      <c r="M739">
        <f t="shared" si="1222"/>
        <v>2</v>
      </c>
      <c r="N739">
        <f t="shared" si="1222"/>
        <v>1</v>
      </c>
      <c r="P739" t="str">
        <f t="shared" si="1211"/>
        <v>4, 0, 0, 0</v>
      </c>
    </row>
    <row r="740" spans="1:16" x14ac:dyDescent="0.2">
      <c r="A740">
        <f t="shared" si="1220"/>
        <v>738</v>
      </c>
      <c r="B740" s="1" t="s">
        <v>1180</v>
      </c>
      <c r="C740">
        <v>34</v>
      </c>
      <c r="D740">
        <v>0</v>
      </c>
      <c r="E740">
        <v>0</v>
      </c>
      <c r="F740">
        <v>0</v>
      </c>
      <c r="G740">
        <v>0</v>
      </c>
      <c r="H740">
        <f>_xlfn.XLOOKUP(I740,$B$2:$B$1096,$A$2:$A$1096,65535)</f>
        <v>700</v>
      </c>
      <c r="I740" s="8" t="s">
        <v>319</v>
      </c>
      <c r="J740">
        <f t="shared" ref="J740:K755" si="1223">C740-C810</f>
        <v>-10</v>
      </c>
      <c r="K740">
        <f t="shared" si="1223"/>
        <v>1</v>
      </c>
      <c r="L740">
        <f t="shared" ref="L740:N755" si="1224">E740+E810</f>
        <v>5</v>
      </c>
      <c r="M740">
        <f t="shared" si="1224"/>
        <v>2</v>
      </c>
      <c r="N740">
        <f t="shared" si="1224"/>
        <v>1</v>
      </c>
      <c r="P740" t="str">
        <f t="shared" si="1211"/>
        <v>0, 0, 0, 0</v>
      </c>
    </row>
    <row r="741" spans="1:16" x14ac:dyDescent="0.2">
      <c r="A741">
        <f t="shared" si="1220"/>
        <v>739</v>
      </c>
      <c r="B741" s="1" t="s">
        <v>1116</v>
      </c>
      <c r="C741" s="2">
        <v>12</v>
      </c>
      <c r="D741" s="2">
        <v>0</v>
      </c>
      <c r="E741" s="2">
        <v>0</v>
      </c>
      <c r="F741" s="2">
        <v>0</v>
      </c>
      <c r="G741" s="2">
        <v>0</v>
      </c>
      <c r="H741">
        <f>_xlfn.XLOOKUP(I741,$B$2:$B$1096,$A$2:$A$1096,65535)</f>
        <v>65535</v>
      </c>
      <c r="I741" s="2"/>
      <c r="J741">
        <f t="shared" si="1223"/>
        <v>-32</v>
      </c>
      <c r="K741">
        <f t="shared" si="1223"/>
        <v>0</v>
      </c>
      <c r="L741">
        <f t="shared" si="1224"/>
        <v>0</v>
      </c>
      <c r="M741">
        <f t="shared" si="1224"/>
        <v>0</v>
      </c>
      <c r="N741">
        <f t="shared" si="1224"/>
        <v>0</v>
      </c>
      <c r="P741" t="str">
        <f t="shared" ref="P741:P774" si="1225">_xlfn.CONCAT(D741,", ",E741,", ",F741,", ",G741)</f>
        <v>0, 0, 0, 0</v>
      </c>
    </row>
    <row r="742" spans="1:16" x14ac:dyDescent="0.2">
      <c r="A742">
        <f t="shared" si="1220"/>
        <v>740</v>
      </c>
      <c r="B742" s="1" t="s">
        <v>1117</v>
      </c>
      <c r="C742">
        <v>12</v>
      </c>
      <c r="D742">
        <v>4</v>
      </c>
      <c r="E742">
        <v>0</v>
      </c>
      <c r="F742">
        <v>0</v>
      </c>
      <c r="G742">
        <v>0</v>
      </c>
      <c r="H742">
        <f>_xlfn.XLOOKUP(I742,$B$2:$B$1096,$A$2:$A$1096,65535)</f>
        <v>65535</v>
      </c>
      <c r="J742">
        <f t="shared" si="1223"/>
        <v>-32</v>
      </c>
      <c r="K742">
        <f t="shared" si="1223"/>
        <v>6</v>
      </c>
      <c r="L742">
        <f t="shared" si="1224"/>
        <v>5</v>
      </c>
      <c r="M742">
        <f t="shared" si="1224"/>
        <v>2</v>
      </c>
      <c r="N742">
        <f t="shared" si="1224"/>
        <v>1</v>
      </c>
      <c r="P742" t="str">
        <f t="shared" si="1225"/>
        <v>4, 0, 0, 0</v>
      </c>
    </row>
    <row r="743" spans="1:16" x14ac:dyDescent="0.2">
      <c r="A743">
        <f t="shared" si="1220"/>
        <v>741</v>
      </c>
      <c r="B743" s="1" t="s">
        <v>1118</v>
      </c>
      <c r="C743">
        <v>34</v>
      </c>
      <c r="D743">
        <v>-1</v>
      </c>
      <c r="E743">
        <v>0</v>
      </c>
      <c r="F743">
        <v>0</v>
      </c>
      <c r="G743">
        <v>0</v>
      </c>
      <c r="H743">
        <f>_xlfn.XLOOKUP(I743,$B$2:$B$1096,$A$2:$A$1096,65535)</f>
        <v>65535</v>
      </c>
      <c r="J743">
        <f t="shared" si="1223"/>
        <v>-10</v>
      </c>
      <c r="K743">
        <f t="shared" si="1223"/>
        <v>1</v>
      </c>
      <c r="L743">
        <f t="shared" si="1224"/>
        <v>5</v>
      </c>
      <c r="M743">
        <f t="shared" si="1224"/>
        <v>2</v>
      </c>
      <c r="N743">
        <f t="shared" si="1224"/>
        <v>1</v>
      </c>
      <c r="P743" t="str">
        <f t="shared" si="1225"/>
        <v>-1, 0, 0, 0</v>
      </c>
    </row>
    <row r="744" spans="1:16" x14ac:dyDescent="0.2">
      <c r="A744">
        <f t="shared" si="1220"/>
        <v>742</v>
      </c>
      <c r="B744" s="1" t="s">
        <v>1119</v>
      </c>
      <c r="C744">
        <v>34</v>
      </c>
      <c r="D744">
        <v>1</v>
      </c>
      <c r="E744">
        <v>0</v>
      </c>
      <c r="F744">
        <v>0</v>
      </c>
      <c r="G744">
        <v>0</v>
      </c>
      <c r="H744">
        <f>_xlfn.XLOOKUP(I744,$B$2:$B$1096,$A$2:$A$1096,65535)</f>
        <v>65535</v>
      </c>
      <c r="J744">
        <f t="shared" si="1223"/>
        <v>-10</v>
      </c>
      <c r="K744">
        <f t="shared" si="1223"/>
        <v>3</v>
      </c>
      <c r="L744">
        <f t="shared" si="1224"/>
        <v>5</v>
      </c>
      <c r="M744">
        <f t="shared" si="1224"/>
        <v>2</v>
      </c>
      <c r="N744">
        <f t="shared" si="1224"/>
        <v>1</v>
      </c>
      <c r="P744" t="str">
        <f t="shared" si="1225"/>
        <v>1, 0, 0, 0</v>
      </c>
    </row>
    <row r="745" spans="1:16" x14ac:dyDescent="0.2">
      <c r="A745">
        <f t="shared" si="1220"/>
        <v>743</v>
      </c>
      <c r="B745" s="1" t="s">
        <v>1120</v>
      </c>
      <c r="C745">
        <v>34</v>
      </c>
      <c r="D745">
        <v>2</v>
      </c>
      <c r="E745">
        <v>0</v>
      </c>
      <c r="F745">
        <v>0</v>
      </c>
      <c r="G745">
        <v>0</v>
      </c>
      <c r="H745">
        <f>_xlfn.XLOOKUP(I745,$B$2:$B$1096,$A$2:$A$1096,65535)</f>
        <v>65535</v>
      </c>
      <c r="J745">
        <f t="shared" si="1223"/>
        <v>-10</v>
      </c>
      <c r="K745">
        <f t="shared" si="1223"/>
        <v>4</v>
      </c>
      <c r="L745">
        <f t="shared" si="1224"/>
        <v>5</v>
      </c>
      <c r="M745">
        <f t="shared" si="1224"/>
        <v>2</v>
      </c>
      <c r="N745">
        <f t="shared" si="1224"/>
        <v>1</v>
      </c>
      <c r="P745" t="str">
        <f t="shared" si="1225"/>
        <v>2, 0, 0, 0</v>
      </c>
    </row>
    <row r="746" spans="1:16" x14ac:dyDescent="0.2">
      <c r="A746">
        <f t="shared" si="1220"/>
        <v>744</v>
      </c>
      <c r="B746" s="1" t="s">
        <v>1121</v>
      </c>
      <c r="C746">
        <v>34</v>
      </c>
      <c r="D746">
        <v>1</v>
      </c>
      <c r="E746">
        <v>0</v>
      </c>
      <c r="F746">
        <v>0</v>
      </c>
      <c r="G746">
        <v>0</v>
      </c>
      <c r="H746">
        <f>_xlfn.XLOOKUP(I746,$B$2:$B$1096,$A$2:$A$1096,65535)</f>
        <v>65535</v>
      </c>
      <c r="J746">
        <f t="shared" si="1223"/>
        <v>-10</v>
      </c>
      <c r="K746">
        <f t="shared" si="1223"/>
        <v>3</v>
      </c>
      <c r="L746">
        <f t="shared" si="1224"/>
        <v>5</v>
      </c>
      <c r="M746">
        <f t="shared" si="1224"/>
        <v>2</v>
      </c>
      <c r="N746">
        <f t="shared" si="1224"/>
        <v>1</v>
      </c>
      <c r="P746" t="str">
        <f t="shared" si="1225"/>
        <v>1, 0, 0, 0</v>
      </c>
    </row>
    <row r="747" spans="1:16" x14ac:dyDescent="0.2">
      <c r="A747">
        <f t="shared" si="1220"/>
        <v>745</v>
      </c>
      <c r="B747" s="1" t="s">
        <v>1122</v>
      </c>
      <c r="C747">
        <v>34</v>
      </c>
      <c r="D747">
        <v>0</v>
      </c>
      <c r="E747">
        <v>0</v>
      </c>
      <c r="F747">
        <v>0</v>
      </c>
      <c r="G747">
        <v>0</v>
      </c>
      <c r="H747">
        <f>_xlfn.XLOOKUP(I747,$B$2:$B$1096,$A$2:$A$1096,65535)</f>
        <v>65535</v>
      </c>
      <c r="J747">
        <f t="shared" si="1223"/>
        <v>-10</v>
      </c>
      <c r="K747">
        <f t="shared" si="1223"/>
        <v>2</v>
      </c>
      <c r="L747">
        <f t="shared" si="1224"/>
        <v>5</v>
      </c>
      <c r="M747">
        <f t="shared" si="1224"/>
        <v>2</v>
      </c>
      <c r="N747">
        <f t="shared" si="1224"/>
        <v>1</v>
      </c>
      <c r="P747" t="str">
        <f t="shared" si="1225"/>
        <v>0, 0, 0, 0</v>
      </c>
    </row>
    <row r="748" spans="1:16" x14ac:dyDescent="0.2">
      <c r="A748">
        <f t="shared" si="1220"/>
        <v>746</v>
      </c>
      <c r="B748" s="1" t="s">
        <v>1123</v>
      </c>
      <c r="C748">
        <v>0</v>
      </c>
      <c r="D748">
        <v>-1</v>
      </c>
      <c r="E748">
        <v>0</v>
      </c>
      <c r="F748">
        <v>0</v>
      </c>
      <c r="G748">
        <v>0</v>
      </c>
      <c r="H748">
        <f>_xlfn.XLOOKUP(I748,$B$2:$B$1096,$A$2:$A$1096,65535)</f>
        <v>65535</v>
      </c>
      <c r="J748">
        <f t="shared" si="1223"/>
        <v>-44</v>
      </c>
      <c r="K748">
        <f t="shared" si="1223"/>
        <v>1</v>
      </c>
      <c r="L748">
        <f t="shared" si="1224"/>
        <v>5</v>
      </c>
      <c r="M748">
        <f t="shared" si="1224"/>
        <v>2</v>
      </c>
      <c r="N748">
        <f t="shared" si="1224"/>
        <v>1</v>
      </c>
      <c r="P748" t="str">
        <f t="shared" si="1225"/>
        <v>-1, 0, 0, 0</v>
      </c>
    </row>
    <row r="749" spans="1:16" x14ac:dyDescent="0.2">
      <c r="A749">
        <f t="shared" si="1220"/>
        <v>747</v>
      </c>
      <c r="B749" s="1" t="s">
        <v>1124</v>
      </c>
      <c r="C749">
        <v>0</v>
      </c>
      <c r="D749">
        <v>-2</v>
      </c>
      <c r="E749">
        <v>0</v>
      </c>
      <c r="F749">
        <v>0</v>
      </c>
      <c r="G749">
        <v>0</v>
      </c>
      <c r="H749">
        <f>_xlfn.XLOOKUP(I749,$B$2:$B$1096,$A$2:$A$1096,65535)</f>
        <v>65535</v>
      </c>
      <c r="J749">
        <f t="shared" si="1223"/>
        <v>-44</v>
      </c>
      <c r="K749">
        <f t="shared" si="1223"/>
        <v>0</v>
      </c>
      <c r="L749">
        <f t="shared" si="1224"/>
        <v>5</v>
      </c>
      <c r="M749">
        <f t="shared" si="1224"/>
        <v>2</v>
      </c>
      <c r="N749">
        <f t="shared" si="1224"/>
        <v>1</v>
      </c>
      <c r="P749" t="str">
        <f t="shared" si="1225"/>
        <v>-2, 0, 0, 0</v>
      </c>
    </row>
    <row r="750" spans="1:16" x14ac:dyDescent="0.2">
      <c r="A750">
        <f t="shared" si="1220"/>
        <v>748</v>
      </c>
      <c r="B750" s="1" t="s">
        <v>1125</v>
      </c>
      <c r="C750">
        <v>0</v>
      </c>
      <c r="D750">
        <v>-1</v>
      </c>
      <c r="E750">
        <v>0</v>
      </c>
      <c r="F750">
        <v>0</v>
      </c>
      <c r="G750">
        <v>0</v>
      </c>
      <c r="H750">
        <f>_xlfn.XLOOKUP(I750,$B$2:$B$1096,$A$2:$A$1096,65535)</f>
        <v>65535</v>
      </c>
      <c r="J750">
        <f t="shared" si="1223"/>
        <v>-13</v>
      </c>
      <c r="K750">
        <f t="shared" si="1223"/>
        <v>-1</v>
      </c>
      <c r="L750">
        <f t="shared" si="1224"/>
        <v>5</v>
      </c>
      <c r="M750">
        <f t="shared" si="1224"/>
        <v>2</v>
      </c>
      <c r="N750">
        <f t="shared" si="1224"/>
        <v>1</v>
      </c>
      <c r="P750" t="str">
        <f t="shared" si="1225"/>
        <v>-1, 0, 0, 0</v>
      </c>
    </row>
    <row r="751" spans="1:16" x14ac:dyDescent="0.2">
      <c r="A751">
        <f t="shared" si="1220"/>
        <v>749</v>
      </c>
      <c r="B751" s="1" t="s">
        <v>1126</v>
      </c>
      <c r="C751">
        <v>0</v>
      </c>
      <c r="D751" s="2">
        <v>0</v>
      </c>
      <c r="E751" s="2">
        <v>0</v>
      </c>
      <c r="F751" s="2">
        <v>0</v>
      </c>
      <c r="G751" s="2">
        <v>0</v>
      </c>
      <c r="H751">
        <f>_xlfn.XLOOKUP(I751,$B$2:$B$1096,$A$2:$A$1096,65535)</f>
        <v>65535</v>
      </c>
      <c r="I751" s="2"/>
      <c r="J751">
        <f t="shared" si="1223"/>
        <v>-12</v>
      </c>
      <c r="K751">
        <f t="shared" si="1223"/>
        <v>0</v>
      </c>
      <c r="L751">
        <f t="shared" si="1224"/>
        <v>5</v>
      </c>
      <c r="M751">
        <f t="shared" si="1224"/>
        <v>2</v>
      </c>
      <c r="N751">
        <f t="shared" si="1224"/>
        <v>1</v>
      </c>
      <c r="P751" t="str">
        <f t="shared" si="1225"/>
        <v>0, 0, 0, 0</v>
      </c>
    </row>
    <row r="752" spans="1:16" x14ac:dyDescent="0.2">
      <c r="A752">
        <f t="shared" si="1220"/>
        <v>750</v>
      </c>
      <c r="B752" s="1" t="s">
        <v>1127</v>
      </c>
      <c r="C752">
        <v>34</v>
      </c>
      <c r="D752">
        <v>1</v>
      </c>
      <c r="E752">
        <v>0</v>
      </c>
      <c r="F752">
        <v>0</v>
      </c>
      <c r="G752">
        <v>0</v>
      </c>
      <c r="H752">
        <f>_xlfn.XLOOKUP(I752,$B$2:$B$1096,$A$2:$A$1096,65535)</f>
        <v>65535</v>
      </c>
      <c r="J752">
        <f t="shared" si="1223"/>
        <v>21</v>
      </c>
      <c r="K752">
        <f t="shared" si="1223"/>
        <v>1</v>
      </c>
      <c r="L752">
        <f t="shared" si="1224"/>
        <v>5</v>
      </c>
      <c r="M752">
        <f t="shared" si="1224"/>
        <v>2</v>
      </c>
      <c r="N752">
        <f t="shared" si="1224"/>
        <v>1</v>
      </c>
      <c r="P752" t="str">
        <f t="shared" si="1225"/>
        <v>1, 0, 0, 0</v>
      </c>
    </row>
    <row r="753" spans="1:16" x14ac:dyDescent="0.2">
      <c r="A753">
        <f t="shared" si="1220"/>
        <v>751</v>
      </c>
      <c r="B753" s="1" t="s">
        <v>1128</v>
      </c>
      <c r="C753">
        <v>34</v>
      </c>
      <c r="D753">
        <v>2</v>
      </c>
      <c r="E753">
        <v>0</v>
      </c>
      <c r="F753">
        <v>0</v>
      </c>
      <c r="G753">
        <v>0</v>
      </c>
      <c r="H753">
        <f>_xlfn.XLOOKUP(I753,$B$2:$B$1096,$A$2:$A$1096,65535)</f>
        <v>65535</v>
      </c>
      <c r="J753">
        <f t="shared" si="1223"/>
        <v>20</v>
      </c>
      <c r="K753">
        <f t="shared" si="1223"/>
        <v>2</v>
      </c>
      <c r="L753">
        <f t="shared" si="1224"/>
        <v>5</v>
      </c>
      <c r="M753">
        <f t="shared" si="1224"/>
        <v>2</v>
      </c>
      <c r="N753">
        <f t="shared" si="1224"/>
        <v>1</v>
      </c>
      <c r="P753" t="str">
        <f t="shared" si="1225"/>
        <v>2, 0, 0, 0</v>
      </c>
    </row>
    <row r="754" spans="1:16" x14ac:dyDescent="0.2">
      <c r="A754">
        <f t="shared" si="1220"/>
        <v>752</v>
      </c>
      <c r="B754" s="1" t="s">
        <v>1129</v>
      </c>
      <c r="C754">
        <v>34</v>
      </c>
      <c r="D754">
        <v>3</v>
      </c>
      <c r="E754">
        <v>0</v>
      </c>
      <c r="F754">
        <v>0</v>
      </c>
      <c r="G754">
        <v>0</v>
      </c>
      <c r="H754">
        <f>_xlfn.XLOOKUP(I754,$B$2:$B$1096,$A$2:$A$1096,65535)</f>
        <v>65535</v>
      </c>
      <c r="J754">
        <f t="shared" si="1223"/>
        <v>21</v>
      </c>
      <c r="K754">
        <f t="shared" si="1223"/>
        <v>6</v>
      </c>
      <c r="L754">
        <f t="shared" si="1224"/>
        <v>0</v>
      </c>
      <c r="M754">
        <f t="shared" si="1224"/>
        <v>0</v>
      </c>
      <c r="N754">
        <f t="shared" si="1224"/>
        <v>0</v>
      </c>
      <c r="P754" t="str">
        <f t="shared" si="1225"/>
        <v>3, 0, 0, 0</v>
      </c>
    </row>
    <row r="755" spans="1:16" x14ac:dyDescent="0.2">
      <c r="A755">
        <f t="shared" si="1220"/>
        <v>753</v>
      </c>
      <c r="B755" s="1" t="s">
        <v>1130</v>
      </c>
      <c r="C755">
        <v>34</v>
      </c>
      <c r="D755">
        <v>3</v>
      </c>
      <c r="E755">
        <v>0</v>
      </c>
      <c r="F755">
        <v>0</v>
      </c>
      <c r="G755">
        <v>0</v>
      </c>
      <c r="H755">
        <f>_xlfn.XLOOKUP(I755,$B$2:$B$1096,$A$2:$A$1096,65535)</f>
        <v>65535</v>
      </c>
      <c r="J755">
        <f t="shared" si="1223"/>
        <v>-10</v>
      </c>
      <c r="K755">
        <f t="shared" si="1223"/>
        <v>5</v>
      </c>
      <c r="L755">
        <f t="shared" si="1224"/>
        <v>5</v>
      </c>
      <c r="M755">
        <f t="shared" si="1224"/>
        <v>2</v>
      </c>
      <c r="N755">
        <f t="shared" si="1224"/>
        <v>1</v>
      </c>
      <c r="P755" t="str">
        <f t="shared" si="1225"/>
        <v>3, 0, 0, 0</v>
      </c>
    </row>
    <row r="756" spans="1:16" x14ac:dyDescent="0.2">
      <c r="A756">
        <f t="shared" si="1220"/>
        <v>754</v>
      </c>
      <c r="B756" s="1" t="s">
        <v>1131</v>
      </c>
      <c r="C756">
        <v>34</v>
      </c>
      <c r="D756">
        <v>2</v>
      </c>
      <c r="E756">
        <v>0</v>
      </c>
      <c r="F756">
        <v>0</v>
      </c>
      <c r="G756">
        <v>0</v>
      </c>
      <c r="H756">
        <f>_xlfn.XLOOKUP(I756,$B$2:$B$1096,$A$2:$A$1096,65535)</f>
        <v>65535</v>
      </c>
      <c r="J756">
        <f t="shared" ref="J756:J774" si="1226">C756-C826</f>
        <v>-10</v>
      </c>
      <c r="K756">
        <f t="shared" ref="K756:K774" si="1227">D756-D826</f>
        <v>4</v>
      </c>
      <c r="L756">
        <f t="shared" ref="L756:L774" si="1228">E756+E826</f>
        <v>5</v>
      </c>
      <c r="M756">
        <f t="shared" ref="M756:M774" si="1229">F756+F826</f>
        <v>2</v>
      </c>
      <c r="N756">
        <f t="shared" ref="N756:N774" si="1230">G756+G826</f>
        <v>1</v>
      </c>
      <c r="P756" t="str">
        <f t="shared" si="1225"/>
        <v>2, 0, 0, 0</v>
      </c>
    </row>
    <row r="757" spans="1:16" x14ac:dyDescent="0.2">
      <c r="A757">
        <f t="shared" si="1220"/>
        <v>755</v>
      </c>
      <c r="B757" s="1" t="s">
        <v>1132</v>
      </c>
      <c r="C757">
        <v>34</v>
      </c>
      <c r="D757">
        <v>1</v>
      </c>
      <c r="E757">
        <v>0</v>
      </c>
      <c r="F757">
        <v>0</v>
      </c>
      <c r="G757">
        <v>0</v>
      </c>
      <c r="H757">
        <f>_xlfn.XLOOKUP(I757,$B$2:$B$1096,$A$2:$A$1096,65535)</f>
        <v>65535</v>
      </c>
      <c r="J757">
        <f t="shared" si="1226"/>
        <v>-10</v>
      </c>
      <c r="K757">
        <f t="shared" si="1227"/>
        <v>3</v>
      </c>
      <c r="L757">
        <f t="shared" si="1228"/>
        <v>5</v>
      </c>
      <c r="M757">
        <f t="shared" si="1229"/>
        <v>2</v>
      </c>
      <c r="N757">
        <f t="shared" si="1230"/>
        <v>1</v>
      </c>
      <c r="P757" t="str">
        <f t="shared" si="1225"/>
        <v>1, 0, 0, 0</v>
      </c>
    </row>
    <row r="758" spans="1:16" x14ac:dyDescent="0.2">
      <c r="A758">
        <f t="shared" si="1220"/>
        <v>756</v>
      </c>
      <c r="B758" s="1" t="s">
        <v>1133</v>
      </c>
      <c r="C758">
        <v>34</v>
      </c>
      <c r="D758">
        <v>0</v>
      </c>
      <c r="E758">
        <v>0</v>
      </c>
      <c r="F758">
        <v>0</v>
      </c>
      <c r="G758">
        <v>0</v>
      </c>
      <c r="H758">
        <f>_xlfn.XLOOKUP(I758,$B$2:$B$1096,$A$2:$A$1096,65535)</f>
        <v>65535</v>
      </c>
      <c r="J758">
        <f t="shared" si="1226"/>
        <v>-10</v>
      </c>
      <c r="K758">
        <f t="shared" si="1227"/>
        <v>2</v>
      </c>
      <c r="L758">
        <f t="shared" si="1228"/>
        <v>5</v>
      </c>
      <c r="M758">
        <f t="shared" si="1229"/>
        <v>2</v>
      </c>
      <c r="N758">
        <f t="shared" si="1230"/>
        <v>1</v>
      </c>
      <c r="P758" t="str">
        <f t="shared" si="1225"/>
        <v>0, 0, 0, 0</v>
      </c>
    </row>
    <row r="759" spans="1:16" x14ac:dyDescent="0.2">
      <c r="A759">
        <f t="shared" si="1220"/>
        <v>757</v>
      </c>
      <c r="B759" s="1" t="s">
        <v>1134</v>
      </c>
      <c r="C759">
        <v>0</v>
      </c>
      <c r="D759">
        <v>-1</v>
      </c>
      <c r="E759">
        <v>0</v>
      </c>
      <c r="F759">
        <v>0</v>
      </c>
      <c r="G759">
        <v>0</v>
      </c>
      <c r="H759">
        <f>_xlfn.XLOOKUP(I759,$B$2:$B$1096,$A$2:$A$1096,65535)</f>
        <v>65535</v>
      </c>
      <c r="J759">
        <f t="shared" si="1226"/>
        <v>-44</v>
      </c>
      <c r="K759">
        <f t="shared" si="1227"/>
        <v>1</v>
      </c>
      <c r="L759">
        <f t="shared" si="1228"/>
        <v>5</v>
      </c>
      <c r="M759">
        <f t="shared" si="1229"/>
        <v>2</v>
      </c>
      <c r="N759">
        <f t="shared" si="1230"/>
        <v>1</v>
      </c>
      <c r="P759" t="str">
        <f t="shared" si="1225"/>
        <v>-1, 0, 0, 0</v>
      </c>
    </row>
    <row r="760" spans="1:16" x14ac:dyDescent="0.2">
      <c r="A760">
        <f t="shared" si="1220"/>
        <v>758</v>
      </c>
      <c r="B760" s="1" t="s">
        <v>1135</v>
      </c>
      <c r="C760">
        <v>0</v>
      </c>
      <c r="D760">
        <v>-2</v>
      </c>
      <c r="E760">
        <v>0</v>
      </c>
      <c r="F760">
        <v>0</v>
      </c>
      <c r="G760">
        <v>0</v>
      </c>
      <c r="H760">
        <f>_xlfn.XLOOKUP(I760,$B$2:$B$1096,$A$2:$A$1096,65535)</f>
        <v>65535</v>
      </c>
      <c r="J760">
        <f t="shared" si="1226"/>
        <v>-44</v>
      </c>
      <c r="K760">
        <f t="shared" si="1227"/>
        <v>0</v>
      </c>
      <c r="L760">
        <f t="shared" si="1228"/>
        <v>5</v>
      </c>
      <c r="M760">
        <f t="shared" si="1229"/>
        <v>2</v>
      </c>
      <c r="N760">
        <f t="shared" si="1230"/>
        <v>1</v>
      </c>
      <c r="P760" t="str">
        <f t="shared" si="1225"/>
        <v>-2, 0, 0, 0</v>
      </c>
    </row>
    <row r="761" spans="1:16" x14ac:dyDescent="0.2">
      <c r="A761">
        <f t="shared" si="1220"/>
        <v>759</v>
      </c>
      <c r="B761" s="1" t="s">
        <v>1136</v>
      </c>
      <c r="C761">
        <v>0</v>
      </c>
      <c r="D761">
        <v>-3</v>
      </c>
      <c r="E761">
        <v>0</v>
      </c>
      <c r="F761">
        <v>0</v>
      </c>
      <c r="G761">
        <v>0</v>
      </c>
      <c r="H761">
        <f>_xlfn.XLOOKUP(I761,$B$2:$B$1096,$A$2:$A$1096,65535)</f>
        <v>65535</v>
      </c>
      <c r="J761">
        <f t="shared" si="1226"/>
        <v>-44</v>
      </c>
      <c r="K761">
        <f t="shared" si="1227"/>
        <v>-2</v>
      </c>
      <c r="L761">
        <f t="shared" si="1228"/>
        <v>5</v>
      </c>
      <c r="M761">
        <f t="shared" si="1229"/>
        <v>2</v>
      </c>
      <c r="N761">
        <f t="shared" si="1230"/>
        <v>1</v>
      </c>
      <c r="P761" t="str">
        <f t="shared" si="1225"/>
        <v>-3, 0, 0, 0</v>
      </c>
    </row>
    <row r="762" spans="1:16" x14ac:dyDescent="0.2">
      <c r="A762">
        <f t="shared" si="1220"/>
        <v>760</v>
      </c>
      <c r="B762" s="1" t="s">
        <v>1137</v>
      </c>
      <c r="C762">
        <v>0</v>
      </c>
      <c r="D762">
        <v>-3</v>
      </c>
      <c r="E762">
        <v>0</v>
      </c>
      <c r="F762">
        <v>0</v>
      </c>
      <c r="G762">
        <v>0</v>
      </c>
      <c r="H762">
        <f>_xlfn.XLOOKUP(I762,$B$2:$B$1096,$A$2:$A$1096,65535)</f>
        <v>65535</v>
      </c>
      <c r="J762">
        <f t="shared" si="1226"/>
        <v>-13</v>
      </c>
      <c r="K762">
        <f t="shared" si="1227"/>
        <v>-3</v>
      </c>
      <c r="L762">
        <f t="shared" si="1228"/>
        <v>5</v>
      </c>
      <c r="M762">
        <f t="shared" si="1229"/>
        <v>2</v>
      </c>
      <c r="N762">
        <f t="shared" si="1230"/>
        <v>1</v>
      </c>
      <c r="P762" t="str">
        <f t="shared" si="1225"/>
        <v>-3, 0, 0, 0</v>
      </c>
    </row>
    <row r="763" spans="1:16" x14ac:dyDescent="0.2">
      <c r="A763">
        <f t="shared" si="1220"/>
        <v>761</v>
      </c>
      <c r="B763" s="1" t="s">
        <v>1138</v>
      </c>
      <c r="C763">
        <v>0</v>
      </c>
      <c r="D763">
        <v>-2</v>
      </c>
      <c r="E763">
        <v>0</v>
      </c>
      <c r="F763">
        <v>0</v>
      </c>
      <c r="G763">
        <v>0</v>
      </c>
      <c r="H763">
        <f>_xlfn.XLOOKUP(I763,$B$2:$B$1096,$A$2:$A$1096,65535)</f>
        <v>65535</v>
      </c>
      <c r="J763">
        <f t="shared" si="1226"/>
        <v>-45</v>
      </c>
      <c r="K763">
        <f t="shared" si="1227"/>
        <v>-2</v>
      </c>
      <c r="L763">
        <f t="shared" si="1228"/>
        <v>0</v>
      </c>
      <c r="M763">
        <f t="shared" si="1229"/>
        <v>0</v>
      </c>
      <c r="N763">
        <f t="shared" si="1230"/>
        <v>0</v>
      </c>
      <c r="P763" t="str">
        <f t="shared" si="1225"/>
        <v>-2, 0, 0, 0</v>
      </c>
    </row>
    <row r="764" spans="1:16" x14ac:dyDescent="0.2">
      <c r="A764">
        <f t="shared" si="1220"/>
        <v>762</v>
      </c>
      <c r="B764" s="1" t="s">
        <v>1139</v>
      </c>
      <c r="C764">
        <v>0</v>
      </c>
      <c r="D764">
        <v>-1</v>
      </c>
      <c r="E764">
        <v>0</v>
      </c>
      <c r="F764">
        <v>0</v>
      </c>
      <c r="G764">
        <v>0</v>
      </c>
      <c r="H764">
        <f>_xlfn.XLOOKUP(I764,$B$2:$B$1096,$A$2:$A$1096,65535)</f>
        <v>65535</v>
      </c>
      <c r="J764">
        <f t="shared" si="1226"/>
        <v>-46</v>
      </c>
      <c r="K764">
        <f t="shared" si="1227"/>
        <v>-1</v>
      </c>
      <c r="L764">
        <f t="shared" si="1228"/>
        <v>0</v>
      </c>
      <c r="M764">
        <f t="shared" si="1229"/>
        <v>0</v>
      </c>
      <c r="N764">
        <f t="shared" si="1230"/>
        <v>0</v>
      </c>
      <c r="P764" t="str">
        <f t="shared" si="1225"/>
        <v>-1, 0, 0, 0</v>
      </c>
    </row>
    <row r="765" spans="1:16" x14ac:dyDescent="0.2">
      <c r="A765">
        <f t="shared" si="1220"/>
        <v>763</v>
      </c>
      <c r="B765" s="1" t="s">
        <v>1140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f>_xlfn.XLOOKUP(I765,$B$2:$B$1096,$A$2:$A$1096,65535)</f>
        <v>65535</v>
      </c>
      <c r="J765">
        <f t="shared" si="1226"/>
        <v>-47</v>
      </c>
      <c r="K765">
        <f t="shared" si="1227"/>
        <v>0</v>
      </c>
      <c r="L765">
        <f t="shared" si="1228"/>
        <v>0</v>
      </c>
      <c r="M765">
        <f t="shared" si="1229"/>
        <v>0</v>
      </c>
      <c r="N765">
        <f t="shared" si="1230"/>
        <v>0</v>
      </c>
      <c r="P765" t="str">
        <f t="shared" si="1225"/>
        <v>0, 0, 0, 0</v>
      </c>
    </row>
    <row r="766" spans="1:16" x14ac:dyDescent="0.2">
      <c r="A766">
        <f t="shared" si="1220"/>
        <v>764</v>
      </c>
      <c r="B766" s="1" t="s">
        <v>1141</v>
      </c>
      <c r="C766">
        <v>34</v>
      </c>
      <c r="D766">
        <v>1</v>
      </c>
      <c r="E766">
        <v>0</v>
      </c>
      <c r="F766">
        <v>0</v>
      </c>
      <c r="G766">
        <v>0</v>
      </c>
      <c r="H766">
        <f>_xlfn.XLOOKUP(I766,$B$2:$B$1096,$A$2:$A$1096,65535)</f>
        <v>65535</v>
      </c>
      <c r="J766">
        <f t="shared" si="1226"/>
        <v>-12</v>
      </c>
      <c r="K766">
        <f t="shared" si="1227"/>
        <v>1</v>
      </c>
      <c r="L766">
        <f t="shared" si="1228"/>
        <v>0</v>
      </c>
      <c r="M766">
        <f t="shared" si="1229"/>
        <v>0</v>
      </c>
      <c r="N766">
        <f t="shared" si="1230"/>
        <v>0</v>
      </c>
      <c r="P766" t="str">
        <f t="shared" si="1225"/>
        <v>1, 0, 0, 0</v>
      </c>
    </row>
    <row r="767" spans="1:16" x14ac:dyDescent="0.2">
      <c r="A767">
        <f t="shared" si="1220"/>
        <v>765</v>
      </c>
      <c r="B767" s="1" t="s">
        <v>1142</v>
      </c>
      <c r="C767">
        <v>34</v>
      </c>
      <c r="D767">
        <v>2</v>
      </c>
      <c r="E767">
        <v>0</v>
      </c>
      <c r="F767">
        <v>0</v>
      </c>
      <c r="G767">
        <v>0</v>
      </c>
      <c r="H767">
        <f>_xlfn.XLOOKUP(I767,$B$2:$B$1096,$A$2:$A$1096,65535)</f>
        <v>65535</v>
      </c>
      <c r="J767">
        <f t="shared" si="1226"/>
        <v>-11</v>
      </c>
      <c r="K767">
        <f t="shared" si="1227"/>
        <v>2</v>
      </c>
      <c r="L767">
        <f t="shared" si="1228"/>
        <v>0</v>
      </c>
      <c r="M767">
        <f t="shared" si="1229"/>
        <v>0</v>
      </c>
      <c r="N767">
        <f t="shared" si="1230"/>
        <v>0</v>
      </c>
      <c r="P767" t="str">
        <f t="shared" si="1225"/>
        <v>2, 0, 0, 0</v>
      </c>
    </row>
    <row r="768" spans="1:16" x14ac:dyDescent="0.2">
      <c r="A768">
        <f t="shared" si="1220"/>
        <v>766</v>
      </c>
      <c r="B768" s="1" t="s">
        <v>1143</v>
      </c>
      <c r="C768">
        <v>34</v>
      </c>
      <c r="D768">
        <v>3</v>
      </c>
      <c r="E768">
        <v>0</v>
      </c>
      <c r="F768">
        <v>0</v>
      </c>
      <c r="G768">
        <v>0</v>
      </c>
      <c r="H768">
        <f>_xlfn.XLOOKUP(I768,$B$2:$B$1096,$A$2:$A$1096,65535)</f>
        <v>65535</v>
      </c>
      <c r="J768">
        <f t="shared" si="1226"/>
        <v>-12</v>
      </c>
      <c r="K768">
        <f t="shared" si="1227"/>
        <v>3</v>
      </c>
      <c r="L768">
        <f t="shared" si="1228"/>
        <v>0</v>
      </c>
      <c r="M768">
        <f t="shared" si="1229"/>
        <v>0</v>
      </c>
      <c r="N768">
        <f t="shared" si="1230"/>
        <v>0</v>
      </c>
      <c r="P768" t="str">
        <f t="shared" si="1225"/>
        <v>3, 0, 0, 0</v>
      </c>
    </row>
    <row r="769" spans="1:16" x14ac:dyDescent="0.2">
      <c r="A769">
        <f t="shared" si="1220"/>
        <v>767</v>
      </c>
      <c r="B769" s="1" t="s">
        <v>1144</v>
      </c>
      <c r="C769">
        <v>34</v>
      </c>
      <c r="D769">
        <v>3</v>
      </c>
      <c r="E769">
        <v>0</v>
      </c>
      <c r="F769">
        <v>0</v>
      </c>
      <c r="G769">
        <v>0</v>
      </c>
      <c r="H769">
        <f>_xlfn.XLOOKUP(I769,$B$2:$B$1096,$A$2:$A$1096,65535)</f>
        <v>65535</v>
      </c>
      <c r="J769">
        <f t="shared" si="1226"/>
        <v>-13</v>
      </c>
      <c r="K769">
        <f t="shared" si="1227"/>
        <v>3</v>
      </c>
      <c r="L769">
        <f t="shared" si="1228"/>
        <v>0</v>
      </c>
      <c r="M769">
        <f t="shared" si="1229"/>
        <v>0</v>
      </c>
      <c r="N769">
        <f t="shared" si="1230"/>
        <v>0</v>
      </c>
      <c r="P769" t="str">
        <f t="shared" si="1225"/>
        <v>3, 0, 0, 0</v>
      </c>
    </row>
    <row r="770" spans="1:16" x14ac:dyDescent="0.2">
      <c r="A770">
        <f t="shared" si="1220"/>
        <v>768</v>
      </c>
      <c r="B770" s="1" t="s">
        <v>1145</v>
      </c>
      <c r="C770">
        <v>34</v>
      </c>
      <c r="D770">
        <v>4</v>
      </c>
      <c r="E770">
        <v>0</v>
      </c>
      <c r="F770">
        <v>0</v>
      </c>
      <c r="G770">
        <v>0</v>
      </c>
      <c r="H770">
        <f>_xlfn.XLOOKUP(I770,$B$2:$B$1096,$A$2:$A$1096,65535)</f>
        <v>65535</v>
      </c>
      <c r="J770">
        <f t="shared" si="1226"/>
        <v>-12</v>
      </c>
      <c r="K770">
        <f t="shared" si="1227"/>
        <v>4</v>
      </c>
      <c r="L770">
        <f t="shared" si="1228"/>
        <v>0</v>
      </c>
      <c r="M770">
        <f t="shared" si="1229"/>
        <v>0</v>
      </c>
      <c r="N770">
        <f t="shared" si="1230"/>
        <v>0</v>
      </c>
      <c r="P770" t="str">
        <f t="shared" si="1225"/>
        <v>4, 0, 0, 0</v>
      </c>
    </row>
    <row r="771" spans="1:16" x14ac:dyDescent="0.2">
      <c r="A771">
        <f t="shared" si="1220"/>
        <v>769</v>
      </c>
      <c r="B771" s="1" t="s">
        <v>1146</v>
      </c>
      <c r="C771">
        <v>34</v>
      </c>
      <c r="D771">
        <v>4</v>
      </c>
      <c r="E771">
        <v>0</v>
      </c>
      <c r="F771">
        <v>0</v>
      </c>
      <c r="G771">
        <v>0</v>
      </c>
      <c r="H771">
        <f>_xlfn.XLOOKUP(I771,$B$2:$B$1096,$A$2:$A$1096,65535)</f>
        <v>65535</v>
      </c>
      <c r="J771">
        <f t="shared" si="1226"/>
        <v>-11</v>
      </c>
      <c r="K771">
        <f t="shared" si="1227"/>
        <v>4</v>
      </c>
      <c r="L771">
        <f t="shared" si="1228"/>
        <v>0</v>
      </c>
      <c r="M771">
        <f t="shared" si="1229"/>
        <v>0</v>
      </c>
      <c r="N771">
        <f t="shared" si="1230"/>
        <v>0</v>
      </c>
      <c r="P771" t="str">
        <f t="shared" si="1225"/>
        <v>4, 0, 0, 0</v>
      </c>
    </row>
    <row r="772" spans="1:16" x14ac:dyDescent="0.2">
      <c r="A772">
        <f t="shared" si="1220"/>
        <v>770</v>
      </c>
      <c r="B772" s="1" t="s">
        <v>1147</v>
      </c>
      <c r="C772">
        <v>34</v>
      </c>
      <c r="D772">
        <v>4</v>
      </c>
      <c r="E772">
        <v>0</v>
      </c>
      <c r="F772">
        <v>0</v>
      </c>
      <c r="G772">
        <v>0</v>
      </c>
      <c r="H772">
        <f>_xlfn.XLOOKUP(I772,$B$2:$B$1096,$A$2:$A$1096,65535)</f>
        <v>65535</v>
      </c>
      <c r="J772">
        <f t="shared" si="1226"/>
        <v>-12</v>
      </c>
      <c r="K772">
        <f t="shared" si="1227"/>
        <v>4</v>
      </c>
      <c r="L772">
        <f t="shared" si="1228"/>
        <v>0</v>
      </c>
      <c r="M772">
        <f t="shared" si="1229"/>
        <v>0</v>
      </c>
      <c r="N772">
        <f t="shared" si="1230"/>
        <v>0</v>
      </c>
      <c r="P772" t="str">
        <f t="shared" si="1225"/>
        <v>4, 0, 0, 0</v>
      </c>
    </row>
    <row r="773" spans="1:16" x14ac:dyDescent="0.2">
      <c r="A773">
        <f t="shared" si="1220"/>
        <v>771</v>
      </c>
      <c r="B773" s="1" t="s">
        <v>1148</v>
      </c>
      <c r="C773">
        <v>34</v>
      </c>
      <c r="D773">
        <v>4</v>
      </c>
      <c r="E773">
        <v>0</v>
      </c>
      <c r="F773">
        <v>0</v>
      </c>
      <c r="G773">
        <v>0</v>
      </c>
      <c r="H773">
        <f>_xlfn.XLOOKUP(I773,$B$2:$B$1096,$A$2:$A$1096,65535)</f>
        <v>65535</v>
      </c>
      <c r="J773">
        <f t="shared" si="1226"/>
        <v>-13</v>
      </c>
      <c r="K773">
        <f t="shared" si="1227"/>
        <v>4</v>
      </c>
      <c r="L773">
        <f t="shared" si="1228"/>
        <v>0</v>
      </c>
      <c r="M773">
        <f t="shared" si="1229"/>
        <v>0</v>
      </c>
      <c r="N773">
        <f t="shared" si="1230"/>
        <v>0</v>
      </c>
      <c r="P773" t="str">
        <f t="shared" si="1225"/>
        <v>4, 0, 0, 0</v>
      </c>
    </row>
    <row r="774" spans="1:16" x14ac:dyDescent="0.2">
      <c r="A774">
        <f t="shared" si="1220"/>
        <v>772</v>
      </c>
      <c r="B774" s="1" t="s">
        <v>1149</v>
      </c>
      <c r="C774">
        <v>34</v>
      </c>
      <c r="D774">
        <v>0</v>
      </c>
      <c r="E774">
        <v>0</v>
      </c>
      <c r="F774">
        <v>0</v>
      </c>
      <c r="G774">
        <v>0</v>
      </c>
      <c r="H774">
        <f>_xlfn.XLOOKUP(I774,$B$2:$B$1096,$A$2:$A$1096,65535)</f>
        <v>700</v>
      </c>
      <c r="I774" s="8" t="s">
        <v>319</v>
      </c>
      <c r="J774">
        <f t="shared" si="1226"/>
        <v>-14</v>
      </c>
      <c r="K774">
        <f t="shared" si="1227"/>
        <v>0</v>
      </c>
      <c r="L774">
        <f t="shared" si="1228"/>
        <v>0</v>
      </c>
      <c r="M774">
        <f t="shared" si="1229"/>
        <v>0</v>
      </c>
      <c r="N774">
        <f t="shared" si="1230"/>
        <v>0</v>
      </c>
      <c r="P774" t="str">
        <f t="shared" si="1225"/>
        <v>0, 0, 0, 0</v>
      </c>
    </row>
    <row r="775" spans="1:16" x14ac:dyDescent="0.2">
      <c r="A775">
        <f t="shared" si="1220"/>
        <v>773</v>
      </c>
      <c r="B775" s="1" t="s">
        <v>413</v>
      </c>
      <c r="C775">
        <v>13</v>
      </c>
      <c r="D775">
        <v>0</v>
      </c>
      <c r="E775">
        <v>5</v>
      </c>
      <c r="F775">
        <v>2</v>
      </c>
      <c r="G775">
        <v>1</v>
      </c>
      <c r="H775">
        <f>_xlfn.XLOOKUP(I775,$B$2:$B$1096,$A$2:$A$1096,65535)</f>
        <v>65535</v>
      </c>
      <c r="J775">
        <f t="shared" ref="J775:K775" si="1231">C775-C811</f>
        <v>-31</v>
      </c>
      <c r="K775">
        <f t="shared" si="1231"/>
        <v>0</v>
      </c>
      <c r="L775">
        <f t="shared" ref="L775:N775" si="1232">E775+E811</f>
        <v>5</v>
      </c>
      <c r="M775">
        <f t="shared" si="1232"/>
        <v>2</v>
      </c>
      <c r="N775">
        <f t="shared" si="1232"/>
        <v>1</v>
      </c>
      <c r="P775" t="str">
        <f t="shared" si="1211"/>
        <v>0, 5, 2, 1</v>
      </c>
    </row>
    <row r="776" spans="1:16" x14ac:dyDescent="0.2">
      <c r="A776">
        <f t="shared" si="1220"/>
        <v>774</v>
      </c>
      <c r="B776" s="1" t="s">
        <v>414</v>
      </c>
      <c r="C776">
        <v>12</v>
      </c>
      <c r="D776">
        <v>0</v>
      </c>
      <c r="E776">
        <v>5</v>
      </c>
      <c r="F776">
        <v>2</v>
      </c>
      <c r="G776">
        <v>1</v>
      </c>
      <c r="H776">
        <f>_xlfn.XLOOKUP(I776,$B$2:$B$1096,$A$2:$A$1096,65535)</f>
        <v>65535</v>
      </c>
      <c r="J776">
        <f t="shared" ref="J776:K776" si="1233">C776-C812</f>
        <v>-32</v>
      </c>
      <c r="K776">
        <f t="shared" si="1233"/>
        <v>2</v>
      </c>
      <c r="L776">
        <f t="shared" ref="L776:N776" si="1234">E776+E812</f>
        <v>10</v>
      </c>
      <c r="M776">
        <f t="shared" si="1234"/>
        <v>4</v>
      </c>
      <c r="N776">
        <f t="shared" si="1234"/>
        <v>2</v>
      </c>
      <c r="P776" t="str">
        <f t="shared" si="1211"/>
        <v>0, 5, 2, 1</v>
      </c>
    </row>
    <row r="777" spans="1:16" x14ac:dyDescent="0.2">
      <c r="A777">
        <f t="shared" si="1220"/>
        <v>775</v>
      </c>
      <c r="B777" s="1" t="s">
        <v>415</v>
      </c>
      <c r="C777">
        <v>13</v>
      </c>
      <c r="D777">
        <v>0</v>
      </c>
      <c r="E777">
        <v>5</v>
      </c>
      <c r="F777">
        <v>2</v>
      </c>
      <c r="G777">
        <v>1</v>
      </c>
      <c r="H777">
        <f>_xlfn.XLOOKUP(I777,$B$2:$B$1096,$A$2:$A$1096,65535)</f>
        <v>65535</v>
      </c>
      <c r="J777">
        <f t="shared" ref="J777:K777" si="1235">C777-C813</f>
        <v>-31</v>
      </c>
      <c r="K777">
        <f t="shared" si="1235"/>
        <v>2</v>
      </c>
      <c r="L777">
        <f t="shared" ref="L777:N777" si="1236">E777+E813</f>
        <v>10</v>
      </c>
      <c r="M777">
        <f t="shared" si="1236"/>
        <v>4</v>
      </c>
      <c r="N777">
        <f t="shared" si="1236"/>
        <v>2</v>
      </c>
      <c r="P777" t="str">
        <f t="shared" si="1211"/>
        <v>0, 5, 2, 1</v>
      </c>
    </row>
    <row r="778" spans="1:16" x14ac:dyDescent="0.2">
      <c r="A778">
        <f t="shared" si="1220"/>
        <v>776</v>
      </c>
      <c r="B778" s="1" t="s">
        <v>416</v>
      </c>
      <c r="C778">
        <v>14</v>
      </c>
      <c r="D778">
        <v>0</v>
      </c>
      <c r="E778">
        <v>5</v>
      </c>
      <c r="F778">
        <v>2</v>
      </c>
      <c r="G778">
        <v>1</v>
      </c>
      <c r="H778">
        <f>_xlfn.XLOOKUP(I778,$B$2:$B$1096,$A$2:$A$1096,65535)</f>
        <v>65535</v>
      </c>
      <c r="J778">
        <f t="shared" ref="J778:K778" si="1237">C778-C814</f>
        <v>-30</v>
      </c>
      <c r="K778">
        <f t="shared" si="1237"/>
        <v>2</v>
      </c>
      <c r="L778">
        <f t="shared" ref="L778:N778" si="1238">E778+E814</f>
        <v>10</v>
      </c>
      <c r="M778">
        <f t="shared" si="1238"/>
        <v>4</v>
      </c>
      <c r="N778">
        <f t="shared" si="1238"/>
        <v>2</v>
      </c>
      <c r="P778" t="str">
        <f t="shared" si="1211"/>
        <v>0, 5, 2, 1</v>
      </c>
    </row>
    <row r="779" spans="1:16" x14ac:dyDescent="0.2">
      <c r="A779">
        <f t="shared" si="1220"/>
        <v>777</v>
      </c>
      <c r="B779" s="1" t="s">
        <v>417</v>
      </c>
      <c r="C779">
        <v>13</v>
      </c>
      <c r="D779">
        <v>-3</v>
      </c>
      <c r="E779">
        <v>0</v>
      </c>
      <c r="F779">
        <v>0</v>
      </c>
      <c r="G779">
        <v>0</v>
      </c>
      <c r="H779">
        <f>_xlfn.XLOOKUP(I779,$B$2:$B$1096,$A$2:$A$1096,65535)</f>
        <v>65535</v>
      </c>
      <c r="J779">
        <f t="shared" ref="J779:K779" si="1239">C779-C815</f>
        <v>-31</v>
      </c>
      <c r="K779">
        <f t="shared" si="1239"/>
        <v>-1</v>
      </c>
      <c r="L779">
        <f t="shared" ref="L779:N779" si="1240">E779+E815</f>
        <v>5</v>
      </c>
      <c r="M779">
        <f t="shared" si="1240"/>
        <v>2</v>
      </c>
      <c r="N779">
        <f t="shared" si="1240"/>
        <v>1</v>
      </c>
      <c r="P779" t="str">
        <f t="shared" si="1211"/>
        <v>-3, 0, 0, 0</v>
      </c>
    </row>
    <row r="780" spans="1:16" x14ac:dyDescent="0.2">
      <c r="A780">
        <f t="shared" si="1220"/>
        <v>778</v>
      </c>
      <c r="B780" s="1" t="s">
        <v>418</v>
      </c>
      <c r="C780">
        <v>44</v>
      </c>
      <c r="D780">
        <v>-2</v>
      </c>
      <c r="E780">
        <v>5</v>
      </c>
      <c r="F780">
        <v>2</v>
      </c>
      <c r="G780">
        <v>1</v>
      </c>
      <c r="H780">
        <f>_xlfn.XLOOKUP(I780,$B$2:$B$1096,$A$2:$A$1096,65535)</f>
        <v>65535</v>
      </c>
      <c r="J780">
        <f t="shared" ref="J780:K780" si="1241">C780-C816</f>
        <v>0</v>
      </c>
      <c r="K780">
        <f t="shared" si="1241"/>
        <v>0</v>
      </c>
      <c r="L780">
        <f t="shared" ref="L780:N780" si="1242">E780+E816</f>
        <v>10</v>
      </c>
      <c r="M780">
        <f t="shared" si="1242"/>
        <v>4</v>
      </c>
      <c r="N780">
        <f t="shared" si="1242"/>
        <v>2</v>
      </c>
      <c r="P780" t="str">
        <f t="shared" si="1211"/>
        <v>-2, 5, 2, 1</v>
      </c>
    </row>
    <row r="781" spans="1:16" x14ac:dyDescent="0.2">
      <c r="A781">
        <f t="shared" si="1220"/>
        <v>779</v>
      </c>
      <c r="B781" s="1" t="s">
        <v>419</v>
      </c>
      <c r="C781">
        <v>44</v>
      </c>
      <c r="D781">
        <v>-2</v>
      </c>
      <c r="E781">
        <v>5</v>
      </c>
      <c r="F781">
        <v>2</v>
      </c>
      <c r="G781">
        <v>1</v>
      </c>
      <c r="H781">
        <f>_xlfn.XLOOKUP(I781,$B$2:$B$1096,$A$2:$A$1096,65535)</f>
        <v>65535</v>
      </c>
      <c r="J781">
        <f t="shared" ref="J781:K781" si="1243">C781-C817</f>
        <v>0</v>
      </c>
      <c r="K781">
        <f t="shared" si="1243"/>
        <v>0</v>
      </c>
      <c r="L781">
        <f t="shared" ref="L781:N781" si="1244">E781+E817</f>
        <v>10</v>
      </c>
      <c r="M781">
        <f t="shared" si="1244"/>
        <v>4</v>
      </c>
      <c r="N781">
        <f t="shared" si="1244"/>
        <v>2</v>
      </c>
      <c r="P781" t="str">
        <f t="shared" si="1211"/>
        <v>-2, 5, 2, 1</v>
      </c>
    </row>
    <row r="782" spans="1:16" x14ac:dyDescent="0.2">
      <c r="A782">
        <f t="shared" si="1220"/>
        <v>780</v>
      </c>
      <c r="B782" s="1" t="s">
        <v>420</v>
      </c>
      <c r="C782">
        <v>44</v>
      </c>
      <c r="D782">
        <v>-2</v>
      </c>
      <c r="E782">
        <v>5</v>
      </c>
      <c r="F782">
        <v>2</v>
      </c>
      <c r="G782">
        <v>1</v>
      </c>
      <c r="H782">
        <f>_xlfn.XLOOKUP(I782,$B$2:$B$1096,$A$2:$A$1096,65535)</f>
        <v>65535</v>
      </c>
      <c r="J782">
        <f t="shared" ref="J782:K782" si="1245">C782-C818</f>
        <v>0</v>
      </c>
      <c r="K782">
        <f t="shared" si="1245"/>
        <v>0</v>
      </c>
      <c r="L782">
        <f t="shared" ref="L782:N782" si="1246">E782+E818</f>
        <v>10</v>
      </c>
      <c r="M782">
        <f t="shared" si="1246"/>
        <v>4</v>
      </c>
      <c r="N782">
        <f t="shared" si="1246"/>
        <v>2</v>
      </c>
      <c r="P782" t="str">
        <f t="shared" si="1211"/>
        <v>-2, 5, 2, 1</v>
      </c>
    </row>
    <row r="783" spans="1:16" x14ac:dyDescent="0.2">
      <c r="A783">
        <f t="shared" ref="A783:A846" si="1247">A782+1</f>
        <v>781</v>
      </c>
      <c r="B783" s="1" t="s">
        <v>421</v>
      </c>
      <c r="C783">
        <v>44</v>
      </c>
      <c r="D783">
        <v>-2</v>
      </c>
      <c r="E783">
        <v>5</v>
      </c>
      <c r="F783">
        <v>2</v>
      </c>
      <c r="G783">
        <v>1</v>
      </c>
      <c r="H783">
        <f>_xlfn.XLOOKUP(I783,$B$2:$B$1096,$A$2:$A$1096,65535)</f>
        <v>65535</v>
      </c>
      <c r="J783">
        <f t="shared" ref="J783:K783" si="1248">C783-C819</f>
        <v>0</v>
      </c>
      <c r="K783">
        <f t="shared" si="1248"/>
        <v>0</v>
      </c>
      <c r="L783">
        <f t="shared" ref="L783:N783" si="1249">E783+E819</f>
        <v>10</v>
      </c>
      <c r="M783">
        <f t="shared" si="1249"/>
        <v>4</v>
      </c>
      <c r="N783">
        <f t="shared" si="1249"/>
        <v>2</v>
      </c>
      <c r="P783" t="str">
        <f t="shared" si="1211"/>
        <v>-2, 5, 2, 1</v>
      </c>
    </row>
    <row r="784" spans="1:16" x14ac:dyDescent="0.2">
      <c r="A784">
        <f t="shared" si="1247"/>
        <v>782</v>
      </c>
      <c r="B784" s="1" t="s">
        <v>422</v>
      </c>
      <c r="C784">
        <v>13</v>
      </c>
      <c r="D784">
        <v>-1</v>
      </c>
      <c r="E784">
        <v>0</v>
      </c>
      <c r="F784">
        <v>0</v>
      </c>
      <c r="G784">
        <v>0</v>
      </c>
      <c r="H784">
        <f>_xlfn.XLOOKUP(I784,$B$2:$B$1096,$A$2:$A$1096,65535)</f>
        <v>65535</v>
      </c>
      <c r="J784">
        <f t="shared" ref="J784:K784" si="1250">C784-C820</f>
        <v>0</v>
      </c>
      <c r="K784">
        <f t="shared" si="1250"/>
        <v>-1</v>
      </c>
      <c r="L784">
        <f t="shared" ref="L784:N784" si="1251">E784+E820</f>
        <v>5</v>
      </c>
      <c r="M784">
        <f t="shared" si="1251"/>
        <v>2</v>
      </c>
      <c r="N784">
        <f t="shared" si="1251"/>
        <v>1</v>
      </c>
      <c r="P784" t="str">
        <f t="shared" si="1211"/>
        <v>-1, 0, 0, 0</v>
      </c>
    </row>
    <row r="785" spans="1:16" x14ac:dyDescent="0.2">
      <c r="A785">
        <f t="shared" si="1247"/>
        <v>783</v>
      </c>
      <c r="B785" s="1" t="s">
        <v>423</v>
      </c>
      <c r="C785">
        <v>13</v>
      </c>
      <c r="D785">
        <v>-4</v>
      </c>
      <c r="E785">
        <v>0</v>
      </c>
      <c r="F785">
        <v>0</v>
      </c>
      <c r="G785">
        <v>0</v>
      </c>
      <c r="H785">
        <f>_xlfn.XLOOKUP(I785,$B$2:$B$1096,$A$2:$A$1096,65535)</f>
        <v>65535</v>
      </c>
      <c r="J785">
        <f t="shared" ref="J785:K785" si="1252">C785-C821</f>
        <v>1</v>
      </c>
      <c r="K785">
        <f t="shared" si="1252"/>
        <v>-4</v>
      </c>
      <c r="L785">
        <f t="shared" ref="L785:N785" si="1253">E785+E821</f>
        <v>5</v>
      </c>
      <c r="M785">
        <f t="shared" si="1253"/>
        <v>2</v>
      </c>
      <c r="N785">
        <f t="shared" si="1253"/>
        <v>1</v>
      </c>
      <c r="P785" t="str">
        <f t="shared" si="1211"/>
        <v>-4, 0, 0, 0</v>
      </c>
    </row>
    <row r="786" spans="1:16" x14ac:dyDescent="0.2">
      <c r="A786">
        <f t="shared" si="1247"/>
        <v>784</v>
      </c>
      <c r="B786" s="1" t="s">
        <v>424</v>
      </c>
      <c r="C786">
        <v>13</v>
      </c>
      <c r="D786">
        <v>0</v>
      </c>
      <c r="E786">
        <v>5</v>
      </c>
      <c r="F786">
        <v>2</v>
      </c>
      <c r="G786">
        <v>1</v>
      </c>
      <c r="H786">
        <f>_xlfn.XLOOKUP(I786,$B$2:$B$1096,$A$2:$A$1096,65535)</f>
        <v>65535</v>
      </c>
      <c r="J786">
        <f t="shared" ref="J786:K786" si="1254">C786-C822</f>
        <v>0</v>
      </c>
      <c r="K786">
        <f t="shared" si="1254"/>
        <v>0</v>
      </c>
      <c r="L786">
        <f t="shared" ref="L786:N786" si="1255">E786+E822</f>
        <v>10</v>
      </c>
      <c r="M786">
        <f t="shared" si="1255"/>
        <v>4</v>
      </c>
      <c r="N786">
        <f t="shared" si="1255"/>
        <v>2</v>
      </c>
      <c r="P786" t="str">
        <f t="shared" si="1211"/>
        <v>0, 5, 2, 1</v>
      </c>
    </row>
    <row r="787" spans="1:16" x14ac:dyDescent="0.2">
      <c r="A787">
        <f t="shared" si="1247"/>
        <v>785</v>
      </c>
      <c r="B787" s="1" t="s">
        <v>425</v>
      </c>
      <c r="C787">
        <v>12</v>
      </c>
      <c r="D787">
        <v>0</v>
      </c>
      <c r="E787">
        <v>5</v>
      </c>
      <c r="F787">
        <v>2</v>
      </c>
      <c r="G787">
        <v>1</v>
      </c>
      <c r="H787">
        <f>_xlfn.XLOOKUP(I787,$B$2:$B$1096,$A$2:$A$1096,65535)</f>
        <v>65535</v>
      </c>
      <c r="I787" s="1"/>
      <c r="J787">
        <f t="shared" ref="J787:K787" si="1256">C787-C823</f>
        <v>-2</v>
      </c>
      <c r="K787">
        <f t="shared" si="1256"/>
        <v>0</v>
      </c>
      <c r="L787">
        <f t="shared" ref="L787:N787" si="1257">E787+E823</f>
        <v>10</v>
      </c>
      <c r="M787">
        <f t="shared" si="1257"/>
        <v>4</v>
      </c>
      <c r="N787">
        <f t="shared" si="1257"/>
        <v>2</v>
      </c>
      <c r="P787" t="str">
        <f t="shared" si="1211"/>
        <v>0, 5, 2, 1</v>
      </c>
    </row>
    <row r="788" spans="1:16" x14ac:dyDescent="0.2">
      <c r="A788">
        <f t="shared" si="1247"/>
        <v>786</v>
      </c>
      <c r="B788" s="1" t="s">
        <v>426</v>
      </c>
      <c r="C788">
        <v>13</v>
      </c>
      <c r="D788">
        <v>0</v>
      </c>
      <c r="E788">
        <v>5</v>
      </c>
      <c r="F788">
        <v>2</v>
      </c>
      <c r="G788">
        <v>1</v>
      </c>
      <c r="H788">
        <f>_xlfn.XLOOKUP(I788,$B$2:$B$1096,$A$2:$A$1096,65535)</f>
        <v>65535</v>
      </c>
      <c r="J788">
        <f t="shared" ref="J788:K788" si="1258">C788-C824</f>
        <v>0</v>
      </c>
      <c r="K788">
        <f t="shared" si="1258"/>
        <v>3</v>
      </c>
      <c r="L788">
        <f t="shared" ref="L788:N788" si="1259">E788+E824</f>
        <v>5</v>
      </c>
      <c r="M788">
        <f t="shared" si="1259"/>
        <v>2</v>
      </c>
      <c r="N788">
        <f t="shared" si="1259"/>
        <v>1</v>
      </c>
      <c r="P788" t="str">
        <f t="shared" si="1211"/>
        <v>0, 5, 2, 1</v>
      </c>
    </row>
    <row r="789" spans="1:16" x14ac:dyDescent="0.2">
      <c r="A789">
        <f t="shared" si="1247"/>
        <v>787</v>
      </c>
      <c r="B789" s="1" t="s">
        <v>427</v>
      </c>
      <c r="C789">
        <v>14</v>
      </c>
      <c r="D789">
        <v>0</v>
      </c>
      <c r="E789">
        <v>5</v>
      </c>
      <c r="F789">
        <v>2</v>
      </c>
      <c r="G789">
        <v>1</v>
      </c>
      <c r="H789">
        <f>_xlfn.XLOOKUP(I789,$B$2:$B$1096,$A$2:$A$1096,65535)</f>
        <v>65535</v>
      </c>
      <c r="J789">
        <f t="shared" ref="J789:K789" si="1260">C789-C825</f>
        <v>-30</v>
      </c>
      <c r="K789">
        <f t="shared" si="1260"/>
        <v>2</v>
      </c>
      <c r="L789">
        <f t="shared" ref="L789:N789" si="1261">E789+E825</f>
        <v>10</v>
      </c>
      <c r="M789">
        <f t="shared" si="1261"/>
        <v>4</v>
      </c>
      <c r="N789">
        <f t="shared" si="1261"/>
        <v>2</v>
      </c>
      <c r="P789" t="str">
        <f t="shared" si="1211"/>
        <v>0, 5, 2, 1</v>
      </c>
    </row>
    <row r="790" spans="1:16" x14ac:dyDescent="0.2">
      <c r="A790">
        <f t="shared" si="1247"/>
        <v>788</v>
      </c>
      <c r="B790" s="1" t="s">
        <v>428</v>
      </c>
      <c r="C790">
        <v>13</v>
      </c>
      <c r="D790">
        <v>-3</v>
      </c>
      <c r="E790">
        <v>0</v>
      </c>
      <c r="F790">
        <v>0</v>
      </c>
      <c r="G790">
        <v>0</v>
      </c>
      <c r="H790">
        <f>_xlfn.XLOOKUP(I790,$B$2:$B$1096,$A$2:$A$1096,65535)</f>
        <v>65535</v>
      </c>
      <c r="J790">
        <f t="shared" ref="J790:K790" si="1262">C790-C826</f>
        <v>-31</v>
      </c>
      <c r="K790">
        <f t="shared" si="1262"/>
        <v>-1</v>
      </c>
      <c r="L790">
        <f t="shared" ref="L790:N790" si="1263">E790+E826</f>
        <v>5</v>
      </c>
      <c r="M790">
        <f t="shared" si="1263"/>
        <v>2</v>
      </c>
      <c r="N790">
        <f t="shared" si="1263"/>
        <v>1</v>
      </c>
      <c r="P790" t="str">
        <f t="shared" si="1211"/>
        <v>-3, 0, 0, 0</v>
      </c>
    </row>
    <row r="791" spans="1:16" x14ac:dyDescent="0.2">
      <c r="A791">
        <f t="shared" si="1247"/>
        <v>789</v>
      </c>
      <c r="B791" s="1" t="s">
        <v>429</v>
      </c>
      <c r="C791">
        <v>44</v>
      </c>
      <c r="D791">
        <v>-2</v>
      </c>
      <c r="E791">
        <v>5</v>
      </c>
      <c r="F791">
        <v>2</v>
      </c>
      <c r="G791">
        <v>1</v>
      </c>
      <c r="H791">
        <f>_xlfn.XLOOKUP(I791,$B$2:$B$1096,$A$2:$A$1096,65535)</f>
        <v>65535</v>
      </c>
      <c r="I791" s="1"/>
      <c r="J791">
        <f t="shared" ref="J791:K791" si="1264">C791-C827</f>
        <v>0</v>
      </c>
      <c r="K791">
        <f t="shared" si="1264"/>
        <v>0</v>
      </c>
      <c r="L791">
        <f t="shared" ref="L791:N791" si="1265">E791+E827</f>
        <v>10</v>
      </c>
      <c r="M791">
        <f t="shared" si="1265"/>
        <v>4</v>
      </c>
      <c r="N791">
        <f t="shared" si="1265"/>
        <v>2</v>
      </c>
      <c r="P791" t="str">
        <f t="shared" si="1211"/>
        <v>-2, 5, 2, 1</v>
      </c>
    </row>
    <row r="792" spans="1:16" x14ac:dyDescent="0.2">
      <c r="A792">
        <f t="shared" si="1247"/>
        <v>790</v>
      </c>
      <c r="B792" s="1" t="s">
        <v>430</v>
      </c>
      <c r="C792">
        <v>44</v>
      </c>
      <c r="D792">
        <v>-2</v>
      </c>
      <c r="E792">
        <v>5</v>
      </c>
      <c r="F792">
        <v>2</v>
      </c>
      <c r="G792">
        <v>1</v>
      </c>
      <c r="H792">
        <f>_xlfn.XLOOKUP(I792,$B$2:$B$1096,$A$2:$A$1096,65535)</f>
        <v>65535</v>
      </c>
      <c r="J792">
        <f t="shared" ref="J792:K792" si="1266">C792-C828</f>
        <v>0</v>
      </c>
      <c r="K792">
        <f t="shared" si="1266"/>
        <v>0</v>
      </c>
      <c r="L792">
        <f t="shared" ref="L792:N792" si="1267">E792+E828</f>
        <v>10</v>
      </c>
      <c r="M792">
        <f t="shared" si="1267"/>
        <v>4</v>
      </c>
      <c r="N792">
        <f t="shared" si="1267"/>
        <v>2</v>
      </c>
      <c r="P792" t="str">
        <f t="shared" si="1211"/>
        <v>-2, 5, 2, 1</v>
      </c>
    </row>
    <row r="793" spans="1:16" x14ac:dyDescent="0.2">
      <c r="A793">
        <f t="shared" si="1247"/>
        <v>791</v>
      </c>
      <c r="B793" s="1" t="s">
        <v>431</v>
      </c>
      <c r="C793">
        <v>44</v>
      </c>
      <c r="D793">
        <v>-2</v>
      </c>
      <c r="E793">
        <v>5</v>
      </c>
      <c r="F793">
        <v>2</v>
      </c>
      <c r="G793">
        <v>1</v>
      </c>
      <c r="H793">
        <f>_xlfn.XLOOKUP(I793,$B$2:$B$1096,$A$2:$A$1096,65535)</f>
        <v>65535</v>
      </c>
      <c r="J793">
        <f t="shared" ref="J793:K793" si="1268">C793-C829</f>
        <v>0</v>
      </c>
      <c r="K793">
        <f t="shared" si="1268"/>
        <v>0</v>
      </c>
      <c r="L793">
        <f t="shared" ref="L793:N793" si="1269">E793+E829</f>
        <v>10</v>
      </c>
      <c r="M793">
        <f t="shared" si="1269"/>
        <v>4</v>
      </c>
      <c r="N793">
        <f t="shared" si="1269"/>
        <v>2</v>
      </c>
      <c r="P793" t="str">
        <f t="shared" si="1211"/>
        <v>-2, 5, 2, 1</v>
      </c>
    </row>
    <row r="794" spans="1:16" x14ac:dyDescent="0.2">
      <c r="A794">
        <f t="shared" si="1247"/>
        <v>792</v>
      </c>
      <c r="B794" s="1" t="s">
        <v>432</v>
      </c>
      <c r="C794">
        <v>44</v>
      </c>
      <c r="D794">
        <v>-2</v>
      </c>
      <c r="E794">
        <v>5</v>
      </c>
      <c r="F794">
        <v>2</v>
      </c>
      <c r="G794">
        <v>1</v>
      </c>
      <c r="H794">
        <f>_xlfn.XLOOKUP(I794,$B$2:$B$1096,$A$2:$A$1096,65535)</f>
        <v>65535</v>
      </c>
      <c r="J794">
        <f t="shared" ref="J794:K794" si="1270">C794-C830</f>
        <v>0</v>
      </c>
      <c r="K794">
        <f t="shared" si="1270"/>
        <v>0</v>
      </c>
      <c r="L794">
        <f t="shared" ref="L794:N794" si="1271">E794+E830</f>
        <v>10</v>
      </c>
      <c r="M794">
        <f t="shared" si="1271"/>
        <v>4</v>
      </c>
      <c r="N794">
        <f t="shared" si="1271"/>
        <v>2</v>
      </c>
      <c r="P794" t="str">
        <f t="shared" si="1211"/>
        <v>-2, 5, 2, 1</v>
      </c>
    </row>
    <row r="795" spans="1:16" x14ac:dyDescent="0.2">
      <c r="A795">
        <f t="shared" si="1247"/>
        <v>793</v>
      </c>
      <c r="B795" s="1" t="s">
        <v>433</v>
      </c>
      <c r="C795">
        <v>44</v>
      </c>
      <c r="D795">
        <v>-2</v>
      </c>
      <c r="E795">
        <v>5</v>
      </c>
      <c r="F795">
        <v>2</v>
      </c>
      <c r="G795">
        <v>1</v>
      </c>
      <c r="H795">
        <f>_xlfn.XLOOKUP(I795,$B$2:$B$1096,$A$2:$A$1096,65535)</f>
        <v>65535</v>
      </c>
      <c r="I795" s="1"/>
      <c r="J795">
        <f t="shared" ref="J795:K795" si="1272">C795-C831</f>
        <v>0</v>
      </c>
      <c r="K795">
        <f t="shared" si="1272"/>
        <v>-1</v>
      </c>
      <c r="L795">
        <f t="shared" ref="L795:N795" si="1273">E795+E831</f>
        <v>10</v>
      </c>
      <c r="M795">
        <f t="shared" si="1273"/>
        <v>4</v>
      </c>
      <c r="N795">
        <f t="shared" si="1273"/>
        <v>2</v>
      </c>
      <c r="P795" t="str">
        <f t="shared" si="1211"/>
        <v>-2, 5, 2, 1</v>
      </c>
    </row>
    <row r="796" spans="1:16" x14ac:dyDescent="0.2">
      <c r="A796">
        <f t="shared" si="1247"/>
        <v>794</v>
      </c>
      <c r="B796" s="1" t="s">
        <v>434</v>
      </c>
      <c r="C796">
        <v>44</v>
      </c>
      <c r="D796">
        <v>-2</v>
      </c>
      <c r="E796">
        <v>5</v>
      </c>
      <c r="F796">
        <v>2</v>
      </c>
      <c r="G796">
        <v>1</v>
      </c>
      <c r="H796">
        <f>_xlfn.XLOOKUP(I796,$B$2:$B$1096,$A$2:$A$1096,65535)</f>
        <v>65535</v>
      </c>
      <c r="J796">
        <f t="shared" ref="J796:K796" si="1274">C796-C832</f>
        <v>31</v>
      </c>
      <c r="K796">
        <f t="shared" si="1274"/>
        <v>-2</v>
      </c>
      <c r="L796">
        <f t="shared" ref="L796:N796" si="1275">E796+E832</f>
        <v>10</v>
      </c>
      <c r="M796">
        <f t="shared" si="1275"/>
        <v>4</v>
      </c>
      <c r="N796">
        <f t="shared" si="1275"/>
        <v>2</v>
      </c>
      <c r="P796" t="str">
        <f t="shared" si="1211"/>
        <v>-2, 5, 2, 1</v>
      </c>
    </row>
    <row r="797" spans="1:16" x14ac:dyDescent="0.2">
      <c r="A797">
        <f t="shared" si="1247"/>
        <v>795</v>
      </c>
      <c r="B797" s="1" t="s">
        <v>435</v>
      </c>
      <c r="C797">
        <v>44</v>
      </c>
      <c r="D797">
        <v>-1</v>
      </c>
      <c r="E797">
        <v>5</v>
      </c>
      <c r="F797">
        <v>2</v>
      </c>
      <c r="G797">
        <v>1</v>
      </c>
      <c r="H797">
        <f>_xlfn.XLOOKUP(I797,$B$2:$B$1096,$A$2:$A$1096,65535)</f>
        <v>65535</v>
      </c>
      <c r="J797">
        <f t="shared" ref="J797:K797" si="1276">C797-C833</f>
        <v>-1</v>
      </c>
      <c r="K797">
        <f t="shared" si="1276"/>
        <v>-1</v>
      </c>
      <c r="L797">
        <f t="shared" ref="L797:N797" si="1277">E797+E833</f>
        <v>5</v>
      </c>
      <c r="M797">
        <f t="shared" si="1277"/>
        <v>2</v>
      </c>
      <c r="N797">
        <f t="shared" si="1277"/>
        <v>1</v>
      </c>
      <c r="P797" t="str">
        <f t="shared" ref="P797:P860" si="1278">_xlfn.CONCAT(D797,", ",E797,", ",F797,", ",G797)</f>
        <v>-1, 5, 2, 1</v>
      </c>
    </row>
    <row r="798" spans="1:16" x14ac:dyDescent="0.2">
      <c r="A798">
        <f t="shared" si="1247"/>
        <v>796</v>
      </c>
      <c r="B798" s="1" t="s">
        <v>436</v>
      </c>
      <c r="C798">
        <v>13</v>
      </c>
      <c r="D798">
        <v>0</v>
      </c>
      <c r="E798">
        <v>5</v>
      </c>
      <c r="F798">
        <v>2</v>
      </c>
      <c r="G798">
        <v>1</v>
      </c>
      <c r="H798">
        <f>_xlfn.XLOOKUP(I798,$B$2:$B$1096,$A$2:$A$1096,65535)</f>
        <v>65535</v>
      </c>
      <c r="I798" s="1"/>
      <c r="J798">
        <f t="shared" ref="J798:K798" si="1279">C798-C834</f>
        <v>-33</v>
      </c>
      <c r="K798">
        <f t="shared" si="1279"/>
        <v>0</v>
      </c>
      <c r="L798">
        <f t="shared" ref="L798:N798" si="1280">E798+E834</f>
        <v>5</v>
      </c>
      <c r="M798">
        <f t="shared" si="1280"/>
        <v>2</v>
      </c>
      <c r="N798">
        <f t="shared" si="1280"/>
        <v>1</v>
      </c>
      <c r="P798" t="str">
        <f t="shared" si="1278"/>
        <v>0, 5, 2, 1</v>
      </c>
    </row>
    <row r="799" spans="1:16" x14ac:dyDescent="0.2">
      <c r="A799">
        <f t="shared" si="1247"/>
        <v>797</v>
      </c>
      <c r="B799" s="1" t="s">
        <v>953</v>
      </c>
      <c r="C799">
        <v>13</v>
      </c>
      <c r="D799">
        <v>0</v>
      </c>
      <c r="E799">
        <v>5</v>
      </c>
      <c r="F799">
        <v>2</v>
      </c>
      <c r="G799">
        <v>1</v>
      </c>
      <c r="H799">
        <f>_xlfn.XLOOKUP(I799,$B$2:$B$1096,$A$2:$A$1096,65535)</f>
        <v>65535</v>
      </c>
      <c r="J799">
        <f t="shared" ref="J799:K799" si="1281">C799-C835</f>
        <v>-34</v>
      </c>
      <c r="K799">
        <f t="shared" si="1281"/>
        <v>0</v>
      </c>
      <c r="L799">
        <f t="shared" ref="L799:N799" si="1282">E799+E835</f>
        <v>5</v>
      </c>
      <c r="M799">
        <f t="shared" si="1282"/>
        <v>2</v>
      </c>
      <c r="N799">
        <f t="shared" si="1282"/>
        <v>1</v>
      </c>
      <c r="P799" t="str">
        <f t="shared" si="1278"/>
        <v>0, 5, 2, 1</v>
      </c>
    </row>
    <row r="800" spans="1:16" x14ac:dyDescent="0.2">
      <c r="A800">
        <f t="shared" si="1247"/>
        <v>798</v>
      </c>
      <c r="B800" s="1" t="s">
        <v>954</v>
      </c>
      <c r="C800">
        <v>12</v>
      </c>
      <c r="D800">
        <v>0</v>
      </c>
      <c r="E800">
        <v>5</v>
      </c>
      <c r="F800">
        <v>2</v>
      </c>
      <c r="G800">
        <v>1</v>
      </c>
      <c r="H800">
        <f>_xlfn.XLOOKUP(I800,$B$2:$B$1096,$A$2:$A$1096,65535)</f>
        <v>65535</v>
      </c>
      <c r="I800" s="1"/>
      <c r="J800">
        <f t="shared" ref="J800:K800" si="1283">C800-C836</f>
        <v>-34</v>
      </c>
      <c r="K800">
        <f t="shared" si="1283"/>
        <v>0</v>
      </c>
      <c r="L800">
        <f t="shared" ref="L800:N800" si="1284">E800+E836</f>
        <v>5</v>
      </c>
      <c r="M800">
        <f t="shared" si="1284"/>
        <v>2</v>
      </c>
      <c r="N800">
        <f t="shared" si="1284"/>
        <v>1</v>
      </c>
      <c r="P800" t="str">
        <f t="shared" si="1278"/>
        <v>0, 5, 2, 1</v>
      </c>
    </row>
    <row r="801" spans="1:16" x14ac:dyDescent="0.2">
      <c r="A801">
        <f t="shared" si="1247"/>
        <v>799</v>
      </c>
      <c r="B801" s="1" t="s">
        <v>955</v>
      </c>
      <c r="C801">
        <v>13</v>
      </c>
      <c r="D801">
        <v>0</v>
      </c>
      <c r="E801">
        <v>5</v>
      </c>
      <c r="F801">
        <v>2</v>
      </c>
      <c r="G801">
        <v>1</v>
      </c>
      <c r="H801">
        <f>_xlfn.XLOOKUP(I801,$B$2:$B$1096,$A$2:$A$1096,65535)</f>
        <v>65535</v>
      </c>
      <c r="J801">
        <f t="shared" ref="J801:K801" si="1285">C801-C837</f>
        <v>-32</v>
      </c>
      <c r="K801">
        <f t="shared" si="1285"/>
        <v>0</v>
      </c>
      <c r="L801">
        <f t="shared" ref="L801:N801" si="1286">E801+E837</f>
        <v>5</v>
      </c>
      <c r="M801">
        <f t="shared" si="1286"/>
        <v>2</v>
      </c>
      <c r="N801">
        <f t="shared" si="1286"/>
        <v>1</v>
      </c>
      <c r="P801" t="str">
        <f t="shared" si="1278"/>
        <v>0, 5, 2, 1</v>
      </c>
    </row>
    <row r="802" spans="1:16" x14ac:dyDescent="0.2">
      <c r="A802">
        <f t="shared" si="1247"/>
        <v>800</v>
      </c>
      <c r="B802" s="1" t="s">
        <v>956</v>
      </c>
      <c r="C802">
        <v>14</v>
      </c>
      <c r="D802">
        <v>0</v>
      </c>
      <c r="E802">
        <v>5</v>
      </c>
      <c r="F802">
        <v>2</v>
      </c>
      <c r="G802">
        <v>1</v>
      </c>
      <c r="H802">
        <f>_xlfn.XLOOKUP(I802,$B$2:$B$1096,$A$2:$A$1096,65535)</f>
        <v>65535</v>
      </c>
      <c r="J802">
        <f t="shared" ref="J802:K802" si="1287">C802-C838</f>
        <v>-32</v>
      </c>
      <c r="K802">
        <f t="shared" si="1287"/>
        <v>0</v>
      </c>
      <c r="L802">
        <f t="shared" ref="L802:N802" si="1288">E802+E838</f>
        <v>5</v>
      </c>
      <c r="M802">
        <f t="shared" si="1288"/>
        <v>2</v>
      </c>
      <c r="N802">
        <f t="shared" si="1288"/>
        <v>1</v>
      </c>
      <c r="P802" t="str">
        <f t="shared" si="1278"/>
        <v>0, 5, 2, 1</v>
      </c>
    </row>
    <row r="803" spans="1:16" x14ac:dyDescent="0.2">
      <c r="A803">
        <f t="shared" si="1247"/>
        <v>801</v>
      </c>
      <c r="B803" s="1" t="s">
        <v>957</v>
      </c>
      <c r="C803">
        <v>13</v>
      </c>
      <c r="D803">
        <v>-3</v>
      </c>
      <c r="E803">
        <v>5</v>
      </c>
      <c r="F803">
        <v>2</v>
      </c>
      <c r="G803">
        <v>1</v>
      </c>
      <c r="H803">
        <f>_xlfn.XLOOKUP(I803,$B$2:$B$1096,$A$2:$A$1096,65535)</f>
        <v>65535</v>
      </c>
      <c r="J803">
        <f t="shared" ref="J803:K803" si="1289">C803-C839</f>
        <v>-34</v>
      </c>
      <c r="K803">
        <f t="shared" si="1289"/>
        <v>-3</v>
      </c>
      <c r="L803">
        <f t="shared" ref="L803:N803" si="1290">E803+E839</f>
        <v>5</v>
      </c>
      <c r="M803">
        <f t="shared" si="1290"/>
        <v>2</v>
      </c>
      <c r="N803">
        <f t="shared" si="1290"/>
        <v>1</v>
      </c>
      <c r="P803" t="str">
        <f t="shared" si="1278"/>
        <v>-3, 5, 2, 1</v>
      </c>
    </row>
    <row r="804" spans="1:16" x14ac:dyDescent="0.2">
      <c r="A804">
        <f t="shared" si="1247"/>
        <v>802</v>
      </c>
      <c r="B804" s="1" t="s">
        <v>958</v>
      </c>
      <c r="C804">
        <v>44</v>
      </c>
      <c r="D804">
        <v>-2</v>
      </c>
      <c r="E804">
        <v>5</v>
      </c>
      <c r="F804">
        <v>2</v>
      </c>
      <c r="G804">
        <v>1</v>
      </c>
      <c r="H804">
        <f>_xlfn.XLOOKUP(I804,$B$2:$B$1096,$A$2:$A$1096,65535)</f>
        <v>65535</v>
      </c>
      <c r="I804" s="1"/>
      <c r="J804">
        <f t="shared" ref="J804:K804" si="1291">C804-C840</f>
        <v>-2</v>
      </c>
      <c r="K804">
        <f t="shared" si="1291"/>
        <v>-2</v>
      </c>
      <c r="L804">
        <f t="shared" ref="L804:N804" si="1292">E804+E840</f>
        <v>5</v>
      </c>
      <c r="M804">
        <f t="shared" si="1292"/>
        <v>2</v>
      </c>
      <c r="N804">
        <f t="shared" si="1292"/>
        <v>1</v>
      </c>
      <c r="P804" t="str">
        <f t="shared" si="1278"/>
        <v>-2, 5, 2, 1</v>
      </c>
    </row>
    <row r="805" spans="1:16" x14ac:dyDescent="0.2">
      <c r="A805">
        <f t="shared" si="1247"/>
        <v>803</v>
      </c>
      <c r="B805" s="1" t="s">
        <v>959</v>
      </c>
      <c r="C805">
        <v>44</v>
      </c>
      <c r="D805">
        <v>-2</v>
      </c>
      <c r="E805">
        <v>5</v>
      </c>
      <c r="F805">
        <v>2</v>
      </c>
      <c r="G805">
        <v>1</v>
      </c>
      <c r="H805">
        <f>_xlfn.XLOOKUP(I805,$B$2:$B$1096,$A$2:$A$1096,65535)</f>
        <v>65535</v>
      </c>
      <c r="J805">
        <f t="shared" ref="J805:K805" si="1293">C805-C841</f>
        <v>-1</v>
      </c>
      <c r="K805">
        <f t="shared" si="1293"/>
        <v>-2</v>
      </c>
      <c r="L805">
        <f t="shared" ref="L805:N805" si="1294">E805+E841</f>
        <v>5</v>
      </c>
      <c r="M805">
        <f t="shared" si="1294"/>
        <v>2</v>
      </c>
      <c r="N805">
        <f t="shared" si="1294"/>
        <v>1</v>
      </c>
      <c r="P805" t="str">
        <f t="shared" si="1278"/>
        <v>-2, 5, 2, 1</v>
      </c>
    </row>
    <row r="806" spans="1:16" x14ac:dyDescent="0.2">
      <c r="A806">
        <f t="shared" si="1247"/>
        <v>804</v>
      </c>
      <c r="B806" s="1" t="s">
        <v>960</v>
      </c>
      <c r="C806">
        <v>44</v>
      </c>
      <c r="D806">
        <v>-2</v>
      </c>
      <c r="E806">
        <v>5</v>
      </c>
      <c r="F806">
        <v>2</v>
      </c>
      <c r="G806">
        <v>1</v>
      </c>
      <c r="H806">
        <f>_xlfn.XLOOKUP(I806,$B$2:$B$1096,$A$2:$A$1096,65535)</f>
        <v>65535</v>
      </c>
      <c r="J806">
        <f t="shared" ref="J806:K806" si="1295">C806-C842</f>
        <v>-2</v>
      </c>
      <c r="K806">
        <f t="shared" si="1295"/>
        <v>-2</v>
      </c>
      <c r="L806">
        <f t="shared" ref="L806:N806" si="1296">E806+E842</f>
        <v>5</v>
      </c>
      <c r="M806">
        <f t="shared" si="1296"/>
        <v>2</v>
      </c>
      <c r="N806">
        <f t="shared" si="1296"/>
        <v>1</v>
      </c>
      <c r="P806" t="str">
        <f t="shared" si="1278"/>
        <v>-2, 5, 2, 1</v>
      </c>
    </row>
    <row r="807" spans="1:16" x14ac:dyDescent="0.2">
      <c r="A807">
        <f t="shared" si="1247"/>
        <v>805</v>
      </c>
      <c r="B807" s="1" t="s">
        <v>961</v>
      </c>
      <c r="C807">
        <v>44</v>
      </c>
      <c r="D807">
        <v>-2</v>
      </c>
      <c r="E807">
        <v>5</v>
      </c>
      <c r="F807">
        <v>2</v>
      </c>
      <c r="G807">
        <v>1</v>
      </c>
      <c r="H807">
        <f>_xlfn.XLOOKUP(I807,$B$2:$B$1096,$A$2:$A$1096,65535)</f>
        <v>65535</v>
      </c>
      <c r="J807">
        <f t="shared" ref="J807:K807" si="1297">C807-C843</f>
        <v>-3</v>
      </c>
      <c r="K807">
        <f t="shared" si="1297"/>
        <v>-2</v>
      </c>
      <c r="L807">
        <f t="shared" ref="L807:N807" si="1298">E807+E843</f>
        <v>5</v>
      </c>
      <c r="M807">
        <f t="shared" si="1298"/>
        <v>2</v>
      </c>
      <c r="N807">
        <f t="shared" si="1298"/>
        <v>1</v>
      </c>
      <c r="P807" t="str">
        <f t="shared" si="1278"/>
        <v>-2, 5, 2, 1</v>
      </c>
    </row>
    <row r="808" spans="1:16" x14ac:dyDescent="0.2">
      <c r="A808">
        <f t="shared" si="1247"/>
        <v>806</v>
      </c>
      <c r="B808" s="1" t="s">
        <v>962</v>
      </c>
      <c r="C808">
        <v>44</v>
      </c>
      <c r="D808">
        <v>-2</v>
      </c>
      <c r="E808">
        <v>5</v>
      </c>
      <c r="F808">
        <v>2</v>
      </c>
      <c r="G808">
        <v>1</v>
      </c>
      <c r="H808">
        <f>_xlfn.XLOOKUP(I808,$B$2:$B$1096,$A$2:$A$1096,65535)</f>
        <v>65535</v>
      </c>
      <c r="I808" s="1"/>
      <c r="J808">
        <f t="shared" ref="J808:K808" si="1299">C808-C844</f>
        <v>-4</v>
      </c>
      <c r="K808">
        <f t="shared" si="1299"/>
        <v>-2</v>
      </c>
      <c r="L808">
        <f t="shared" ref="L808:N808" si="1300">E808+E844</f>
        <v>5</v>
      </c>
      <c r="M808">
        <f t="shared" si="1300"/>
        <v>2</v>
      </c>
      <c r="N808">
        <f t="shared" si="1300"/>
        <v>1</v>
      </c>
      <c r="P808" t="str">
        <f t="shared" si="1278"/>
        <v>-2, 5, 2, 1</v>
      </c>
    </row>
    <row r="809" spans="1:16" x14ac:dyDescent="0.2">
      <c r="A809">
        <f t="shared" si="1247"/>
        <v>807</v>
      </c>
      <c r="B809" s="1" t="s">
        <v>963</v>
      </c>
      <c r="C809">
        <v>44</v>
      </c>
      <c r="D809">
        <v>-2</v>
      </c>
      <c r="E809">
        <v>5</v>
      </c>
      <c r="F809">
        <v>2</v>
      </c>
      <c r="G809">
        <v>1</v>
      </c>
      <c r="H809">
        <f>_xlfn.XLOOKUP(I809,$B$2:$B$1096,$A$2:$A$1096,65535)</f>
        <v>65535</v>
      </c>
      <c r="J809">
        <f t="shared" ref="J809:K809" si="1301">C809-C845</f>
        <v>-5</v>
      </c>
      <c r="K809">
        <f t="shared" si="1301"/>
        <v>-2</v>
      </c>
      <c r="L809">
        <f t="shared" ref="L809:N809" si="1302">E809+E845</f>
        <v>5</v>
      </c>
      <c r="M809">
        <f t="shared" si="1302"/>
        <v>2</v>
      </c>
      <c r="N809">
        <f t="shared" si="1302"/>
        <v>1</v>
      </c>
      <c r="P809" t="str">
        <f t="shared" si="1278"/>
        <v>-2, 5, 2, 1</v>
      </c>
    </row>
    <row r="810" spans="1:16" x14ac:dyDescent="0.2">
      <c r="A810">
        <f t="shared" si="1247"/>
        <v>808</v>
      </c>
      <c r="B810" s="1" t="s">
        <v>964</v>
      </c>
      <c r="C810">
        <v>44</v>
      </c>
      <c r="D810">
        <v>-1</v>
      </c>
      <c r="E810">
        <v>5</v>
      </c>
      <c r="F810">
        <v>2</v>
      </c>
      <c r="G810">
        <v>1</v>
      </c>
      <c r="H810">
        <f>_xlfn.XLOOKUP(I810,$B$2:$B$1096,$A$2:$A$1096,65535)</f>
        <v>65535</v>
      </c>
      <c r="J810">
        <f t="shared" ref="J810:K810" si="1303">C810-C846</f>
        <v>-6</v>
      </c>
      <c r="K810">
        <f t="shared" si="1303"/>
        <v>-1</v>
      </c>
      <c r="L810">
        <f t="shared" ref="L810:N810" si="1304">E810+E846</f>
        <v>5</v>
      </c>
      <c r="M810">
        <f t="shared" si="1304"/>
        <v>2</v>
      </c>
      <c r="N810">
        <f t="shared" si="1304"/>
        <v>1</v>
      </c>
      <c r="P810" t="str">
        <f t="shared" si="1278"/>
        <v>-1, 5, 2, 1</v>
      </c>
    </row>
    <row r="811" spans="1:16" x14ac:dyDescent="0.2">
      <c r="A811">
        <f t="shared" si="1247"/>
        <v>809</v>
      </c>
      <c r="B811" s="1" t="s">
        <v>965</v>
      </c>
      <c r="C811">
        <v>44</v>
      </c>
      <c r="D811">
        <v>0</v>
      </c>
      <c r="E811">
        <v>0</v>
      </c>
      <c r="F811">
        <v>0</v>
      </c>
      <c r="G811">
        <v>0</v>
      </c>
      <c r="H811">
        <f>_xlfn.XLOOKUP(I811,$B$2:$B$1096,$A$2:$A$1096,65535)</f>
        <v>65535</v>
      </c>
      <c r="I811" s="1"/>
      <c r="J811">
        <f t="shared" ref="J811:K811" si="1305">C811-C847</f>
        <v>-5</v>
      </c>
      <c r="K811">
        <f t="shared" si="1305"/>
        <v>0</v>
      </c>
      <c r="L811">
        <f t="shared" ref="L811:N811" si="1306">E811+E847</f>
        <v>0</v>
      </c>
      <c r="M811">
        <f t="shared" si="1306"/>
        <v>0</v>
      </c>
      <c r="N811">
        <f t="shared" si="1306"/>
        <v>0</v>
      </c>
      <c r="P811" t="str">
        <f t="shared" si="1278"/>
        <v>0, 0, 0, 0</v>
      </c>
    </row>
    <row r="812" spans="1:16" x14ac:dyDescent="0.2">
      <c r="A812">
        <f t="shared" si="1247"/>
        <v>810</v>
      </c>
      <c r="B812" s="1" t="s">
        <v>937</v>
      </c>
      <c r="C812">
        <v>44</v>
      </c>
      <c r="D812">
        <v>-2</v>
      </c>
      <c r="E812">
        <v>5</v>
      </c>
      <c r="F812">
        <v>2</v>
      </c>
      <c r="G812">
        <v>1</v>
      </c>
      <c r="H812">
        <f>_xlfn.XLOOKUP(I812,$B$2:$B$1096,$A$2:$A$1096,65535)</f>
        <v>65535</v>
      </c>
      <c r="J812">
        <f t="shared" ref="J812:K812" si="1307">C812-C848</f>
        <v>-4</v>
      </c>
      <c r="K812">
        <f t="shared" si="1307"/>
        <v>-2</v>
      </c>
      <c r="L812">
        <f t="shared" ref="L812:N812" si="1308">E812+E848</f>
        <v>5</v>
      </c>
      <c r="M812">
        <f t="shared" si="1308"/>
        <v>2</v>
      </c>
      <c r="N812">
        <f t="shared" si="1308"/>
        <v>1</v>
      </c>
      <c r="P812" t="str">
        <f t="shared" si="1278"/>
        <v>-2, 5, 2, 1</v>
      </c>
    </row>
    <row r="813" spans="1:16" x14ac:dyDescent="0.2">
      <c r="A813">
        <f t="shared" si="1247"/>
        <v>811</v>
      </c>
      <c r="B813" s="1" t="s">
        <v>938</v>
      </c>
      <c r="C813">
        <v>44</v>
      </c>
      <c r="D813">
        <v>-2</v>
      </c>
      <c r="E813">
        <v>5</v>
      </c>
      <c r="F813">
        <v>2</v>
      </c>
      <c r="G813">
        <v>1</v>
      </c>
      <c r="H813">
        <f>_xlfn.XLOOKUP(I813,$B$2:$B$1096,$A$2:$A$1096,65535)</f>
        <v>65535</v>
      </c>
      <c r="I813" s="1"/>
      <c r="J813">
        <f t="shared" ref="J813:K813" si="1309">C813-C849</f>
        <v>-5</v>
      </c>
      <c r="K813">
        <f t="shared" si="1309"/>
        <v>-2</v>
      </c>
      <c r="L813">
        <f t="shared" ref="L813:N813" si="1310">E813+E849</f>
        <v>5</v>
      </c>
      <c r="M813">
        <f t="shared" si="1310"/>
        <v>2</v>
      </c>
      <c r="N813">
        <f t="shared" si="1310"/>
        <v>1</v>
      </c>
      <c r="P813" t="str">
        <f t="shared" si="1278"/>
        <v>-2, 5, 2, 1</v>
      </c>
    </row>
    <row r="814" spans="1:16" x14ac:dyDescent="0.2">
      <c r="A814">
        <f t="shared" si="1247"/>
        <v>812</v>
      </c>
      <c r="B814" s="1" t="s">
        <v>939</v>
      </c>
      <c r="C814">
        <v>44</v>
      </c>
      <c r="D814">
        <v>-2</v>
      </c>
      <c r="E814">
        <v>5</v>
      </c>
      <c r="F814">
        <v>2</v>
      </c>
      <c r="G814">
        <v>1</v>
      </c>
      <c r="H814">
        <f>_xlfn.XLOOKUP(I814,$B$2:$B$1096,$A$2:$A$1096,65535)</f>
        <v>65535</v>
      </c>
      <c r="J814">
        <f t="shared" ref="J814:K814" si="1311">C814-C850</f>
        <v>-6</v>
      </c>
      <c r="K814">
        <f t="shared" si="1311"/>
        <v>-2</v>
      </c>
      <c r="L814">
        <f t="shared" ref="L814:N814" si="1312">E814+E850</f>
        <v>5</v>
      </c>
      <c r="M814">
        <f t="shared" si="1312"/>
        <v>2</v>
      </c>
      <c r="N814">
        <f t="shared" si="1312"/>
        <v>1</v>
      </c>
      <c r="P814" t="str">
        <f t="shared" si="1278"/>
        <v>-2, 5, 2, 1</v>
      </c>
    </row>
    <row r="815" spans="1:16" x14ac:dyDescent="0.2">
      <c r="A815">
        <f t="shared" si="1247"/>
        <v>813</v>
      </c>
      <c r="B815" s="1" t="s">
        <v>940</v>
      </c>
      <c r="C815">
        <v>44</v>
      </c>
      <c r="D815">
        <v>-2</v>
      </c>
      <c r="E815">
        <v>5</v>
      </c>
      <c r="F815">
        <v>2</v>
      </c>
      <c r="G815">
        <v>1</v>
      </c>
      <c r="H815">
        <f>_xlfn.XLOOKUP(I815,$B$2:$B$1096,$A$2:$A$1096,65535)</f>
        <v>65535</v>
      </c>
      <c r="J815">
        <f t="shared" ref="J815:K815" si="1313">C815-C851</f>
        <v>-5</v>
      </c>
      <c r="K815">
        <f t="shared" si="1313"/>
        <v>-2</v>
      </c>
      <c r="L815">
        <f t="shared" ref="L815:N815" si="1314">E815+E851</f>
        <v>5</v>
      </c>
      <c r="M815">
        <f t="shared" si="1314"/>
        <v>2</v>
      </c>
      <c r="N815">
        <f t="shared" si="1314"/>
        <v>1</v>
      </c>
      <c r="P815" t="str">
        <f t="shared" si="1278"/>
        <v>-2, 5, 2, 1</v>
      </c>
    </row>
    <row r="816" spans="1:16" x14ac:dyDescent="0.2">
      <c r="A816">
        <f t="shared" si="1247"/>
        <v>814</v>
      </c>
      <c r="B816" s="1" t="s">
        <v>941</v>
      </c>
      <c r="C816">
        <v>44</v>
      </c>
      <c r="D816">
        <v>-2</v>
      </c>
      <c r="E816">
        <v>5</v>
      </c>
      <c r="F816">
        <v>2</v>
      </c>
      <c r="G816">
        <v>1</v>
      </c>
      <c r="H816">
        <f>_xlfn.XLOOKUP(I816,$B$2:$B$1096,$A$2:$A$1096,65535)</f>
        <v>65535</v>
      </c>
      <c r="J816">
        <f t="shared" ref="J816:K816" si="1315">C816-C852</f>
        <v>-4</v>
      </c>
      <c r="K816">
        <f t="shared" si="1315"/>
        <v>-2</v>
      </c>
      <c r="L816">
        <f t="shared" ref="L816:N816" si="1316">E816+E852</f>
        <v>5</v>
      </c>
      <c r="M816">
        <f t="shared" si="1316"/>
        <v>2</v>
      </c>
      <c r="N816">
        <f t="shared" si="1316"/>
        <v>1</v>
      </c>
      <c r="P816" t="str">
        <f t="shared" si="1278"/>
        <v>-2, 5, 2, 1</v>
      </c>
    </row>
    <row r="817" spans="1:16" x14ac:dyDescent="0.2">
      <c r="A817">
        <f t="shared" si="1247"/>
        <v>815</v>
      </c>
      <c r="B817" s="1" t="s">
        <v>942</v>
      </c>
      <c r="C817">
        <v>44</v>
      </c>
      <c r="D817">
        <v>-2</v>
      </c>
      <c r="E817">
        <v>5</v>
      </c>
      <c r="F817">
        <v>2</v>
      </c>
      <c r="G817">
        <v>1</v>
      </c>
      <c r="H817">
        <f>_xlfn.XLOOKUP(I817,$B$2:$B$1096,$A$2:$A$1096,65535)</f>
        <v>65535</v>
      </c>
      <c r="I817" s="1"/>
      <c r="J817">
        <f t="shared" ref="J817:K817" si="1317">C817-C853</f>
        <v>-5</v>
      </c>
      <c r="K817">
        <f t="shared" si="1317"/>
        <v>-2</v>
      </c>
      <c r="L817">
        <f t="shared" ref="L817:N817" si="1318">E817+E853</f>
        <v>5</v>
      </c>
      <c r="M817">
        <f t="shared" si="1318"/>
        <v>2</v>
      </c>
      <c r="N817">
        <f t="shared" si="1318"/>
        <v>1</v>
      </c>
      <c r="P817" t="str">
        <f t="shared" si="1278"/>
        <v>-2, 5, 2, 1</v>
      </c>
    </row>
    <row r="818" spans="1:16" x14ac:dyDescent="0.2">
      <c r="A818">
        <f t="shared" si="1247"/>
        <v>816</v>
      </c>
      <c r="B818" s="1" t="s">
        <v>943</v>
      </c>
      <c r="C818">
        <v>44</v>
      </c>
      <c r="D818">
        <v>-2</v>
      </c>
      <c r="E818">
        <v>5</v>
      </c>
      <c r="F818">
        <v>2</v>
      </c>
      <c r="G818">
        <v>1</v>
      </c>
      <c r="H818">
        <f>_xlfn.XLOOKUP(I818,$B$2:$B$1096,$A$2:$A$1096,65535)</f>
        <v>65535</v>
      </c>
      <c r="J818">
        <f t="shared" ref="J818:K818" si="1319">C818-C854</f>
        <v>-6</v>
      </c>
      <c r="K818">
        <f t="shared" si="1319"/>
        <v>-2</v>
      </c>
      <c r="L818">
        <f t="shared" ref="L818:N818" si="1320">E818+E854</f>
        <v>5</v>
      </c>
      <c r="M818">
        <f t="shared" si="1320"/>
        <v>2</v>
      </c>
      <c r="N818">
        <f t="shared" si="1320"/>
        <v>1</v>
      </c>
      <c r="P818" t="str">
        <f t="shared" si="1278"/>
        <v>-2, 5, 2, 1</v>
      </c>
    </row>
    <row r="819" spans="1:16" x14ac:dyDescent="0.2">
      <c r="A819">
        <f t="shared" si="1247"/>
        <v>817</v>
      </c>
      <c r="B819" s="1" t="s">
        <v>944</v>
      </c>
      <c r="C819">
        <v>44</v>
      </c>
      <c r="D819">
        <v>-2</v>
      </c>
      <c r="E819">
        <v>5</v>
      </c>
      <c r="F819">
        <v>2</v>
      </c>
      <c r="G819">
        <v>1</v>
      </c>
      <c r="H819">
        <f>_xlfn.XLOOKUP(I819,$B$2:$B$1096,$A$2:$A$1096,65535)</f>
        <v>65535</v>
      </c>
      <c r="J819">
        <f t="shared" ref="J819:K819" si="1321">C819-C855</f>
        <v>32</v>
      </c>
      <c r="K819">
        <f t="shared" si="1321"/>
        <v>-2</v>
      </c>
      <c r="L819">
        <f t="shared" ref="L819:N819" si="1322">E819+E855</f>
        <v>10</v>
      </c>
      <c r="M819">
        <f t="shared" si="1322"/>
        <v>4</v>
      </c>
      <c r="N819">
        <f t="shared" si="1322"/>
        <v>2</v>
      </c>
      <c r="P819" t="str">
        <f t="shared" si="1278"/>
        <v>-2, 5, 2, 1</v>
      </c>
    </row>
    <row r="820" spans="1:16" x14ac:dyDescent="0.2">
      <c r="A820">
        <f t="shared" si="1247"/>
        <v>818</v>
      </c>
      <c r="B820" s="1" t="s">
        <v>437</v>
      </c>
      <c r="C820">
        <v>13</v>
      </c>
      <c r="D820">
        <v>0</v>
      </c>
      <c r="E820">
        <v>5</v>
      </c>
      <c r="F820">
        <v>2</v>
      </c>
      <c r="G820">
        <v>1</v>
      </c>
      <c r="H820">
        <f>_xlfn.XLOOKUP(I820,$B$2:$B$1096,$A$2:$A$1096,65535)</f>
        <v>65535</v>
      </c>
      <c r="J820">
        <f t="shared" ref="J820:K820" si="1323">C820-C856</f>
        <v>1</v>
      </c>
      <c r="K820">
        <f t="shared" si="1323"/>
        <v>0</v>
      </c>
      <c r="L820">
        <f t="shared" ref="L820:N820" si="1324">E820+E856</f>
        <v>10</v>
      </c>
      <c r="M820">
        <f t="shared" si="1324"/>
        <v>4</v>
      </c>
      <c r="N820">
        <f t="shared" si="1324"/>
        <v>2</v>
      </c>
      <c r="P820" t="str">
        <f t="shared" si="1278"/>
        <v>0, 5, 2, 1</v>
      </c>
    </row>
    <row r="821" spans="1:16" x14ac:dyDescent="0.2">
      <c r="A821">
        <f t="shared" si="1247"/>
        <v>819</v>
      </c>
      <c r="B821" s="1" t="s">
        <v>438</v>
      </c>
      <c r="C821">
        <v>12</v>
      </c>
      <c r="D821">
        <v>0</v>
      </c>
      <c r="E821">
        <v>5</v>
      </c>
      <c r="F821">
        <v>2</v>
      </c>
      <c r="G821">
        <v>1</v>
      </c>
      <c r="H821">
        <f>_xlfn.XLOOKUP(I821,$B$2:$B$1096,$A$2:$A$1096,65535)</f>
        <v>65535</v>
      </c>
      <c r="I821" s="1"/>
      <c r="J821">
        <f t="shared" ref="J821:K821" si="1325">C821-C857</f>
        <v>0</v>
      </c>
      <c r="K821">
        <f t="shared" si="1325"/>
        <v>0</v>
      </c>
      <c r="L821">
        <f t="shared" ref="L821:N821" si="1326">E821+E857</f>
        <v>10</v>
      </c>
      <c r="M821">
        <f t="shared" si="1326"/>
        <v>4</v>
      </c>
      <c r="N821">
        <f t="shared" si="1326"/>
        <v>2</v>
      </c>
      <c r="P821" t="str">
        <f t="shared" si="1278"/>
        <v>0, 5, 2, 1</v>
      </c>
    </row>
    <row r="822" spans="1:16" x14ac:dyDescent="0.2">
      <c r="A822">
        <f t="shared" si="1247"/>
        <v>820</v>
      </c>
      <c r="B822" s="1" t="s">
        <v>439</v>
      </c>
      <c r="C822">
        <v>13</v>
      </c>
      <c r="D822">
        <v>0</v>
      </c>
      <c r="E822">
        <v>5</v>
      </c>
      <c r="F822">
        <v>2</v>
      </c>
      <c r="G822">
        <v>1</v>
      </c>
      <c r="H822">
        <f>_xlfn.XLOOKUP(I822,$B$2:$B$1096,$A$2:$A$1096,65535)</f>
        <v>65535</v>
      </c>
      <c r="J822">
        <f t="shared" ref="J822:K822" si="1327">C822-C858</f>
        <v>1</v>
      </c>
      <c r="K822">
        <f t="shared" si="1327"/>
        <v>0</v>
      </c>
      <c r="L822">
        <f t="shared" ref="L822:N822" si="1328">E822+E858</f>
        <v>10</v>
      </c>
      <c r="M822">
        <f t="shared" si="1328"/>
        <v>4</v>
      </c>
      <c r="N822">
        <f t="shared" si="1328"/>
        <v>2</v>
      </c>
      <c r="P822" t="str">
        <f t="shared" si="1278"/>
        <v>0, 5, 2, 1</v>
      </c>
    </row>
    <row r="823" spans="1:16" x14ac:dyDescent="0.2">
      <c r="A823">
        <f t="shared" si="1247"/>
        <v>821</v>
      </c>
      <c r="B823" s="1" t="s">
        <v>440</v>
      </c>
      <c r="C823">
        <v>14</v>
      </c>
      <c r="D823">
        <v>0</v>
      </c>
      <c r="E823">
        <v>5</v>
      </c>
      <c r="F823">
        <v>2</v>
      </c>
      <c r="G823">
        <v>1</v>
      </c>
      <c r="H823">
        <f>_xlfn.XLOOKUP(I823,$B$2:$B$1096,$A$2:$A$1096,65535)</f>
        <v>65535</v>
      </c>
      <c r="J823">
        <f t="shared" ref="J823:K823" si="1329">C823-C859</f>
        <v>2</v>
      </c>
      <c r="K823">
        <f t="shared" si="1329"/>
        <v>0</v>
      </c>
      <c r="L823">
        <f t="shared" ref="L823:N823" si="1330">E823+E859</f>
        <v>10</v>
      </c>
      <c r="M823">
        <f t="shared" si="1330"/>
        <v>4</v>
      </c>
      <c r="N823">
        <f t="shared" si="1330"/>
        <v>2</v>
      </c>
      <c r="P823" t="str">
        <f t="shared" si="1278"/>
        <v>0, 5, 2, 1</v>
      </c>
    </row>
    <row r="824" spans="1:16" x14ac:dyDescent="0.2">
      <c r="A824">
        <f t="shared" si="1247"/>
        <v>822</v>
      </c>
      <c r="B824" s="1" t="s">
        <v>441</v>
      </c>
      <c r="C824">
        <v>13</v>
      </c>
      <c r="D824">
        <v>-3</v>
      </c>
      <c r="E824">
        <v>0</v>
      </c>
      <c r="F824">
        <v>0</v>
      </c>
      <c r="G824">
        <v>0</v>
      </c>
      <c r="H824">
        <f>_xlfn.XLOOKUP(I824,$B$2:$B$1096,$A$2:$A$1096,65535)</f>
        <v>65535</v>
      </c>
      <c r="J824">
        <f t="shared" ref="J824:K824" si="1331">C824-C860</f>
        <v>0</v>
      </c>
      <c r="K824">
        <f t="shared" si="1331"/>
        <v>-3</v>
      </c>
      <c r="L824">
        <f t="shared" ref="L824:N824" si="1332">E824+E860</f>
        <v>5</v>
      </c>
      <c r="M824">
        <f t="shared" si="1332"/>
        <v>2</v>
      </c>
      <c r="N824">
        <f t="shared" si="1332"/>
        <v>1</v>
      </c>
      <c r="P824" t="str">
        <f t="shared" si="1278"/>
        <v>-3, 0, 0, 0</v>
      </c>
    </row>
    <row r="825" spans="1:16" x14ac:dyDescent="0.2">
      <c r="A825">
        <f t="shared" si="1247"/>
        <v>823</v>
      </c>
      <c r="B825" s="1" t="s">
        <v>442</v>
      </c>
      <c r="C825">
        <v>44</v>
      </c>
      <c r="D825">
        <v>-2</v>
      </c>
      <c r="E825">
        <v>5</v>
      </c>
      <c r="F825">
        <v>2</v>
      </c>
      <c r="G825">
        <v>1</v>
      </c>
      <c r="H825">
        <f>_xlfn.XLOOKUP(I825,$B$2:$B$1096,$A$2:$A$1096,65535)</f>
        <v>65535</v>
      </c>
      <c r="I825" s="1"/>
      <c r="J825">
        <f t="shared" ref="J825:K825" si="1333">C825-C861</f>
        <v>32</v>
      </c>
      <c r="K825">
        <f t="shared" si="1333"/>
        <v>-2</v>
      </c>
      <c r="L825">
        <f t="shared" ref="L825:N825" si="1334">E825+E861</f>
        <v>10</v>
      </c>
      <c r="M825">
        <f t="shared" si="1334"/>
        <v>4</v>
      </c>
      <c r="N825">
        <f t="shared" si="1334"/>
        <v>2</v>
      </c>
      <c r="P825" t="str">
        <f t="shared" si="1278"/>
        <v>-2, 5, 2, 1</v>
      </c>
    </row>
    <row r="826" spans="1:16" x14ac:dyDescent="0.2">
      <c r="A826">
        <f t="shared" si="1247"/>
        <v>824</v>
      </c>
      <c r="B826" s="1" t="s">
        <v>443</v>
      </c>
      <c r="C826">
        <v>44</v>
      </c>
      <c r="D826">
        <v>-2</v>
      </c>
      <c r="E826">
        <v>5</v>
      </c>
      <c r="F826">
        <v>2</v>
      </c>
      <c r="G826">
        <v>1</v>
      </c>
      <c r="H826">
        <f>_xlfn.XLOOKUP(I826,$B$2:$B$1096,$A$2:$A$1096,65535)</f>
        <v>65535</v>
      </c>
      <c r="J826">
        <f t="shared" ref="J826:K826" si="1335">C826-C862</f>
        <v>31</v>
      </c>
      <c r="K826">
        <f t="shared" si="1335"/>
        <v>-2</v>
      </c>
      <c r="L826">
        <f t="shared" ref="L826:N826" si="1336">E826+E862</f>
        <v>10</v>
      </c>
      <c r="M826">
        <f t="shared" si="1336"/>
        <v>4</v>
      </c>
      <c r="N826">
        <f t="shared" si="1336"/>
        <v>2</v>
      </c>
      <c r="P826" t="str">
        <f t="shared" si="1278"/>
        <v>-2, 5, 2, 1</v>
      </c>
    </row>
    <row r="827" spans="1:16" x14ac:dyDescent="0.2">
      <c r="A827">
        <f t="shared" si="1247"/>
        <v>825</v>
      </c>
      <c r="B827" s="1" t="s">
        <v>444</v>
      </c>
      <c r="C827">
        <v>44</v>
      </c>
      <c r="D827">
        <v>-2</v>
      </c>
      <c r="E827">
        <v>5</v>
      </c>
      <c r="F827">
        <v>2</v>
      </c>
      <c r="G827">
        <v>1</v>
      </c>
      <c r="H827">
        <f>_xlfn.XLOOKUP(I827,$B$2:$B$1096,$A$2:$A$1096,65535)</f>
        <v>65535</v>
      </c>
      <c r="J827">
        <f t="shared" ref="J827:K827" si="1337">C827-C863</f>
        <v>32</v>
      </c>
      <c r="K827">
        <f t="shared" si="1337"/>
        <v>-2</v>
      </c>
      <c r="L827">
        <f t="shared" ref="L827:N827" si="1338">E827+E863</f>
        <v>10</v>
      </c>
      <c r="M827">
        <f t="shared" si="1338"/>
        <v>4</v>
      </c>
      <c r="N827">
        <f t="shared" si="1338"/>
        <v>2</v>
      </c>
      <c r="P827" t="str">
        <f t="shared" si="1278"/>
        <v>-2, 5, 2, 1</v>
      </c>
    </row>
    <row r="828" spans="1:16" x14ac:dyDescent="0.2">
      <c r="A828">
        <f t="shared" si="1247"/>
        <v>826</v>
      </c>
      <c r="B828" s="1" t="s">
        <v>445</v>
      </c>
      <c r="C828">
        <v>44</v>
      </c>
      <c r="D828">
        <v>-2</v>
      </c>
      <c r="E828">
        <v>5</v>
      </c>
      <c r="F828">
        <v>2</v>
      </c>
      <c r="G828">
        <v>1</v>
      </c>
      <c r="H828">
        <f>_xlfn.XLOOKUP(I828,$B$2:$B$1096,$A$2:$A$1096,65535)</f>
        <v>65535</v>
      </c>
      <c r="J828">
        <f t="shared" ref="J828:K828" si="1339">C828-C864</f>
        <v>31</v>
      </c>
      <c r="K828">
        <f t="shared" si="1339"/>
        <v>-2</v>
      </c>
      <c r="L828">
        <f t="shared" ref="L828:N828" si="1340">E828+E864</f>
        <v>10</v>
      </c>
      <c r="M828">
        <f t="shared" si="1340"/>
        <v>4</v>
      </c>
      <c r="N828">
        <f t="shared" si="1340"/>
        <v>2</v>
      </c>
      <c r="P828" t="str">
        <f t="shared" si="1278"/>
        <v>-2, 5, 2, 1</v>
      </c>
    </row>
    <row r="829" spans="1:16" x14ac:dyDescent="0.2">
      <c r="A829">
        <f t="shared" si="1247"/>
        <v>827</v>
      </c>
      <c r="B829" s="1" t="s">
        <v>446</v>
      </c>
      <c r="C829">
        <v>44</v>
      </c>
      <c r="D829">
        <v>-2</v>
      </c>
      <c r="E829">
        <v>5</v>
      </c>
      <c r="F829">
        <v>2</v>
      </c>
      <c r="G829">
        <v>1</v>
      </c>
      <c r="H829">
        <f>_xlfn.XLOOKUP(I829,$B$2:$B$1096,$A$2:$A$1096,65535)</f>
        <v>65535</v>
      </c>
      <c r="I829" s="1"/>
      <c r="J829">
        <f t="shared" ref="J829:K829" si="1341">C829-C865</f>
        <v>32</v>
      </c>
      <c r="K829">
        <f t="shared" si="1341"/>
        <v>-2</v>
      </c>
      <c r="L829">
        <f t="shared" ref="L829:N829" si="1342">E829+E865</f>
        <v>10</v>
      </c>
      <c r="M829">
        <f t="shared" si="1342"/>
        <v>4</v>
      </c>
      <c r="N829">
        <f t="shared" si="1342"/>
        <v>2</v>
      </c>
      <c r="P829" t="str">
        <f t="shared" si="1278"/>
        <v>-2, 5, 2, 1</v>
      </c>
    </row>
    <row r="830" spans="1:16" x14ac:dyDescent="0.2">
      <c r="A830">
        <f t="shared" si="1247"/>
        <v>828</v>
      </c>
      <c r="B830" s="1" t="s">
        <v>447</v>
      </c>
      <c r="C830">
        <v>44</v>
      </c>
      <c r="D830">
        <v>-2</v>
      </c>
      <c r="E830">
        <v>5</v>
      </c>
      <c r="F830">
        <v>2</v>
      </c>
      <c r="G830">
        <v>1</v>
      </c>
      <c r="H830">
        <f>_xlfn.XLOOKUP(I830,$B$2:$B$1096,$A$2:$A$1096,65535)</f>
        <v>65535</v>
      </c>
      <c r="J830">
        <f t="shared" ref="J830:K830" si="1343">C830-C866</f>
        <v>31</v>
      </c>
      <c r="K830">
        <f t="shared" si="1343"/>
        <v>-2</v>
      </c>
      <c r="L830">
        <f t="shared" ref="L830:N830" si="1344">E830+E866</f>
        <v>10</v>
      </c>
      <c r="M830">
        <f t="shared" si="1344"/>
        <v>4</v>
      </c>
      <c r="N830">
        <f t="shared" si="1344"/>
        <v>2</v>
      </c>
      <c r="P830" t="str">
        <f t="shared" si="1278"/>
        <v>-2, 5, 2, 1</v>
      </c>
    </row>
    <row r="831" spans="1:16" x14ac:dyDescent="0.2">
      <c r="A831">
        <f t="shared" si="1247"/>
        <v>829</v>
      </c>
      <c r="B831" s="1" t="s">
        <v>448</v>
      </c>
      <c r="C831">
        <v>44</v>
      </c>
      <c r="D831">
        <v>-1</v>
      </c>
      <c r="E831">
        <v>5</v>
      </c>
      <c r="F831">
        <v>2</v>
      </c>
      <c r="G831">
        <v>1</v>
      </c>
      <c r="H831">
        <f>_xlfn.XLOOKUP(I831,$B$2:$B$1096,$A$2:$A$1096,65535)</f>
        <v>65535</v>
      </c>
      <c r="J831">
        <f t="shared" ref="J831:K831" si="1345">C831-C867</f>
        <v>31</v>
      </c>
      <c r="K831">
        <f t="shared" si="1345"/>
        <v>3</v>
      </c>
      <c r="L831">
        <f t="shared" ref="L831:N831" si="1346">E831+E867</f>
        <v>5</v>
      </c>
      <c r="M831">
        <f t="shared" si="1346"/>
        <v>2</v>
      </c>
      <c r="N831">
        <f t="shared" si="1346"/>
        <v>1</v>
      </c>
      <c r="P831" t="str">
        <f t="shared" si="1278"/>
        <v>-1, 5, 2, 1</v>
      </c>
    </row>
    <row r="832" spans="1:16" x14ac:dyDescent="0.2">
      <c r="A832">
        <f t="shared" si="1247"/>
        <v>830</v>
      </c>
      <c r="B832" s="1" t="s">
        <v>449</v>
      </c>
      <c r="C832">
        <v>13</v>
      </c>
      <c r="D832">
        <v>0</v>
      </c>
      <c r="E832">
        <v>5</v>
      </c>
      <c r="F832">
        <v>2</v>
      </c>
      <c r="G832">
        <v>1</v>
      </c>
      <c r="H832">
        <f>_xlfn.XLOOKUP(I832,$B$2:$B$1096,$A$2:$A$1096,65535)</f>
        <v>65535</v>
      </c>
      <c r="I832" s="1"/>
      <c r="J832">
        <f t="shared" ref="J832:K832" si="1347">C832-C868</f>
        <v>1</v>
      </c>
      <c r="K832">
        <f t="shared" si="1347"/>
        <v>0</v>
      </c>
      <c r="L832">
        <f t="shared" ref="L832:N832" si="1348">E832+E868</f>
        <v>10</v>
      </c>
      <c r="M832">
        <f t="shared" si="1348"/>
        <v>4</v>
      </c>
      <c r="N832">
        <f t="shared" si="1348"/>
        <v>2</v>
      </c>
      <c r="P832" t="str">
        <f t="shared" si="1278"/>
        <v>0, 5, 2, 1</v>
      </c>
    </row>
    <row r="833" spans="1:16" x14ac:dyDescent="0.2">
      <c r="A833">
        <f t="shared" si="1247"/>
        <v>831</v>
      </c>
      <c r="B833" s="1" t="s">
        <v>472</v>
      </c>
      <c r="C833">
        <v>45</v>
      </c>
      <c r="D833">
        <v>0</v>
      </c>
      <c r="E833">
        <v>0</v>
      </c>
      <c r="F833">
        <v>0</v>
      </c>
      <c r="G833">
        <v>0</v>
      </c>
      <c r="H833">
        <f>_xlfn.XLOOKUP(I833,$B$2:$B$1096,$A$2:$A$1096,65535)</f>
        <v>65535</v>
      </c>
      <c r="I833" s="1"/>
      <c r="J833">
        <f t="shared" ref="J833:K833" si="1349">C833-C869</f>
        <v>33</v>
      </c>
      <c r="K833">
        <f t="shared" si="1349"/>
        <v>-2</v>
      </c>
      <c r="L833">
        <f t="shared" ref="L833:N833" si="1350">E833+E869</f>
        <v>5</v>
      </c>
      <c r="M833">
        <f t="shared" si="1350"/>
        <v>2</v>
      </c>
      <c r="N833">
        <f t="shared" si="1350"/>
        <v>1</v>
      </c>
      <c r="P833" t="str">
        <f t="shared" si="1278"/>
        <v>0, 0, 0, 0</v>
      </c>
    </row>
    <row r="834" spans="1:16" x14ac:dyDescent="0.2">
      <c r="A834">
        <f t="shared" si="1247"/>
        <v>832</v>
      </c>
      <c r="B834" s="1" t="s">
        <v>473</v>
      </c>
      <c r="C834">
        <v>46</v>
      </c>
      <c r="D834">
        <v>0</v>
      </c>
      <c r="E834">
        <v>0</v>
      </c>
      <c r="F834">
        <v>0</v>
      </c>
      <c r="G834">
        <v>0</v>
      </c>
      <c r="H834">
        <f>_xlfn.XLOOKUP(I834,$B$2:$B$1096,$A$2:$A$1096,65535)</f>
        <v>65535</v>
      </c>
      <c r="I834" s="1"/>
      <c r="J834">
        <f t="shared" ref="J834:K834" si="1351">C834-C870</f>
        <v>-14</v>
      </c>
      <c r="K834">
        <f t="shared" si="1351"/>
        <v>-2</v>
      </c>
      <c r="L834">
        <f t="shared" ref="L834:N834" si="1352">E834+E870</f>
        <v>8</v>
      </c>
      <c r="M834">
        <f t="shared" si="1352"/>
        <v>3</v>
      </c>
      <c r="N834">
        <f t="shared" si="1352"/>
        <v>2</v>
      </c>
      <c r="P834" t="str">
        <f t="shared" si="1278"/>
        <v>0, 0, 0, 0</v>
      </c>
    </row>
    <row r="835" spans="1:16" x14ac:dyDescent="0.2">
      <c r="A835">
        <f t="shared" si="1247"/>
        <v>833</v>
      </c>
      <c r="B835" s="1" t="s">
        <v>474</v>
      </c>
      <c r="C835">
        <v>47</v>
      </c>
      <c r="D835">
        <v>0</v>
      </c>
      <c r="E835">
        <v>0</v>
      </c>
      <c r="F835">
        <v>0</v>
      </c>
      <c r="G835">
        <v>0</v>
      </c>
      <c r="H835">
        <f>_xlfn.XLOOKUP(I835,$B$2:$B$1096,$A$2:$A$1096,65535)</f>
        <v>65535</v>
      </c>
      <c r="I835" s="1"/>
      <c r="J835">
        <f t="shared" ref="J835:K835" si="1353">C835-C871</f>
        <v>-13</v>
      </c>
      <c r="K835">
        <f t="shared" si="1353"/>
        <v>2</v>
      </c>
      <c r="L835">
        <f t="shared" ref="L835:N835" si="1354">E835+E871</f>
        <v>8</v>
      </c>
      <c r="M835">
        <f t="shared" si="1354"/>
        <v>4</v>
      </c>
      <c r="N835">
        <f t="shared" si="1354"/>
        <v>2</v>
      </c>
      <c r="P835" t="str">
        <f t="shared" si="1278"/>
        <v>0, 0, 0, 0</v>
      </c>
    </row>
    <row r="836" spans="1:16" x14ac:dyDescent="0.2">
      <c r="A836">
        <f t="shared" si="1247"/>
        <v>834</v>
      </c>
      <c r="B836" s="1" t="s">
        <v>475</v>
      </c>
      <c r="C836">
        <v>46</v>
      </c>
      <c r="D836">
        <v>0</v>
      </c>
      <c r="E836">
        <v>0</v>
      </c>
      <c r="F836">
        <v>0</v>
      </c>
      <c r="G836">
        <v>0</v>
      </c>
      <c r="H836">
        <f>_xlfn.XLOOKUP(I836,$B$2:$B$1096,$A$2:$A$1096,65535)</f>
        <v>65535</v>
      </c>
      <c r="I836" s="1"/>
      <c r="J836">
        <f t="shared" ref="J836:K836" si="1355">C836-C872</f>
        <v>-14</v>
      </c>
      <c r="K836">
        <f t="shared" si="1355"/>
        <v>2</v>
      </c>
      <c r="L836">
        <f t="shared" ref="L836:N836" si="1356">E836+E872</f>
        <v>8</v>
      </c>
      <c r="M836">
        <f t="shared" si="1356"/>
        <v>3</v>
      </c>
      <c r="N836">
        <f t="shared" si="1356"/>
        <v>2</v>
      </c>
      <c r="P836" t="str">
        <f t="shared" si="1278"/>
        <v>0, 0, 0, 0</v>
      </c>
    </row>
    <row r="837" spans="1:16" x14ac:dyDescent="0.2">
      <c r="A837">
        <f t="shared" si="1247"/>
        <v>835</v>
      </c>
      <c r="B837" s="1" t="s">
        <v>476</v>
      </c>
      <c r="C837">
        <v>45</v>
      </c>
      <c r="D837">
        <v>0</v>
      </c>
      <c r="E837">
        <v>0</v>
      </c>
      <c r="F837">
        <v>0</v>
      </c>
      <c r="G837">
        <v>0</v>
      </c>
      <c r="H837">
        <f>_xlfn.XLOOKUP(I837,$B$2:$B$1096,$A$2:$A$1096,65535)</f>
        <v>65535</v>
      </c>
      <c r="I837" s="1"/>
      <c r="J837">
        <f t="shared" ref="J837:K837" si="1357">C837-C873</f>
        <v>-15</v>
      </c>
      <c r="K837">
        <f t="shared" si="1357"/>
        <v>1</v>
      </c>
      <c r="L837">
        <f t="shared" ref="L837:N837" si="1358">E837+E873</f>
        <v>10</v>
      </c>
      <c r="M837">
        <f t="shared" si="1358"/>
        <v>3</v>
      </c>
      <c r="N837">
        <f t="shared" si="1358"/>
        <v>2</v>
      </c>
      <c r="P837" t="str">
        <f t="shared" si="1278"/>
        <v>0, 0, 0, 0</v>
      </c>
    </row>
    <row r="838" spans="1:16" x14ac:dyDescent="0.2">
      <c r="A838">
        <f t="shared" si="1247"/>
        <v>836</v>
      </c>
      <c r="B838" s="1" t="s">
        <v>477</v>
      </c>
      <c r="C838">
        <v>46</v>
      </c>
      <c r="D838">
        <v>0</v>
      </c>
      <c r="E838">
        <v>0</v>
      </c>
      <c r="F838">
        <v>0</v>
      </c>
      <c r="G838">
        <v>0</v>
      </c>
      <c r="H838">
        <f>_xlfn.XLOOKUP(I838,$B$2:$B$1096,$A$2:$A$1096,65535)</f>
        <v>65535</v>
      </c>
      <c r="I838" s="1"/>
      <c r="J838">
        <f t="shared" ref="J838:K838" si="1359">C838-C874</f>
        <v>-14</v>
      </c>
      <c r="K838">
        <f t="shared" si="1359"/>
        <v>0</v>
      </c>
      <c r="L838">
        <f t="shared" ref="L838:N838" si="1360">E838+E874</f>
        <v>10</v>
      </c>
      <c r="M838">
        <f t="shared" si="1360"/>
        <v>4</v>
      </c>
      <c r="N838">
        <f t="shared" si="1360"/>
        <v>2</v>
      </c>
      <c r="P838" t="str">
        <f t="shared" si="1278"/>
        <v>0, 0, 0, 0</v>
      </c>
    </row>
    <row r="839" spans="1:16" x14ac:dyDescent="0.2">
      <c r="A839">
        <f t="shared" si="1247"/>
        <v>837</v>
      </c>
      <c r="B839" s="1" t="s">
        <v>478</v>
      </c>
      <c r="C839">
        <v>47</v>
      </c>
      <c r="D839">
        <v>0</v>
      </c>
      <c r="E839">
        <v>0</v>
      </c>
      <c r="F839">
        <v>0</v>
      </c>
      <c r="G839">
        <v>0</v>
      </c>
      <c r="H839">
        <f>_xlfn.XLOOKUP(I839,$B$2:$B$1096,$A$2:$A$1096,65535)</f>
        <v>65535</v>
      </c>
      <c r="I839" s="1"/>
      <c r="J839">
        <f t="shared" ref="J839:K839" si="1361">C839-C875</f>
        <v>-13</v>
      </c>
      <c r="K839">
        <f t="shared" si="1361"/>
        <v>1</v>
      </c>
      <c r="L839">
        <f t="shared" ref="L839:N839" si="1362">E839+E875</f>
        <v>10</v>
      </c>
      <c r="M839">
        <f t="shared" si="1362"/>
        <v>4</v>
      </c>
      <c r="N839">
        <f t="shared" si="1362"/>
        <v>2</v>
      </c>
      <c r="P839" t="str">
        <f t="shared" si="1278"/>
        <v>0, 0, 0, 0</v>
      </c>
    </row>
    <row r="840" spans="1:16" x14ac:dyDescent="0.2">
      <c r="A840">
        <f t="shared" si="1247"/>
        <v>838</v>
      </c>
      <c r="B840" s="1" t="s">
        <v>479</v>
      </c>
      <c r="C840">
        <v>46</v>
      </c>
      <c r="D840">
        <v>0</v>
      </c>
      <c r="E840">
        <v>0</v>
      </c>
      <c r="F840">
        <v>0</v>
      </c>
      <c r="G840">
        <v>0</v>
      </c>
      <c r="H840">
        <f>_xlfn.XLOOKUP(I840,$B$2:$B$1096,$A$2:$A$1096,65535)</f>
        <v>65535</v>
      </c>
      <c r="I840" s="1"/>
      <c r="J840">
        <f t="shared" ref="J840:K840" si="1363">C840-C876</f>
        <v>-14</v>
      </c>
      <c r="K840">
        <f t="shared" si="1363"/>
        <v>0</v>
      </c>
      <c r="L840">
        <f t="shared" ref="L840:N840" si="1364">E840+E876</f>
        <v>10</v>
      </c>
      <c r="M840">
        <f t="shared" si="1364"/>
        <v>4</v>
      </c>
      <c r="N840">
        <f t="shared" si="1364"/>
        <v>2</v>
      </c>
      <c r="P840" t="str">
        <f t="shared" si="1278"/>
        <v>0, 0, 0, 0</v>
      </c>
    </row>
    <row r="841" spans="1:16" x14ac:dyDescent="0.2">
      <c r="A841">
        <f t="shared" si="1247"/>
        <v>839</v>
      </c>
      <c r="B841" s="1" t="s">
        <v>480</v>
      </c>
      <c r="C841">
        <v>45</v>
      </c>
      <c r="D841">
        <v>0</v>
      </c>
      <c r="E841">
        <v>0</v>
      </c>
      <c r="F841">
        <v>0</v>
      </c>
      <c r="G841">
        <v>0</v>
      </c>
      <c r="H841">
        <f>_xlfn.XLOOKUP(I841,$B$2:$B$1096,$A$2:$A$1096,65535)</f>
        <v>65535</v>
      </c>
      <c r="I841" s="1"/>
      <c r="J841">
        <f t="shared" ref="J841:K841" si="1365">C841-C877</f>
        <v>-15</v>
      </c>
      <c r="K841">
        <f t="shared" si="1365"/>
        <v>0</v>
      </c>
      <c r="L841">
        <f t="shared" ref="L841:N841" si="1366">E841+E877</f>
        <v>10</v>
      </c>
      <c r="M841">
        <f t="shared" si="1366"/>
        <v>4</v>
      </c>
      <c r="N841">
        <f t="shared" si="1366"/>
        <v>2</v>
      </c>
      <c r="P841" t="str">
        <f t="shared" si="1278"/>
        <v>0, 0, 0, 0</v>
      </c>
    </row>
    <row r="842" spans="1:16" x14ac:dyDescent="0.2">
      <c r="A842">
        <f t="shared" si="1247"/>
        <v>840</v>
      </c>
      <c r="B842" s="1" t="s">
        <v>481</v>
      </c>
      <c r="C842">
        <v>46</v>
      </c>
      <c r="D842">
        <v>0</v>
      </c>
      <c r="E842">
        <v>0</v>
      </c>
      <c r="F842">
        <v>0</v>
      </c>
      <c r="G842">
        <v>0</v>
      </c>
      <c r="H842">
        <f>_xlfn.XLOOKUP(I842,$B$2:$B$1096,$A$2:$A$1096,65535)</f>
        <v>65535</v>
      </c>
      <c r="I842" s="1"/>
      <c r="J842">
        <f t="shared" ref="J842:K842" si="1367">C842-C878</f>
        <v>-14</v>
      </c>
      <c r="K842">
        <f t="shared" si="1367"/>
        <v>-1</v>
      </c>
      <c r="L842">
        <f t="shared" ref="L842:N842" si="1368">E842+E878</f>
        <v>10</v>
      </c>
      <c r="M842">
        <f t="shared" si="1368"/>
        <v>4</v>
      </c>
      <c r="N842">
        <f t="shared" si="1368"/>
        <v>2</v>
      </c>
      <c r="P842" t="str">
        <f t="shared" si="1278"/>
        <v>0, 0, 0, 0</v>
      </c>
    </row>
    <row r="843" spans="1:16" x14ac:dyDescent="0.2">
      <c r="A843">
        <f t="shared" si="1247"/>
        <v>841</v>
      </c>
      <c r="B843" s="1" t="s">
        <v>482</v>
      </c>
      <c r="C843">
        <v>47</v>
      </c>
      <c r="D843">
        <v>0</v>
      </c>
      <c r="E843">
        <v>0</v>
      </c>
      <c r="F843">
        <v>0</v>
      </c>
      <c r="G843">
        <v>0</v>
      </c>
      <c r="H843">
        <f>_xlfn.XLOOKUP(I843,$B$2:$B$1096,$A$2:$A$1096,65535)</f>
        <v>560</v>
      </c>
      <c r="I843" s="1" t="s">
        <v>112</v>
      </c>
      <c r="J843">
        <f t="shared" ref="J843:K843" si="1369">C843-C879</f>
        <v>-13</v>
      </c>
      <c r="K843">
        <f t="shared" si="1369"/>
        <v>0</v>
      </c>
      <c r="L843">
        <f t="shared" ref="L843:N843" si="1370">E843+E879</f>
        <v>8</v>
      </c>
      <c r="M843">
        <f t="shared" si="1370"/>
        <v>3</v>
      </c>
      <c r="N843">
        <f t="shared" si="1370"/>
        <v>1</v>
      </c>
      <c r="P843" t="str">
        <f t="shared" si="1278"/>
        <v>0, 0, 0, 0</v>
      </c>
    </row>
    <row r="844" spans="1:16" x14ac:dyDescent="0.2">
      <c r="A844">
        <f t="shared" si="1247"/>
        <v>842</v>
      </c>
      <c r="B844" s="1" t="s">
        <v>483</v>
      </c>
      <c r="C844">
        <v>48</v>
      </c>
      <c r="D844">
        <v>0</v>
      </c>
      <c r="E844">
        <v>0</v>
      </c>
      <c r="F844">
        <v>0</v>
      </c>
      <c r="G844">
        <v>0</v>
      </c>
      <c r="H844">
        <f>_xlfn.XLOOKUP(I844,$B$2:$B$1096,$A$2:$A$1096,65535)</f>
        <v>65535</v>
      </c>
      <c r="I844" s="1"/>
      <c r="J844">
        <f t="shared" ref="J844:K844" si="1371">C844-C880</f>
        <v>-12</v>
      </c>
      <c r="K844">
        <f t="shared" si="1371"/>
        <v>-1</v>
      </c>
      <c r="L844">
        <f t="shared" ref="L844:N844" si="1372">E844+E880</f>
        <v>8</v>
      </c>
      <c r="M844">
        <f t="shared" si="1372"/>
        <v>3</v>
      </c>
      <c r="N844">
        <f t="shared" si="1372"/>
        <v>1</v>
      </c>
      <c r="P844" t="str">
        <f t="shared" si="1278"/>
        <v>0, 0, 0, 0</v>
      </c>
    </row>
    <row r="845" spans="1:16" x14ac:dyDescent="0.2">
      <c r="A845">
        <f t="shared" si="1247"/>
        <v>843</v>
      </c>
      <c r="B845" s="1" t="s">
        <v>484</v>
      </c>
      <c r="C845">
        <v>49</v>
      </c>
      <c r="D845">
        <v>0</v>
      </c>
      <c r="E845">
        <v>0</v>
      </c>
      <c r="F845">
        <v>0</v>
      </c>
      <c r="G845">
        <v>0</v>
      </c>
      <c r="H845">
        <f>_xlfn.XLOOKUP(I845,$B$2:$B$1096,$A$2:$A$1096,65535)</f>
        <v>65535</v>
      </c>
      <c r="I845" s="1"/>
      <c r="J845">
        <f t="shared" ref="J845:K845" si="1373">C845-C881</f>
        <v>-11</v>
      </c>
      <c r="K845">
        <f t="shared" si="1373"/>
        <v>-2</v>
      </c>
      <c r="L845">
        <f t="shared" ref="L845:N845" si="1374">E845+E881</f>
        <v>8</v>
      </c>
      <c r="M845">
        <f t="shared" si="1374"/>
        <v>3</v>
      </c>
      <c r="N845">
        <f t="shared" si="1374"/>
        <v>1</v>
      </c>
      <c r="P845" t="str">
        <f t="shared" si="1278"/>
        <v>0, 0, 0, 0</v>
      </c>
    </row>
    <row r="846" spans="1:16" x14ac:dyDescent="0.2">
      <c r="A846">
        <f t="shared" si="1247"/>
        <v>844</v>
      </c>
      <c r="B846" s="1" t="s">
        <v>485</v>
      </c>
      <c r="C846">
        <v>50</v>
      </c>
      <c r="D846">
        <v>0</v>
      </c>
      <c r="E846">
        <v>0</v>
      </c>
      <c r="F846">
        <v>0</v>
      </c>
      <c r="G846">
        <v>0</v>
      </c>
      <c r="H846">
        <f>_xlfn.XLOOKUP(I846,$B$2:$B$1096,$A$2:$A$1096,65535)</f>
        <v>65535</v>
      </c>
      <c r="I846" s="1"/>
      <c r="J846">
        <f t="shared" ref="J846:K846" si="1375">C846-C882</f>
        <v>-10</v>
      </c>
      <c r="K846">
        <f t="shared" si="1375"/>
        <v>-1</v>
      </c>
      <c r="L846">
        <f t="shared" ref="L846:N846" si="1376">E846+E882</f>
        <v>5</v>
      </c>
      <c r="M846">
        <f t="shared" si="1376"/>
        <v>2</v>
      </c>
      <c r="N846">
        <f t="shared" si="1376"/>
        <v>1</v>
      </c>
      <c r="P846" t="str">
        <f t="shared" si="1278"/>
        <v>0, 0, 0, 0</v>
      </c>
    </row>
    <row r="847" spans="1:16" x14ac:dyDescent="0.2">
      <c r="A847">
        <f t="shared" ref="A847:A910" si="1377">A846+1</f>
        <v>845</v>
      </c>
      <c r="B847" s="1" t="s">
        <v>486</v>
      </c>
      <c r="C847">
        <v>49</v>
      </c>
      <c r="D847">
        <v>0</v>
      </c>
      <c r="E847">
        <v>0</v>
      </c>
      <c r="F847">
        <v>0</v>
      </c>
      <c r="G847">
        <v>0</v>
      </c>
      <c r="H847">
        <f>_xlfn.XLOOKUP(I847,$B$2:$B$1096,$A$2:$A$1096,65535)</f>
        <v>65535</v>
      </c>
      <c r="I847" s="1"/>
      <c r="J847">
        <f t="shared" ref="J847:K847" si="1378">C847-C883</f>
        <v>37</v>
      </c>
      <c r="K847">
        <f t="shared" si="1378"/>
        <v>0</v>
      </c>
      <c r="L847">
        <f t="shared" ref="L847:N847" si="1379">E847+E883</f>
        <v>5</v>
      </c>
      <c r="M847">
        <f t="shared" si="1379"/>
        <v>2</v>
      </c>
      <c r="N847">
        <f t="shared" si="1379"/>
        <v>1</v>
      </c>
      <c r="P847" t="str">
        <f t="shared" si="1278"/>
        <v>0, 0, 0, 0</v>
      </c>
    </row>
    <row r="848" spans="1:16" x14ac:dyDescent="0.2">
      <c r="A848">
        <f t="shared" si="1377"/>
        <v>846</v>
      </c>
      <c r="B848" s="1" t="s">
        <v>487</v>
      </c>
      <c r="C848">
        <v>48</v>
      </c>
      <c r="D848">
        <v>0</v>
      </c>
      <c r="E848">
        <v>0</v>
      </c>
      <c r="F848">
        <v>0</v>
      </c>
      <c r="G848">
        <v>0</v>
      </c>
      <c r="H848">
        <f>_xlfn.XLOOKUP(I848,$B$2:$B$1096,$A$2:$A$1096,65535)</f>
        <v>65535</v>
      </c>
      <c r="I848" s="1"/>
      <c r="J848">
        <f t="shared" ref="J848:K848" si="1380">C848-C884</f>
        <v>36</v>
      </c>
      <c r="K848">
        <f t="shared" si="1380"/>
        <v>-1</v>
      </c>
      <c r="L848">
        <f t="shared" ref="L848:N848" si="1381">E848+E884</f>
        <v>5</v>
      </c>
      <c r="M848">
        <f t="shared" si="1381"/>
        <v>2</v>
      </c>
      <c r="N848">
        <f t="shared" si="1381"/>
        <v>1</v>
      </c>
      <c r="P848" t="str">
        <f t="shared" si="1278"/>
        <v>0, 0, 0, 0</v>
      </c>
    </row>
    <row r="849" spans="1:16" x14ac:dyDescent="0.2">
      <c r="A849">
        <f t="shared" si="1377"/>
        <v>847</v>
      </c>
      <c r="B849" s="1" t="s">
        <v>488</v>
      </c>
      <c r="C849">
        <v>49</v>
      </c>
      <c r="D849">
        <v>0</v>
      </c>
      <c r="E849">
        <v>0</v>
      </c>
      <c r="F849">
        <v>0</v>
      </c>
      <c r="G849">
        <v>0</v>
      </c>
      <c r="H849">
        <f>_xlfn.XLOOKUP(I849,$B$2:$B$1096,$A$2:$A$1096,65535)</f>
        <v>65535</v>
      </c>
      <c r="I849" s="1"/>
      <c r="J849">
        <f t="shared" ref="J849:K849" si="1382">C849-C885</f>
        <v>35</v>
      </c>
      <c r="K849">
        <f t="shared" si="1382"/>
        <v>2</v>
      </c>
      <c r="L849">
        <f t="shared" ref="L849:N849" si="1383">E849+E885</f>
        <v>5</v>
      </c>
      <c r="M849">
        <f t="shared" si="1383"/>
        <v>2</v>
      </c>
      <c r="N849">
        <f t="shared" si="1383"/>
        <v>1</v>
      </c>
      <c r="P849" t="str">
        <f t="shared" si="1278"/>
        <v>0, 0, 0, 0</v>
      </c>
    </row>
    <row r="850" spans="1:16" x14ac:dyDescent="0.2">
      <c r="A850">
        <f t="shared" si="1377"/>
        <v>848</v>
      </c>
      <c r="B850" s="1" t="s">
        <v>489</v>
      </c>
      <c r="C850">
        <v>50</v>
      </c>
      <c r="D850">
        <v>0</v>
      </c>
      <c r="E850">
        <v>0</v>
      </c>
      <c r="F850">
        <v>0</v>
      </c>
      <c r="G850">
        <v>0</v>
      </c>
      <c r="H850">
        <f>_xlfn.XLOOKUP(I850,$B$2:$B$1096,$A$2:$A$1096,65535)</f>
        <v>65535</v>
      </c>
      <c r="I850" s="1"/>
      <c r="J850">
        <f t="shared" ref="J850:K850" si="1384">C850-C886</f>
        <v>35</v>
      </c>
      <c r="K850">
        <f t="shared" si="1384"/>
        <v>2</v>
      </c>
      <c r="L850">
        <f t="shared" ref="L850:N850" si="1385">E850+E886</f>
        <v>5</v>
      </c>
      <c r="M850">
        <f t="shared" si="1385"/>
        <v>2</v>
      </c>
      <c r="N850">
        <f t="shared" si="1385"/>
        <v>1</v>
      </c>
      <c r="P850" t="str">
        <f t="shared" si="1278"/>
        <v>0, 0, 0, 0</v>
      </c>
    </row>
    <row r="851" spans="1:16" x14ac:dyDescent="0.2">
      <c r="A851">
        <f t="shared" si="1377"/>
        <v>849</v>
      </c>
      <c r="B851" s="1" t="s">
        <v>490</v>
      </c>
      <c r="C851">
        <v>49</v>
      </c>
      <c r="D851">
        <v>0</v>
      </c>
      <c r="E851">
        <v>0</v>
      </c>
      <c r="F851">
        <v>0</v>
      </c>
      <c r="G851">
        <v>0</v>
      </c>
      <c r="H851">
        <f>_xlfn.XLOOKUP(I851,$B$2:$B$1096,$A$2:$A$1096,65535)</f>
        <v>65535</v>
      </c>
      <c r="I851" s="1"/>
      <c r="J851">
        <f t="shared" ref="J851:K851" si="1386">C851-C887</f>
        <v>36</v>
      </c>
      <c r="K851">
        <f t="shared" si="1386"/>
        <v>0</v>
      </c>
      <c r="L851">
        <f t="shared" ref="L851:N851" si="1387">E851+E887</f>
        <v>0</v>
      </c>
      <c r="M851">
        <f t="shared" si="1387"/>
        <v>0</v>
      </c>
      <c r="N851">
        <f t="shared" si="1387"/>
        <v>0</v>
      </c>
      <c r="P851" t="str">
        <f t="shared" si="1278"/>
        <v>0, 0, 0, 0</v>
      </c>
    </row>
    <row r="852" spans="1:16" x14ac:dyDescent="0.2">
      <c r="A852">
        <f t="shared" si="1377"/>
        <v>850</v>
      </c>
      <c r="B852" s="1" t="s">
        <v>491</v>
      </c>
      <c r="C852">
        <v>48</v>
      </c>
      <c r="D852">
        <v>0</v>
      </c>
      <c r="E852">
        <v>0</v>
      </c>
      <c r="F852">
        <v>0</v>
      </c>
      <c r="G852">
        <v>0</v>
      </c>
      <c r="H852">
        <f>_xlfn.XLOOKUP(I852,$B$2:$B$1096,$A$2:$A$1096,65535)</f>
        <v>65535</v>
      </c>
      <c r="I852" s="1"/>
      <c r="J852">
        <f t="shared" ref="J852:K852" si="1388">C852-C888</f>
        <v>35</v>
      </c>
      <c r="K852">
        <f t="shared" si="1388"/>
        <v>0</v>
      </c>
      <c r="L852">
        <f t="shared" ref="L852:N852" si="1389">E852+E888</f>
        <v>0</v>
      </c>
      <c r="M852">
        <f t="shared" si="1389"/>
        <v>0</v>
      </c>
      <c r="N852">
        <f t="shared" si="1389"/>
        <v>0</v>
      </c>
      <c r="P852" t="str">
        <f t="shared" si="1278"/>
        <v>0, 0, 0, 0</v>
      </c>
    </row>
    <row r="853" spans="1:16" x14ac:dyDescent="0.2">
      <c r="A853">
        <f t="shared" si="1377"/>
        <v>851</v>
      </c>
      <c r="B853" s="1" t="s">
        <v>492</v>
      </c>
      <c r="C853">
        <v>49</v>
      </c>
      <c r="D853">
        <v>0</v>
      </c>
      <c r="E853">
        <v>0</v>
      </c>
      <c r="F853">
        <v>0</v>
      </c>
      <c r="G853">
        <v>0</v>
      </c>
      <c r="H853">
        <f>_xlfn.XLOOKUP(I853,$B$2:$B$1096,$A$2:$A$1096,65535)</f>
        <v>65535</v>
      </c>
      <c r="I853" s="1"/>
      <c r="J853">
        <f t="shared" ref="J853:K853" si="1390">C853-C889</f>
        <v>37</v>
      </c>
      <c r="K853">
        <f t="shared" si="1390"/>
        <v>-1</v>
      </c>
      <c r="L853">
        <f t="shared" ref="L853:N853" si="1391">E853+E889</f>
        <v>5</v>
      </c>
      <c r="M853">
        <f t="shared" si="1391"/>
        <v>2</v>
      </c>
      <c r="N853">
        <f t="shared" si="1391"/>
        <v>1</v>
      </c>
      <c r="P853" t="str">
        <f t="shared" si="1278"/>
        <v>0, 0, 0, 0</v>
      </c>
    </row>
    <row r="854" spans="1:16" x14ac:dyDescent="0.2">
      <c r="A854">
        <f t="shared" si="1377"/>
        <v>852</v>
      </c>
      <c r="B854" s="1" t="s">
        <v>493</v>
      </c>
      <c r="C854">
        <v>50</v>
      </c>
      <c r="D854">
        <v>0</v>
      </c>
      <c r="E854">
        <v>0</v>
      </c>
      <c r="F854">
        <v>0</v>
      </c>
      <c r="G854">
        <v>0</v>
      </c>
      <c r="H854">
        <f>_xlfn.XLOOKUP(I854,$B$2:$B$1096,$A$2:$A$1096,65535)</f>
        <v>560</v>
      </c>
      <c r="I854" s="1" t="s">
        <v>112</v>
      </c>
      <c r="J854">
        <f t="shared" ref="J854:K854" si="1392">C854-C890</f>
        <v>38</v>
      </c>
      <c r="K854">
        <f t="shared" si="1392"/>
        <v>-1</v>
      </c>
      <c r="L854">
        <f t="shared" ref="L854:N854" si="1393">E854+E890</f>
        <v>5</v>
      </c>
      <c r="M854">
        <f t="shared" si="1393"/>
        <v>2</v>
      </c>
      <c r="N854">
        <f t="shared" si="1393"/>
        <v>1</v>
      </c>
      <c r="P854" t="str">
        <f t="shared" si="1278"/>
        <v>0, 0, 0, 0</v>
      </c>
    </row>
    <row r="855" spans="1:16" x14ac:dyDescent="0.2">
      <c r="A855">
        <f t="shared" si="1377"/>
        <v>853</v>
      </c>
      <c r="B855" s="1" t="s">
        <v>524</v>
      </c>
      <c r="C855">
        <v>12</v>
      </c>
      <c r="D855">
        <v>0</v>
      </c>
      <c r="E855">
        <v>5</v>
      </c>
      <c r="F855">
        <v>2</v>
      </c>
      <c r="G855">
        <v>1</v>
      </c>
      <c r="H855">
        <f>_xlfn.XLOOKUP(I855,$B$2:$B$1096,$A$2:$A$1096,65535)</f>
        <v>65535</v>
      </c>
      <c r="I855" s="1"/>
      <c r="J855">
        <f t="shared" ref="J855:K855" si="1394">C855-C891</f>
        <v>0</v>
      </c>
      <c r="K855">
        <f t="shared" si="1394"/>
        <v>-1</v>
      </c>
      <c r="L855">
        <f t="shared" ref="L855:N855" si="1395">E855+E891</f>
        <v>10</v>
      </c>
      <c r="M855">
        <f t="shared" si="1395"/>
        <v>4</v>
      </c>
      <c r="N855">
        <f t="shared" si="1395"/>
        <v>2</v>
      </c>
      <c r="P855" t="str">
        <f t="shared" si="1278"/>
        <v>0, 5, 2, 1</v>
      </c>
    </row>
    <row r="856" spans="1:16" x14ac:dyDescent="0.2">
      <c r="A856">
        <f t="shared" si="1377"/>
        <v>854</v>
      </c>
      <c r="B856" s="1" t="s">
        <v>525</v>
      </c>
      <c r="C856">
        <v>12</v>
      </c>
      <c r="D856">
        <v>0</v>
      </c>
      <c r="E856">
        <v>5</v>
      </c>
      <c r="F856">
        <v>2</v>
      </c>
      <c r="G856">
        <v>1</v>
      </c>
      <c r="H856">
        <f>_xlfn.XLOOKUP(I856,$B$2:$B$1096,$A$2:$A$1096,65535)</f>
        <v>65535</v>
      </c>
      <c r="I856" s="1"/>
      <c r="J856">
        <f t="shared" ref="J856:K856" si="1396">C856-C892</f>
        <v>0</v>
      </c>
      <c r="K856">
        <f t="shared" si="1396"/>
        <v>0</v>
      </c>
      <c r="L856">
        <f t="shared" ref="L856:N856" si="1397">E856+E892</f>
        <v>10</v>
      </c>
      <c r="M856">
        <f t="shared" si="1397"/>
        <v>4</v>
      </c>
      <c r="N856">
        <f t="shared" si="1397"/>
        <v>2</v>
      </c>
      <c r="P856" t="str">
        <f t="shared" si="1278"/>
        <v>0, 5, 2, 1</v>
      </c>
    </row>
    <row r="857" spans="1:16" x14ac:dyDescent="0.2">
      <c r="A857">
        <f t="shared" si="1377"/>
        <v>855</v>
      </c>
      <c r="B857" s="1" t="s">
        <v>526</v>
      </c>
      <c r="C857">
        <v>12</v>
      </c>
      <c r="D857">
        <v>0</v>
      </c>
      <c r="E857">
        <v>5</v>
      </c>
      <c r="F857">
        <v>2</v>
      </c>
      <c r="G857">
        <v>1</v>
      </c>
      <c r="H857">
        <f>_xlfn.XLOOKUP(I857,$B$2:$B$1096,$A$2:$A$1096,65535)</f>
        <v>65535</v>
      </c>
      <c r="I857" s="1"/>
      <c r="J857">
        <f t="shared" ref="J857:K857" si="1398">C857-C893</f>
        <v>0</v>
      </c>
      <c r="K857">
        <f t="shared" si="1398"/>
        <v>1</v>
      </c>
      <c r="L857">
        <f t="shared" ref="L857:N857" si="1399">E857+E893</f>
        <v>7</v>
      </c>
      <c r="M857">
        <f t="shared" si="1399"/>
        <v>3</v>
      </c>
      <c r="N857">
        <f t="shared" si="1399"/>
        <v>1</v>
      </c>
      <c r="P857" t="str">
        <f t="shared" si="1278"/>
        <v>0, 5, 2, 1</v>
      </c>
    </row>
    <row r="858" spans="1:16" x14ac:dyDescent="0.2">
      <c r="A858">
        <f t="shared" si="1377"/>
        <v>856</v>
      </c>
      <c r="B858" s="1" t="s">
        <v>527</v>
      </c>
      <c r="C858">
        <v>12</v>
      </c>
      <c r="D858">
        <v>0</v>
      </c>
      <c r="E858">
        <v>5</v>
      </c>
      <c r="F858">
        <v>2</v>
      </c>
      <c r="G858">
        <v>1</v>
      </c>
      <c r="H858">
        <f>_xlfn.XLOOKUP(I858,$B$2:$B$1096,$A$2:$A$1096,65535)</f>
        <v>65535</v>
      </c>
      <c r="I858" s="1"/>
      <c r="J858">
        <f t="shared" ref="J858:K858" si="1400">C858-C894</f>
        <v>-2</v>
      </c>
      <c r="K858">
        <f t="shared" si="1400"/>
        <v>1</v>
      </c>
      <c r="L858">
        <f t="shared" ref="L858:N858" si="1401">E858+E894</f>
        <v>7</v>
      </c>
      <c r="M858">
        <f t="shared" si="1401"/>
        <v>3</v>
      </c>
      <c r="N858">
        <f t="shared" si="1401"/>
        <v>2</v>
      </c>
      <c r="P858" t="str">
        <f t="shared" si="1278"/>
        <v>0, 5, 2, 1</v>
      </c>
    </row>
    <row r="859" spans="1:16" x14ac:dyDescent="0.2">
      <c r="A859">
        <f t="shared" si="1377"/>
        <v>857</v>
      </c>
      <c r="B859" s="1" t="s">
        <v>528</v>
      </c>
      <c r="C859">
        <v>12</v>
      </c>
      <c r="D859">
        <v>0</v>
      </c>
      <c r="E859">
        <v>5</v>
      </c>
      <c r="F859">
        <v>2</v>
      </c>
      <c r="G859">
        <v>1</v>
      </c>
      <c r="H859">
        <f>_xlfn.XLOOKUP(I859,$B$2:$B$1096,$A$2:$A$1096,65535)</f>
        <v>65535</v>
      </c>
      <c r="I859" s="1"/>
      <c r="J859">
        <f t="shared" ref="J859:K859" si="1402">C859-C895</f>
        <v>-1</v>
      </c>
      <c r="K859">
        <f t="shared" si="1402"/>
        <v>1</v>
      </c>
      <c r="L859">
        <f t="shared" ref="L859:N859" si="1403">E859+E895</f>
        <v>10</v>
      </c>
      <c r="M859">
        <f t="shared" si="1403"/>
        <v>4</v>
      </c>
      <c r="N859">
        <f t="shared" si="1403"/>
        <v>2</v>
      </c>
      <c r="P859" t="str">
        <f t="shared" si="1278"/>
        <v>0, 5, 2, 1</v>
      </c>
    </row>
    <row r="860" spans="1:16" x14ac:dyDescent="0.2">
      <c r="A860">
        <f t="shared" si="1377"/>
        <v>858</v>
      </c>
      <c r="B860" s="1" t="s">
        <v>529</v>
      </c>
      <c r="C860">
        <v>13</v>
      </c>
      <c r="D860">
        <v>0</v>
      </c>
      <c r="E860">
        <v>5</v>
      </c>
      <c r="F860">
        <v>2</v>
      </c>
      <c r="G860">
        <v>1</v>
      </c>
      <c r="H860">
        <f>_xlfn.XLOOKUP(I860,$B$2:$B$1096,$A$2:$A$1096,65535)</f>
        <v>65535</v>
      </c>
      <c r="I860" s="1"/>
      <c r="J860">
        <f t="shared" ref="J860:K860" si="1404">C860-C896</f>
        <v>0</v>
      </c>
      <c r="K860">
        <f t="shared" si="1404"/>
        <v>0</v>
      </c>
      <c r="L860">
        <f t="shared" ref="L860:N860" si="1405">E860+E896</f>
        <v>5</v>
      </c>
      <c r="M860">
        <f t="shared" si="1405"/>
        <v>2</v>
      </c>
      <c r="N860">
        <f t="shared" si="1405"/>
        <v>1</v>
      </c>
      <c r="P860" t="str">
        <f t="shared" si="1278"/>
        <v>0, 5, 2, 1</v>
      </c>
    </row>
    <row r="861" spans="1:16" x14ac:dyDescent="0.2">
      <c r="A861">
        <f t="shared" si="1377"/>
        <v>859</v>
      </c>
      <c r="B861" s="1" t="s">
        <v>530</v>
      </c>
      <c r="C861">
        <v>12</v>
      </c>
      <c r="D861">
        <v>0</v>
      </c>
      <c r="E861">
        <v>5</v>
      </c>
      <c r="F861">
        <v>2</v>
      </c>
      <c r="G861">
        <v>1</v>
      </c>
      <c r="H861">
        <f>_xlfn.XLOOKUP(I861,$B$2:$B$1096,$A$2:$A$1096,65535)</f>
        <v>65535</v>
      </c>
      <c r="I861" s="1"/>
      <c r="J861">
        <f t="shared" ref="J861:K861" si="1406">C861-C897</f>
        <v>0</v>
      </c>
      <c r="K861">
        <f t="shared" si="1406"/>
        <v>-1</v>
      </c>
      <c r="L861">
        <f t="shared" ref="L861:N861" si="1407">E861+E897</f>
        <v>10</v>
      </c>
      <c r="M861">
        <f t="shared" si="1407"/>
        <v>4</v>
      </c>
      <c r="N861">
        <f t="shared" si="1407"/>
        <v>2</v>
      </c>
      <c r="P861" t="str">
        <f t="shared" ref="P861:P924" si="1408">_xlfn.CONCAT(D861,", ",E861,", ",F861,", ",G861)</f>
        <v>0, 5, 2, 1</v>
      </c>
    </row>
    <row r="862" spans="1:16" x14ac:dyDescent="0.2">
      <c r="A862">
        <f t="shared" si="1377"/>
        <v>860</v>
      </c>
      <c r="B862" s="1" t="s">
        <v>531</v>
      </c>
      <c r="C862">
        <v>13</v>
      </c>
      <c r="D862">
        <v>0</v>
      </c>
      <c r="E862">
        <v>5</v>
      </c>
      <c r="F862">
        <v>2</v>
      </c>
      <c r="G862">
        <v>1</v>
      </c>
      <c r="H862">
        <f>_xlfn.XLOOKUP(I862,$B$2:$B$1096,$A$2:$A$1096,65535)</f>
        <v>65535</v>
      </c>
      <c r="I862" s="1"/>
      <c r="J862">
        <f t="shared" ref="J862:K862" si="1409">C862-C898</f>
        <v>1</v>
      </c>
      <c r="K862">
        <f t="shared" si="1409"/>
        <v>-1</v>
      </c>
      <c r="L862">
        <f t="shared" ref="L862:N862" si="1410">E862+E898</f>
        <v>10</v>
      </c>
      <c r="M862">
        <f t="shared" si="1410"/>
        <v>4</v>
      </c>
      <c r="N862">
        <f t="shared" si="1410"/>
        <v>2</v>
      </c>
      <c r="P862" t="str">
        <f t="shared" si="1408"/>
        <v>0, 5, 2, 1</v>
      </c>
    </row>
    <row r="863" spans="1:16" x14ac:dyDescent="0.2">
      <c r="A863">
        <f t="shared" si="1377"/>
        <v>861</v>
      </c>
      <c r="B863" s="1" t="s">
        <v>537</v>
      </c>
      <c r="C863">
        <v>12</v>
      </c>
      <c r="D863">
        <v>0</v>
      </c>
      <c r="E863">
        <v>5</v>
      </c>
      <c r="F863">
        <v>2</v>
      </c>
      <c r="G863">
        <v>1</v>
      </c>
      <c r="H863">
        <f>_xlfn.XLOOKUP(I863,$B$2:$B$1096,$A$2:$A$1096,65535)</f>
        <v>65535</v>
      </c>
      <c r="I863" s="1"/>
      <c r="J863">
        <f t="shared" ref="J863:K863" si="1411">C863-C899</f>
        <v>0</v>
      </c>
      <c r="K863">
        <f t="shared" si="1411"/>
        <v>-1</v>
      </c>
      <c r="L863">
        <f t="shared" ref="L863:N863" si="1412">E863+E899</f>
        <v>10</v>
      </c>
      <c r="M863">
        <f t="shared" si="1412"/>
        <v>4</v>
      </c>
      <c r="N863">
        <f t="shared" si="1412"/>
        <v>2</v>
      </c>
      <c r="P863" t="str">
        <f t="shared" si="1408"/>
        <v>0, 5, 2, 1</v>
      </c>
    </row>
    <row r="864" spans="1:16" x14ac:dyDescent="0.2">
      <c r="A864">
        <f t="shared" si="1377"/>
        <v>862</v>
      </c>
      <c r="B864" s="1" t="s">
        <v>538</v>
      </c>
      <c r="C864">
        <v>13</v>
      </c>
      <c r="D864">
        <v>0</v>
      </c>
      <c r="E864">
        <v>5</v>
      </c>
      <c r="F864">
        <v>2</v>
      </c>
      <c r="G864">
        <v>1</v>
      </c>
      <c r="H864">
        <f>_xlfn.XLOOKUP(I864,$B$2:$B$1096,$A$2:$A$1096,65535)</f>
        <v>65535</v>
      </c>
      <c r="I864" s="1"/>
      <c r="J864">
        <f t="shared" ref="J864:K864" si="1413">C864-C900</f>
        <v>1</v>
      </c>
      <c r="K864">
        <f t="shared" si="1413"/>
        <v>0</v>
      </c>
      <c r="L864">
        <f t="shared" ref="L864:N864" si="1414">E864+E900</f>
        <v>10</v>
      </c>
      <c r="M864">
        <f t="shared" si="1414"/>
        <v>4</v>
      </c>
      <c r="N864">
        <f t="shared" si="1414"/>
        <v>2</v>
      </c>
      <c r="P864" t="str">
        <f t="shared" si="1408"/>
        <v>0, 5, 2, 1</v>
      </c>
    </row>
    <row r="865" spans="1:16" x14ac:dyDescent="0.2">
      <c r="A865">
        <f t="shared" si="1377"/>
        <v>863</v>
      </c>
      <c r="B865" s="1" t="s">
        <v>539</v>
      </c>
      <c r="C865">
        <v>12</v>
      </c>
      <c r="D865">
        <v>0</v>
      </c>
      <c r="E865">
        <v>5</v>
      </c>
      <c r="F865">
        <v>2</v>
      </c>
      <c r="G865">
        <v>1</v>
      </c>
      <c r="H865">
        <f>_xlfn.XLOOKUP(I865,$B$2:$B$1096,$A$2:$A$1096,65535)</f>
        <v>65535</v>
      </c>
      <c r="I865" s="1"/>
      <c r="J865">
        <f t="shared" ref="J865:K865" si="1415">C865-C901</f>
        <v>0</v>
      </c>
      <c r="K865">
        <f t="shared" si="1415"/>
        <v>1</v>
      </c>
      <c r="L865">
        <f t="shared" ref="L865:N865" si="1416">E865+E901</f>
        <v>7</v>
      </c>
      <c r="M865">
        <f t="shared" si="1416"/>
        <v>3</v>
      </c>
      <c r="N865">
        <f t="shared" si="1416"/>
        <v>1</v>
      </c>
      <c r="P865" t="str">
        <f t="shared" si="1408"/>
        <v>0, 5, 2, 1</v>
      </c>
    </row>
    <row r="866" spans="1:16" x14ac:dyDescent="0.2">
      <c r="A866">
        <f t="shared" si="1377"/>
        <v>864</v>
      </c>
      <c r="B866" s="1" t="s">
        <v>540</v>
      </c>
      <c r="C866">
        <v>13</v>
      </c>
      <c r="D866">
        <v>0</v>
      </c>
      <c r="E866">
        <v>5</v>
      </c>
      <c r="F866">
        <v>2</v>
      </c>
      <c r="G866">
        <v>1</v>
      </c>
      <c r="H866">
        <f>_xlfn.XLOOKUP(I866,$B$2:$B$1096,$A$2:$A$1096,65535)</f>
        <v>65535</v>
      </c>
      <c r="I866" s="1"/>
      <c r="J866">
        <f t="shared" ref="J866:K866" si="1417">C866-C902</f>
        <v>-1</v>
      </c>
      <c r="K866">
        <f t="shared" si="1417"/>
        <v>1</v>
      </c>
      <c r="L866">
        <f t="shared" ref="L866:N866" si="1418">E866+E902</f>
        <v>7</v>
      </c>
      <c r="M866">
        <f t="shared" si="1418"/>
        <v>3</v>
      </c>
      <c r="N866">
        <f t="shared" si="1418"/>
        <v>2</v>
      </c>
      <c r="P866" t="str">
        <f t="shared" si="1408"/>
        <v>0, 5, 2, 1</v>
      </c>
    </row>
    <row r="867" spans="1:16" x14ac:dyDescent="0.2">
      <c r="A867">
        <f t="shared" si="1377"/>
        <v>865</v>
      </c>
      <c r="B867" s="1" t="s">
        <v>541</v>
      </c>
      <c r="C867">
        <v>13</v>
      </c>
      <c r="D867">
        <v>-4</v>
      </c>
      <c r="E867">
        <v>0</v>
      </c>
      <c r="F867">
        <v>0</v>
      </c>
      <c r="G867">
        <v>0</v>
      </c>
      <c r="H867">
        <f>_xlfn.XLOOKUP(I867,$B$2:$B$1096,$A$2:$A$1096,65535)</f>
        <v>65535</v>
      </c>
      <c r="I867" s="1"/>
      <c r="J867">
        <f t="shared" ref="J867:K867" si="1419">C867-C903</f>
        <v>-6</v>
      </c>
      <c r="K867">
        <f t="shared" si="1419"/>
        <v>-3</v>
      </c>
      <c r="L867">
        <f t="shared" ref="L867:N867" si="1420">E867+E903</f>
        <v>5</v>
      </c>
      <c r="M867">
        <f t="shared" si="1420"/>
        <v>2</v>
      </c>
      <c r="N867">
        <f t="shared" si="1420"/>
        <v>1</v>
      </c>
      <c r="P867" t="str">
        <f t="shared" si="1408"/>
        <v>-4, 0, 0, 0</v>
      </c>
    </row>
    <row r="868" spans="1:16" x14ac:dyDescent="0.2">
      <c r="A868">
        <f t="shared" si="1377"/>
        <v>866</v>
      </c>
      <c r="B868" s="1" t="s">
        <v>562</v>
      </c>
      <c r="C868">
        <v>12</v>
      </c>
      <c r="D868">
        <v>0</v>
      </c>
      <c r="E868">
        <v>5</v>
      </c>
      <c r="F868">
        <v>2</v>
      </c>
      <c r="G868">
        <v>1</v>
      </c>
      <c r="H868">
        <f>_xlfn.XLOOKUP(I868,$B$2:$B$1096,$A$2:$A$1096,65535)</f>
        <v>65535</v>
      </c>
      <c r="I868" s="1"/>
      <c r="J868">
        <f t="shared" ref="J868:K868" si="1421">C868-C904</f>
        <v>-112</v>
      </c>
      <c r="K868">
        <f t="shared" si="1421"/>
        <v>0</v>
      </c>
      <c r="L868">
        <f t="shared" ref="L868:N868" si="1422">E868+E904</f>
        <v>5</v>
      </c>
      <c r="M868">
        <f t="shared" si="1422"/>
        <v>2</v>
      </c>
      <c r="N868">
        <f t="shared" si="1422"/>
        <v>1</v>
      </c>
      <c r="P868" t="str">
        <f t="shared" si="1408"/>
        <v>0, 5, 2, 1</v>
      </c>
    </row>
    <row r="869" spans="1:16" x14ac:dyDescent="0.2">
      <c r="A869">
        <f t="shared" si="1377"/>
        <v>867</v>
      </c>
      <c r="B869" s="1" t="s">
        <v>563</v>
      </c>
      <c r="C869">
        <v>12</v>
      </c>
      <c r="D869">
        <v>2</v>
      </c>
      <c r="E869">
        <v>5</v>
      </c>
      <c r="F869">
        <v>2</v>
      </c>
      <c r="G869">
        <v>1</v>
      </c>
      <c r="H869">
        <f>_xlfn.XLOOKUP(I869,$B$2:$B$1096,$A$2:$A$1096,65535)</f>
        <v>65535</v>
      </c>
      <c r="I869" s="1"/>
      <c r="J869">
        <f t="shared" ref="J869:K869" si="1423">C869-C905</f>
        <v>-113</v>
      </c>
      <c r="K869">
        <f t="shared" si="1423"/>
        <v>2</v>
      </c>
      <c r="L869">
        <f t="shared" ref="L869:N869" si="1424">E869+E905</f>
        <v>5</v>
      </c>
      <c r="M869">
        <f t="shared" si="1424"/>
        <v>2</v>
      </c>
      <c r="N869">
        <f t="shared" si="1424"/>
        <v>1</v>
      </c>
      <c r="P869" t="str">
        <f t="shared" si="1408"/>
        <v>2, 5, 2, 1</v>
      </c>
    </row>
    <row r="870" spans="1:16" x14ac:dyDescent="0.2">
      <c r="A870">
        <f t="shared" si="1377"/>
        <v>868</v>
      </c>
      <c r="B870" s="1" t="s">
        <v>564</v>
      </c>
      <c r="C870">
        <v>60</v>
      </c>
      <c r="D870">
        <v>2</v>
      </c>
      <c r="E870">
        <v>8</v>
      </c>
      <c r="F870">
        <v>3</v>
      </c>
      <c r="G870">
        <v>2</v>
      </c>
      <c r="H870">
        <f>_xlfn.XLOOKUP(I870,$B$2:$B$1096,$A$2:$A$1096,65535)</f>
        <v>65535</v>
      </c>
      <c r="I870" s="1"/>
      <c r="J870">
        <f t="shared" ref="J870:K870" si="1425">C870-C906</f>
        <v>-66</v>
      </c>
      <c r="K870">
        <f t="shared" si="1425"/>
        <v>2</v>
      </c>
      <c r="L870">
        <f t="shared" ref="L870:N870" si="1426">E870+E906</f>
        <v>8</v>
      </c>
      <c r="M870">
        <f t="shared" si="1426"/>
        <v>3</v>
      </c>
      <c r="N870">
        <f t="shared" si="1426"/>
        <v>2</v>
      </c>
      <c r="P870" t="str">
        <f t="shared" si="1408"/>
        <v>2, 8, 3, 2</v>
      </c>
    </row>
    <row r="871" spans="1:16" x14ac:dyDescent="0.2">
      <c r="A871">
        <f t="shared" si="1377"/>
        <v>869</v>
      </c>
      <c r="B871" s="1" t="s">
        <v>565</v>
      </c>
      <c r="C871">
        <v>60</v>
      </c>
      <c r="D871">
        <v>-2</v>
      </c>
      <c r="E871">
        <v>8</v>
      </c>
      <c r="F871">
        <v>4</v>
      </c>
      <c r="G871">
        <v>2</v>
      </c>
      <c r="H871">
        <f>_xlfn.XLOOKUP(I871,$B$2:$B$1096,$A$2:$A$1096,65535)</f>
        <v>65535</v>
      </c>
      <c r="I871" s="1"/>
      <c r="J871">
        <f t="shared" ref="J871:K871" si="1427">C871-C907</f>
        <v>-67</v>
      </c>
      <c r="K871">
        <f t="shared" si="1427"/>
        <v>-2</v>
      </c>
      <c r="L871">
        <f t="shared" ref="L871:N871" si="1428">E871+E907</f>
        <v>8</v>
      </c>
      <c r="M871">
        <f t="shared" si="1428"/>
        <v>4</v>
      </c>
      <c r="N871">
        <f t="shared" si="1428"/>
        <v>2</v>
      </c>
      <c r="P871" t="str">
        <f t="shared" si="1408"/>
        <v>-2, 8, 4, 2</v>
      </c>
    </row>
    <row r="872" spans="1:16" x14ac:dyDescent="0.2">
      <c r="A872">
        <f t="shared" si="1377"/>
        <v>870</v>
      </c>
      <c r="B872" s="1" t="s">
        <v>566</v>
      </c>
      <c r="C872">
        <v>60</v>
      </c>
      <c r="D872">
        <v>-2</v>
      </c>
      <c r="E872">
        <v>8</v>
      </c>
      <c r="F872">
        <v>3</v>
      </c>
      <c r="G872">
        <v>2</v>
      </c>
      <c r="H872">
        <f>_xlfn.XLOOKUP(I872,$B$2:$B$1096,$A$2:$A$1096,65535)</f>
        <v>65535</v>
      </c>
      <c r="I872" s="1"/>
      <c r="J872">
        <f t="shared" ref="J872:K872" si="1429">C872-C908</f>
        <v>-66</v>
      </c>
      <c r="K872">
        <f t="shared" si="1429"/>
        <v>-2</v>
      </c>
      <c r="L872">
        <f t="shared" ref="L872:N872" si="1430">E872+E908</f>
        <v>8</v>
      </c>
      <c r="M872">
        <f t="shared" si="1430"/>
        <v>3</v>
      </c>
      <c r="N872">
        <f t="shared" si="1430"/>
        <v>2</v>
      </c>
      <c r="P872" t="str">
        <f t="shared" si="1408"/>
        <v>-2, 8, 3, 2</v>
      </c>
    </row>
    <row r="873" spans="1:16" x14ac:dyDescent="0.2">
      <c r="A873">
        <f t="shared" si="1377"/>
        <v>871</v>
      </c>
      <c r="B873" s="1" t="s">
        <v>567</v>
      </c>
      <c r="C873">
        <v>60</v>
      </c>
      <c r="D873">
        <v>-1</v>
      </c>
      <c r="E873">
        <v>10</v>
      </c>
      <c r="F873">
        <v>3</v>
      </c>
      <c r="G873">
        <v>2</v>
      </c>
      <c r="H873">
        <f>_xlfn.XLOOKUP(I873,$B$2:$B$1096,$A$2:$A$1096,65535)</f>
        <v>65535</v>
      </c>
      <c r="I873" s="1"/>
      <c r="J873">
        <f t="shared" ref="J873:K873" si="1431">C873-C909</f>
        <v>-65</v>
      </c>
      <c r="K873">
        <f t="shared" si="1431"/>
        <v>-1</v>
      </c>
      <c r="L873">
        <f t="shared" ref="L873:N873" si="1432">E873+E909</f>
        <v>10</v>
      </c>
      <c r="M873">
        <f t="shared" si="1432"/>
        <v>3</v>
      </c>
      <c r="N873">
        <f t="shared" si="1432"/>
        <v>2</v>
      </c>
      <c r="P873" t="str">
        <f t="shared" si="1408"/>
        <v>-1, 10, 3, 2</v>
      </c>
    </row>
    <row r="874" spans="1:16" x14ac:dyDescent="0.2">
      <c r="A874">
        <f t="shared" si="1377"/>
        <v>872</v>
      </c>
      <c r="B874" s="1" t="s">
        <v>568</v>
      </c>
      <c r="C874">
        <v>60</v>
      </c>
      <c r="D874">
        <v>0</v>
      </c>
      <c r="E874">
        <v>10</v>
      </c>
      <c r="F874">
        <v>4</v>
      </c>
      <c r="G874">
        <v>2</v>
      </c>
      <c r="H874">
        <f>_xlfn.XLOOKUP(I874,$B$2:$B$1096,$A$2:$A$1096,65535)</f>
        <v>65535</v>
      </c>
      <c r="I874" s="1"/>
      <c r="J874">
        <f t="shared" ref="J874:K874" si="1433">C874-C910</f>
        <v>-64</v>
      </c>
      <c r="K874">
        <f t="shared" si="1433"/>
        <v>0</v>
      </c>
      <c r="L874">
        <f t="shared" ref="L874:N874" si="1434">E874+E910</f>
        <v>10</v>
      </c>
      <c r="M874">
        <f t="shared" si="1434"/>
        <v>4</v>
      </c>
      <c r="N874">
        <f t="shared" si="1434"/>
        <v>2</v>
      </c>
      <c r="P874" t="str">
        <f t="shared" si="1408"/>
        <v>0, 10, 4, 2</v>
      </c>
    </row>
    <row r="875" spans="1:16" x14ac:dyDescent="0.2">
      <c r="A875">
        <f t="shared" si="1377"/>
        <v>873</v>
      </c>
      <c r="B875" s="1" t="s">
        <v>569</v>
      </c>
      <c r="C875">
        <v>60</v>
      </c>
      <c r="D875">
        <v>-1</v>
      </c>
      <c r="E875">
        <v>10</v>
      </c>
      <c r="F875">
        <v>4</v>
      </c>
      <c r="G875">
        <v>2</v>
      </c>
      <c r="H875">
        <f>_xlfn.XLOOKUP(I875,$B$2:$B$1096,$A$2:$A$1096,65535)</f>
        <v>65535</v>
      </c>
      <c r="I875" s="1"/>
      <c r="J875">
        <f t="shared" ref="J875:K875" si="1435">C875-C911</f>
        <v>-65</v>
      </c>
      <c r="K875">
        <f t="shared" si="1435"/>
        <v>-1</v>
      </c>
      <c r="L875">
        <f t="shared" ref="L875:N875" si="1436">E875+E911</f>
        <v>15</v>
      </c>
      <c r="M875">
        <f t="shared" si="1436"/>
        <v>6</v>
      </c>
      <c r="N875">
        <f t="shared" si="1436"/>
        <v>3</v>
      </c>
      <c r="P875" t="str">
        <f t="shared" si="1408"/>
        <v>-1, 10, 4, 2</v>
      </c>
    </row>
    <row r="876" spans="1:16" x14ac:dyDescent="0.2">
      <c r="A876">
        <f t="shared" si="1377"/>
        <v>874</v>
      </c>
      <c r="B876" s="1" t="s">
        <v>570</v>
      </c>
      <c r="C876">
        <v>60</v>
      </c>
      <c r="D876">
        <v>0</v>
      </c>
      <c r="E876">
        <v>10</v>
      </c>
      <c r="F876">
        <v>4</v>
      </c>
      <c r="G876">
        <v>2</v>
      </c>
      <c r="H876">
        <f>_xlfn.XLOOKUP(I876,$B$2:$B$1096,$A$2:$A$1096,65535)</f>
        <v>65535</v>
      </c>
      <c r="I876" s="1"/>
      <c r="J876">
        <f t="shared" ref="J876:K876" si="1437">C876-C912</f>
        <v>-64</v>
      </c>
      <c r="K876">
        <f t="shared" si="1437"/>
        <v>0</v>
      </c>
      <c r="L876">
        <f t="shared" ref="L876:N876" si="1438">E876+E912</f>
        <v>15</v>
      </c>
      <c r="M876">
        <f t="shared" si="1438"/>
        <v>6</v>
      </c>
      <c r="N876">
        <f t="shared" si="1438"/>
        <v>3</v>
      </c>
      <c r="P876" t="str">
        <f t="shared" si="1408"/>
        <v>0, 10, 4, 2</v>
      </c>
    </row>
    <row r="877" spans="1:16" x14ac:dyDescent="0.2">
      <c r="A877">
        <f t="shared" si="1377"/>
        <v>875</v>
      </c>
      <c r="B877" s="1" t="s">
        <v>571</v>
      </c>
      <c r="C877">
        <v>60</v>
      </c>
      <c r="D877">
        <v>0</v>
      </c>
      <c r="E877">
        <v>10</v>
      </c>
      <c r="F877">
        <v>4</v>
      </c>
      <c r="G877">
        <v>2</v>
      </c>
      <c r="H877">
        <f>_xlfn.XLOOKUP(I877,$B$2:$B$1096,$A$2:$A$1096,65535)</f>
        <v>65535</v>
      </c>
      <c r="I877" s="1"/>
      <c r="J877">
        <f t="shared" ref="J877:K877" si="1439">C877-C913</f>
        <v>-65</v>
      </c>
      <c r="K877">
        <f t="shared" si="1439"/>
        <v>0</v>
      </c>
      <c r="L877">
        <f t="shared" ref="L877:N877" si="1440">E877+E913</f>
        <v>15</v>
      </c>
      <c r="M877">
        <f t="shared" si="1440"/>
        <v>6</v>
      </c>
      <c r="N877">
        <f t="shared" si="1440"/>
        <v>3</v>
      </c>
      <c r="P877" t="str">
        <f t="shared" si="1408"/>
        <v>0, 10, 4, 2</v>
      </c>
    </row>
    <row r="878" spans="1:16" x14ac:dyDescent="0.2">
      <c r="A878">
        <f t="shared" si="1377"/>
        <v>876</v>
      </c>
      <c r="B878" s="1" t="s">
        <v>572</v>
      </c>
      <c r="C878">
        <v>60</v>
      </c>
      <c r="D878">
        <v>1</v>
      </c>
      <c r="E878">
        <v>10</v>
      </c>
      <c r="F878">
        <v>4</v>
      </c>
      <c r="G878">
        <v>2</v>
      </c>
      <c r="H878">
        <f>_xlfn.XLOOKUP(I878,$B$2:$B$1096,$A$2:$A$1096,65535)</f>
        <v>65535</v>
      </c>
      <c r="I878" s="1"/>
      <c r="J878">
        <f t="shared" ref="J878:K878" si="1441">C878-C914</f>
        <v>-64</v>
      </c>
      <c r="K878">
        <f t="shared" si="1441"/>
        <v>1</v>
      </c>
      <c r="L878">
        <f t="shared" ref="L878:N878" si="1442">E878+E914</f>
        <v>15</v>
      </c>
      <c r="M878">
        <f t="shared" si="1442"/>
        <v>6</v>
      </c>
      <c r="N878">
        <f t="shared" si="1442"/>
        <v>3</v>
      </c>
      <c r="P878" t="str">
        <f t="shared" si="1408"/>
        <v>1, 10, 4, 2</v>
      </c>
    </row>
    <row r="879" spans="1:16" x14ac:dyDescent="0.2">
      <c r="A879">
        <f t="shared" si="1377"/>
        <v>877</v>
      </c>
      <c r="B879" s="1" t="s">
        <v>573</v>
      </c>
      <c r="C879">
        <v>60</v>
      </c>
      <c r="D879">
        <v>0</v>
      </c>
      <c r="E879">
        <v>8</v>
      </c>
      <c r="F879">
        <v>3</v>
      </c>
      <c r="G879">
        <v>1</v>
      </c>
      <c r="H879">
        <f>_xlfn.XLOOKUP(I879,$B$2:$B$1096,$A$2:$A$1096,65535)</f>
        <v>65535</v>
      </c>
      <c r="I879" s="1"/>
      <c r="J879">
        <f t="shared" ref="J879:K879" si="1443">C879-C915</f>
        <v>-65</v>
      </c>
      <c r="K879">
        <f t="shared" si="1443"/>
        <v>0</v>
      </c>
      <c r="L879">
        <f t="shared" ref="L879:N879" si="1444">E879+E915</f>
        <v>3</v>
      </c>
      <c r="M879">
        <f t="shared" si="1444"/>
        <v>1</v>
      </c>
      <c r="N879">
        <f t="shared" si="1444"/>
        <v>0</v>
      </c>
      <c r="P879" t="str">
        <f t="shared" si="1408"/>
        <v>0, 8, 3, 1</v>
      </c>
    </row>
    <row r="880" spans="1:16" x14ac:dyDescent="0.2">
      <c r="A880">
        <f t="shared" si="1377"/>
        <v>878</v>
      </c>
      <c r="B880" s="1" t="s">
        <v>574</v>
      </c>
      <c r="C880">
        <v>60</v>
      </c>
      <c r="D880">
        <v>1</v>
      </c>
      <c r="E880">
        <v>8</v>
      </c>
      <c r="F880">
        <v>3</v>
      </c>
      <c r="G880">
        <v>1</v>
      </c>
      <c r="H880">
        <f>_xlfn.XLOOKUP(I880,$B$2:$B$1096,$A$2:$A$1096,65535)</f>
        <v>65535</v>
      </c>
      <c r="I880" s="1"/>
      <c r="J880">
        <f t="shared" ref="J880:K880" si="1445">C880-C916</f>
        <v>-64</v>
      </c>
      <c r="K880">
        <f t="shared" si="1445"/>
        <v>1</v>
      </c>
      <c r="L880">
        <f t="shared" ref="L880:N880" si="1446">E880+E916</f>
        <v>3</v>
      </c>
      <c r="M880">
        <f t="shared" si="1446"/>
        <v>1</v>
      </c>
      <c r="N880">
        <f t="shared" si="1446"/>
        <v>0</v>
      </c>
      <c r="P880" t="str">
        <f t="shared" si="1408"/>
        <v>1, 8, 3, 1</v>
      </c>
    </row>
    <row r="881" spans="1:16" x14ac:dyDescent="0.2">
      <c r="A881">
        <f t="shared" si="1377"/>
        <v>879</v>
      </c>
      <c r="B881" s="1" t="s">
        <v>575</v>
      </c>
      <c r="C881">
        <v>60</v>
      </c>
      <c r="D881">
        <v>2</v>
      </c>
      <c r="E881">
        <v>8</v>
      </c>
      <c r="F881">
        <v>3</v>
      </c>
      <c r="G881">
        <v>1</v>
      </c>
      <c r="H881">
        <f>_xlfn.XLOOKUP(I881,$B$2:$B$1096,$A$2:$A$1096,65535)</f>
        <v>65535</v>
      </c>
      <c r="I881" s="1"/>
      <c r="J881">
        <f t="shared" ref="J881:K881" si="1447">C881-C917</f>
        <v>-65</v>
      </c>
      <c r="K881">
        <f t="shared" si="1447"/>
        <v>2</v>
      </c>
      <c r="L881">
        <f t="shared" ref="L881:N881" si="1448">E881+E917</f>
        <v>3</v>
      </c>
      <c r="M881">
        <f t="shared" si="1448"/>
        <v>1</v>
      </c>
      <c r="N881">
        <f t="shared" si="1448"/>
        <v>0</v>
      </c>
      <c r="P881" t="str">
        <f t="shared" si="1408"/>
        <v>2, 8, 3, 1</v>
      </c>
    </row>
    <row r="882" spans="1:16" x14ac:dyDescent="0.2">
      <c r="A882">
        <f t="shared" si="1377"/>
        <v>880</v>
      </c>
      <c r="B882" s="1" t="s">
        <v>576</v>
      </c>
      <c r="C882">
        <v>60</v>
      </c>
      <c r="D882">
        <v>1</v>
      </c>
      <c r="E882">
        <v>5</v>
      </c>
      <c r="F882">
        <v>2</v>
      </c>
      <c r="G882">
        <v>1</v>
      </c>
      <c r="H882">
        <f>_xlfn.XLOOKUP(I882,$B$2:$B$1096,$A$2:$A$1096,65535)</f>
        <v>65535</v>
      </c>
      <c r="I882" s="1"/>
      <c r="J882">
        <f t="shared" ref="J882:K882" si="1449">C882-C918</f>
        <v>-64</v>
      </c>
      <c r="K882">
        <f t="shared" si="1449"/>
        <v>1</v>
      </c>
      <c r="L882">
        <f t="shared" ref="L882:N882" si="1450">E882+E918</f>
        <v>0</v>
      </c>
      <c r="M882">
        <f t="shared" si="1450"/>
        <v>0</v>
      </c>
      <c r="N882">
        <f t="shared" si="1450"/>
        <v>0</v>
      </c>
      <c r="P882" t="str">
        <f t="shared" si="1408"/>
        <v>1, 5, 2, 1</v>
      </c>
    </row>
    <row r="883" spans="1:16" x14ac:dyDescent="0.2">
      <c r="A883">
        <f t="shared" si="1377"/>
        <v>881</v>
      </c>
      <c r="B883" s="1" t="s">
        <v>577</v>
      </c>
      <c r="C883">
        <v>12</v>
      </c>
      <c r="D883">
        <v>0</v>
      </c>
      <c r="E883">
        <v>5</v>
      </c>
      <c r="F883">
        <v>2</v>
      </c>
      <c r="G883">
        <v>1</v>
      </c>
      <c r="H883">
        <f>_xlfn.XLOOKUP(I883,$B$2:$B$1096,$A$2:$A$1096,65535)</f>
        <v>65535</v>
      </c>
      <c r="I883" s="1"/>
      <c r="J883">
        <f t="shared" ref="J883:K883" si="1451">C883-C919</f>
        <v>-113</v>
      </c>
      <c r="K883">
        <f t="shared" si="1451"/>
        <v>0</v>
      </c>
      <c r="L883">
        <f t="shared" ref="L883:N883" si="1452">E883+E919</f>
        <v>5</v>
      </c>
      <c r="M883">
        <f t="shared" si="1452"/>
        <v>2</v>
      </c>
      <c r="N883">
        <f t="shared" si="1452"/>
        <v>1</v>
      </c>
      <c r="P883" t="str">
        <f t="shared" si="1408"/>
        <v>0, 5, 2, 1</v>
      </c>
    </row>
    <row r="884" spans="1:16" x14ac:dyDescent="0.2">
      <c r="A884">
        <f t="shared" si="1377"/>
        <v>882</v>
      </c>
      <c r="B884" s="1" t="s">
        <v>578</v>
      </c>
      <c r="C884">
        <v>12</v>
      </c>
      <c r="D884">
        <v>1</v>
      </c>
      <c r="E884">
        <v>5</v>
      </c>
      <c r="F884">
        <v>2</v>
      </c>
      <c r="G884">
        <v>1</v>
      </c>
      <c r="H884">
        <f>_xlfn.XLOOKUP(I884,$B$2:$B$1096,$A$2:$A$1096,65535)</f>
        <v>65535</v>
      </c>
      <c r="I884" s="1"/>
      <c r="J884">
        <f t="shared" ref="J884:K884" si="1453">C884-C920</f>
        <v>-112</v>
      </c>
      <c r="K884">
        <f t="shared" si="1453"/>
        <v>-2</v>
      </c>
      <c r="L884">
        <f t="shared" ref="L884:N884" si="1454">E884+E920</f>
        <v>5</v>
      </c>
      <c r="M884">
        <f t="shared" si="1454"/>
        <v>2</v>
      </c>
      <c r="N884">
        <f t="shared" si="1454"/>
        <v>1</v>
      </c>
      <c r="P884" t="str">
        <f t="shared" si="1408"/>
        <v>1, 5, 2, 1</v>
      </c>
    </row>
    <row r="885" spans="1:16" x14ac:dyDescent="0.2">
      <c r="A885">
        <f t="shared" si="1377"/>
        <v>883</v>
      </c>
      <c r="B885" s="1" t="s">
        <v>579</v>
      </c>
      <c r="C885">
        <v>14</v>
      </c>
      <c r="D885">
        <v>-2</v>
      </c>
      <c r="E885">
        <v>5</v>
      </c>
      <c r="F885">
        <v>2</v>
      </c>
      <c r="G885">
        <v>1</v>
      </c>
      <c r="H885">
        <f>_xlfn.XLOOKUP(I885,$B$2:$B$1096,$A$2:$A$1096,65535)</f>
        <v>65535</v>
      </c>
      <c r="I885" s="1"/>
      <c r="J885">
        <f t="shared" ref="J885:K885" si="1455">C885-C921</f>
        <v>-110</v>
      </c>
      <c r="K885">
        <f t="shared" si="1455"/>
        <v>-4</v>
      </c>
      <c r="L885">
        <f t="shared" ref="L885:N885" si="1456">E885+E921</f>
        <v>5</v>
      </c>
      <c r="M885">
        <f t="shared" si="1456"/>
        <v>2</v>
      </c>
      <c r="N885">
        <f t="shared" si="1456"/>
        <v>1</v>
      </c>
      <c r="P885" t="str">
        <f t="shared" si="1408"/>
        <v>-2, 5, 2, 1</v>
      </c>
    </row>
    <row r="886" spans="1:16" x14ac:dyDescent="0.2">
      <c r="A886">
        <f t="shared" si="1377"/>
        <v>884</v>
      </c>
      <c r="B886" s="1" t="s">
        <v>580</v>
      </c>
      <c r="C886">
        <v>15</v>
      </c>
      <c r="D886">
        <v>-2</v>
      </c>
      <c r="E886">
        <v>5</v>
      </c>
      <c r="F886">
        <v>2</v>
      </c>
      <c r="G886">
        <v>1</v>
      </c>
      <c r="H886">
        <f>_xlfn.XLOOKUP(I886,$B$2:$B$1096,$A$2:$A$1096,65535)</f>
        <v>65535</v>
      </c>
      <c r="I886" s="1"/>
      <c r="J886">
        <f t="shared" ref="J886:K886" si="1457">C886-C922</f>
        <v>-109</v>
      </c>
      <c r="K886">
        <f t="shared" si="1457"/>
        <v>-3</v>
      </c>
      <c r="L886">
        <f t="shared" ref="L886:N886" si="1458">E886+E922</f>
        <v>5</v>
      </c>
      <c r="M886">
        <f t="shared" si="1458"/>
        <v>2</v>
      </c>
      <c r="N886">
        <f t="shared" si="1458"/>
        <v>1</v>
      </c>
      <c r="P886" t="str">
        <f t="shared" si="1408"/>
        <v>-2, 5, 2, 1</v>
      </c>
    </row>
    <row r="887" spans="1:16" ht="18" customHeight="1" x14ac:dyDescent="0.2">
      <c r="A887">
        <f t="shared" si="1377"/>
        <v>885</v>
      </c>
      <c r="B887" s="1" t="s">
        <v>581</v>
      </c>
      <c r="C887">
        <v>13</v>
      </c>
      <c r="D887">
        <v>0</v>
      </c>
      <c r="E887">
        <v>0</v>
      </c>
      <c r="F887">
        <v>0</v>
      </c>
      <c r="G887">
        <v>0</v>
      </c>
      <c r="H887">
        <f>_xlfn.XLOOKUP(I887,$B$2:$B$1096,$A$2:$A$1096,65535)</f>
        <v>65535</v>
      </c>
      <c r="I887" s="1"/>
      <c r="J887">
        <f t="shared" ref="J887:K887" si="1459">C887-C923</f>
        <v>-111</v>
      </c>
      <c r="K887">
        <f t="shared" si="1459"/>
        <v>1</v>
      </c>
      <c r="L887">
        <f t="shared" ref="L887:N887" si="1460">E887+E923</f>
        <v>0</v>
      </c>
      <c r="M887">
        <f t="shared" si="1460"/>
        <v>0</v>
      </c>
      <c r="N887">
        <f t="shared" si="1460"/>
        <v>0</v>
      </c>
      <c r="P887" t="str">
        <f t="shared" si="1408"/>
        <v>0, 0, 0, 0</v>
      </c>
    </row>
    <row r="888" spans="1:16" ht="18" customHeight="1" x14ac:dyDescent="0.2">
      <c r="A888">
        <f t="shared" si="1377"/>
        <v>886</v>
      </c>
      <c r="B888" s="1" t="s">
        <v>685</v>
      </c>
      <c r="C888">
        <v>13</v>
      </c>
      <c r="D888">
        <v>0</v>
      </c>
      <c r="E888">
        <v>0</v>
      </c>
      <c r="F888">
        <v>0</v>
      </c>
      <c r="G888">
        <v>0</v>
      </c>
      <c r="H888">
        <f>_xlfn.XLOOKUP(I888,$B$2:$B$1096,$A$2:$A$1096,65535)</f>
        <v>65535</v>
      </c>
      <c r="I888" s="1"/>
      <c r="J888">
        <f t="shared" ref="J888:K888" si="1461">C888-C924</f>
        <v>-112</v>
      </c>
      <c r="K888">
        <f t="shared" si="1461"/>
        <v>2</v>
      </c>
      <c r="L888">
        <f t="shared" ref="L888:N888" si="1462">E888+E924</f>
        <v>0</v>
      </c>
      <c r="M888">
        <f t="shared" si="1462"/>
        <v>0</v>
      </c>
      <c r="N888">
        <f t="shared" si="1462"/>
        <v>0</v>
      </c>
      <c r="P888" t="str">
        <f t="shared" si="1408"/>
        <v>0, 0, 0, 0</v>
      </c>
    </row>
    <row r="889" spans="1:16" x14ac:dyDescent="0.2">
      <c r="A889">
        <f t="shared" si="1377"/>
        <v>887</v>
      </c>
      <c r="B889" s="1" t="s">
        <v>686</v>
      </c>
      <c r="C889">
        <v>12</v>
      </c>
      <c r="D889">
        <v>1</v>
      </c>
      <c r="E889">
        <v>5</v>
      </c>
      <c r="F889">
        <v>2</v>
      </c>
      <c r="G889">
        <v>1</v>
      </c>
      <c r="H889">
        <f>_xlfn.XLOOKUP(I889,$B$2:$B$1096,$A$2:$A$1096,65535)</f>
        <v>65535</v>
      </c>
      <c r="J889">
        <f t="shared" ref="J889:K889" si="1463">C889-C925</f>
        <v>-112</v>
      </c>
      <c r="K889">
        <f t="shared" si="1463"/>
        <v>4</v>
      </c>
      <c r="L889">
        <f t="shared" ref="L889:N889" si="1464">E889+E925</f>
        <v>5</v>
      </c>
      <c r="M889">
        <f t="shared" si="1464"/>
        <v>2</v>
      </c>
      <c r="N889">
        <f t="shared" si="1464"/>
        <v>1</v>
      </c>
      <c r="P889" t="str">
        <f t="shared" si="1408"/>
        <v>1, 5, 2, 1</v>
      </c>
    </row>
    <row r="890" spans="1:16" x14ac:dyDescent="0.2">
      <c r="A890">
        <f t="shared" si="1377"/>
        <v>888</v>
      </c>
      <c r="B890" s="1" t="s">
        <v>687</v>
      </c>
      <c r="C890">
        <v>12</v>
      </c>
      <c r="D890">
        <v>1</v>
      </c>
      <c r="E890">
        <v>5</v>
      </c>
      <c r="F890">
        <v>2</v>
      </c>
      <c r="G890">
        <v>1</v>
      </c>
      <c r="H890">
        <f>_xlfn.XLOOKUP(I890,$B$2:$B$1096,$A$2:$A$1096,65535)</f>
        <v>65535</v>
      </c>
      <c r="J890">
        <f t="shared" ref="J890:K890" si="1465">C890-C926</f>
        <v>-64</v>
      </c>
      <c r="K890">
        <f t="shared" si="1465"/>
        <v>1</v>
      </c>
      <c r="L890">
        <f t="shared" ref="L890:N890" si="1466">E890+E926</f>
        <v>5</v>
      </c>
      <c r="M890">
        <f t="shared" si="1466"/>
        <v>2</v>
      </c>
      <c r="N890">
        <f t="shared" si="1466"/>
        <v>1</v>
      </c>
      <c r="P890" t="str">
        <f t="shared" si="1408"/>
        <v>1, 5, 2, 1</v>
      </c>
    </row>
    <row r="891" spans="1:16" x14ac:dyDescent="0.2">
      <c r="A891">
        <f t="shared" si="1377"/>
        <v>889</v>
      </c>
      <c r="B891" s="1" t="s">
        <v>688</v>
      </c>
      <c r="C891">
        <v>12</v>
      </c>
      <c r="D891">
        <v>1</v>
      </c>
      <c r="E891">
        <v>5</v>
      </c>
      <c r="F891">
        <v>2</v>
      </c>
      <c r="G891">
        <v>1</v>
      </c>
      <c r="H891">
        <f>_xlfn.XLOOKUP(I891,$B$2:$B$1096,$A$2:$A$1096,65535)</f>
        <v>65535</v>
      </c>
      <c r="J891">
        <f t="shared" ref="J891:K891" si="1467">C891-C927</f>
        <v>-65</v>
      </c>
      <c r="K891">
        <f t="shared" si="1467"/>
        <v>1</v>
      </c>
      <c r="L891">
        <f t="shared" ref="L891:N891" si="1468">E891+E927</f>
        <v>5</v>
      </c>
      <c r="M891">
        <f t="shared" si="1468"/>
        <v>2</v>
      </c>
      <c r="N891">
        <f t="shared" si="1468"/>
        <v>1</v>
      </c>
      <c r="P891" t="str">
        <f t="shared" si="1408"/>
        <v>1, 5, 2, 1</v>
      </c>
    </row>
    <row r="892" spans="1:16" x14ac:dyDescent="0.2">
      <c r="A892">
        <f t="shared" si="1377"/>
        <v>890</v>
      </c>
      <c r="B892" s="1" t="s">
        <v>689</v>
      </c>
      <c r="C892">
        <v>12</v>
      </c>
      <c r="D892">
        <v>0</v>
      </c>
      <c r="E892">
        <v>5</v>
      </c>
      <c r="F892">
        <v>2</v>
      </c>
      <c r="G892">
        <v>1</v>
      </c>
      <c r="H892">
        <f>_xlfn.XLOOKUP(I892,$B$2:$B$1096,$A$2:$A$1096,65535)</f>
        <v>65535</v>
      </c>
      <c r="J892">
        <f t="shared" ref="J892:K892" si="1469">C892-C928</f>
        <v>-66</v>
      </c>
      <c r="K892">
        <f t="shared" si="1469"/>
        <v>0</v>
      </c>
      <c r="L892">
        <f t="shared" ref="L892:N892" si="1470">E892+E928</f>
        <v>5</v>
      </c>
      <c r="M892">
        <f t="shared" si="1470"/>
        <v>2</v>
      </c>
      <c r="N892">
        <f t="shared" si="1470"/>
        <v>1</v>
      </c>
      <c r="P892" t="str">
        <f t="shared" si="1408"/>
        <v>0, 5, 2, 1</v>
      </c>
    </row>
    <row r="893" spans="1:16" x14ac:dyDescent="0.2">
      <c r="A893">
        <f t="shared" si="1377"/>
        <v>891</v>
      </c>
      <c r="B893" s="1" t="s">
        <v>690</v>
      </c>
      <c r="C893">
        <v>12</v>
      </c>
      <c r="D893">
        <v>-1</v>
      </c>
      <c r="E893">
        <v>2</v>
      </c>
      <c r="F893">
        <v>1</v>
      </c>
      <c r="G893">
        <v>0</v>
      </c>
      <c r="H893">
        <f>_xlfn.XLOOKUP(I893,$B$2:$B$1096,$A$2:$A$1096,65535)</f>
        <v>65535</v>
      </c>
      <c r="J893">
        <f t="shared" ref="J893:K893" si="1471">C893-C929</f>
        <v>-67</v>
      </c>
      <c r="K893">
        <f t="shared" si="1471"/>
        <v>-1</v>
      </c>
      <c r="L893">
        <f t="shared" ref="L893:N893" si="1472">E893+E929</f>
        <v>2</v>
      </c>
      <c r="M893">
        <f t="shared" si="1472"/>
        <v>1</v>
      </c>
      <c r="N893">
        <f t="shared" si="1472"/>
        <v>0</v>
      </c>
      <c r="P893" t="str">
        <f t="shared" si="1408"/>
        <v>-1, 2, 1, 0</v>
      </c>
    </row>
    <row r="894" spans="1:16" x14ac:dyDescent="0.2">
      <c r="A894">
        <f t="shared" si="1377"/>
        <v>892</v>
      </c>
      <c r="B894" s="1" t="s">
        <v>691</v>
      </c>
      <c r="C894">
        <v>14</v>
      </c>
      <c r="D894">
        <v>-1</v>
      </c>
      <c r="E894">
        <v>2</v>
      </c>
      <c r="F894">
        <v>1</v>
      </c>
      <c r="G894">
        <v>1</v>
      </c>
      <c r="H894">
        <f>_xlfn.XLOOKUP(I894,$B$2:$B$1096,$A$2:$A$1096,65535)</f>
        <v>65535</v>
      </c>
      <c r="J894">
        <f t="shared" ref="J894:K894" si="1473">C894-C930</f>
        <v>-66</v>
      </c>
      <c r="K894">
        <f t="shared" si="1473"/>
        <v>-1</v>
      </c>
      <c r="L894">
        <f t="shared" ref="L894:N894" si="1474">E894+E930</f>
        <v>2</v>
      </c>
      <c r="M894">
        <f t="shared" si="1474"/>
        <v>1</v>
      </c>
      <c r="N894">
        <f t="shared" si="1474"/>
        <v>1</v>
      </c>
      <c r="P894" t="str">
        <f t="shared" si="1408"/>
        <v>-1, 2, 1, 1</v>
      </c>
    </row>
    <row r="895" spans="1:16" x14ac:dyDescent="0.2">
      <c r="A895">
        <f t="shared" si="1377"/>
        <v>893</v>
      </c>
      <c r="B895" s="1" t="s">
        <v>692</v>
      </c>
      <c r="C895">
        <v>13</v>
      </c>
      <c r="D895">
        <v>-1</v>
      </c>
      <c r="E895">
        <v>5</v>
      </c>
      <c r="F895">
        <v>2</v>
      </c>
      <c r="G895">
        <v>1</v>
      </c>
      <c r="H895">
        <f>_xlfn.XLOOKUP(I895,$B$2:$B$1096,$A$2:$A$1096,65535)</f>
        <v>65535</v>
      </c>
      <c r="J895">
        <f t="shared" ref="J895:K895" si="1475">C895-C931</f>
        <v>-68</v>
      </c>
      <c r="K895">
        <f t="shared" si="1475"/>
        <v>-1</v>
      </c>
      <c r="L895">
        <f t="shared" ref="L895:N895" si="1476">E895+E931</f>
        <v>5</v>
      </c>
      <c r="M895">
        <f t="shared" si="1476"/>
        <v>2</v>
      </c>
      <c r="N895">
        <f t="shared" si="1476"/>
        <v>1</v>
      </c>
      <c r="P895" t="str">
        <f t="shared" si="1408"/>
        <v>-1, 5, 2, 1</v>
      </c>
    </row>
    <row r="896" spans="1:16" ht="18" customHeight="1" x14ac:dyDescent="0.2">
      <c r="A896">
        <f t="shared" si="1377"/>
        <v>894</v>
      </c>
      <c r="B896" s="1" t="s">
        <v>701</v>
      </c>
      <c r="C896">
        <v>13</v>
      </c>
      <c r="D896">
        <v>0</v>
      </c>
      <c r="E896">
        <v>0</v>
      </c>
      <c r="F896">
        <v>0</v>
      </c>
      <c r="G896">
        <v>0</v>
      </c>
      <c r="H896">
        <f>_xlfn.XLOOKUP(I896,$B$2:$B$1096,$A$2:$A$1096,65535)</f>
        <v>65535</v>
      </c>
      <c r="I896" s="1"/>
      <c r="J896">
        <f t="shared" ref="J896:K896" si="1477">C896-C932</f>
        <v>-69</v>
      </c>
      <c r="K896">
        <f t="shared" si="1477"/>
        <v>0</v>
      </c>
      <c r="L896">
        <f t="shared" ref="L896:N896" si="1478">E896+E932</f>
        <v>0</v>
      </c>
      <c r="M896">
        <f t="shared" si="1478"/>
        <v>0</v>
      </c>
      <c r="N896">
        <f t="shared" si="1478"/>
        <v>0</v>
      </c>
      <c r="P896" t="str">
        <f t="shared" si="1408"/>
        <v>0, 0, 0, 0</v>
      </c>
    </row>
    <row r="897" spans="1:16" x14ac:dyDescent="0.2">
      <c r="A897">
        <f t="shared" si="1377"/>
        <v>895</v>
      </c>
      <c r="B897" s="1" t="s">
        <v>702</v>
      </c>
      <c r="C897">
        <v>12</v>
      </c>
      <c r="D897">
        <v>1</v>
      </c>
      <c r="E897">
        <v>5</v>
      </c>
      <c r="F897">
        <v>2</v>
      </c>
      <c r="G897">
        <v>1</v>
      </c>
      <c r="H897">
        <f>_xlfn.XLOOKUP(I897,$B$2:$B$1096,$A$2:$A$1096,65535)</f>
        <v>65535</v>
      </c>
      <c r="J897">
        <f t="shared" ref="J897:K897" si="1479">C897-C933</f>
        <v>-71</v>
      </c>
      <c r="K897">
        <f t="shared" si="1479"/>
        <v>1</v>
      </c>
      <c r="L897">
        <f t="shared" ref="L897:N897" si="1480">E897+E933</f>
        <v>5</v>
      </c>
      <c r="M897">
        <f t="shared" si="1480"/>
        <v>2</v>
      </c>
      <c r="N897">
        <f t="shared" si="1480"/>
        <v>1</v>
      </c>
      <c r="P897" t="str">
        <f t="shared" si="1408"/>
        <v>1, 5, 2, 1</v>
      </c>
    </row>
    <row r="898" spans="1:16" x14ac:dyDescent="0.2">
      <c r="A898">
        <f t="shared" si="1377"/>
        <v>896</v>
      </c>
      <c r="B898" s="1" t="s">
        <v>703</v>
      </c>
      <c r="C898">
        <v>12</v>
      </c>
      <c r="D898">
        <v>1</v>
      </c>
      <c r="E898">
        <v>5</v>
      </c>
      <c r="F898">
        <v>2</v>
      </c>
      <c r="G898">
        <v>1</v>
      </c>
      <c r="H898">
        <f>_xlfn.XLOOKUP(I898,$B$2:$B$1096,$A$2:$A$1096,65535)</f>
        <v>65535</v>
      </c>
      <c r="J898">
        <f t="shared" ref="J898:K898" si="1481">C898-C934</f>
        <v>-72</v>
      </c>
      <c r="K898">
        <f t="shared" si="1481"/>
        <v>1</v>
      </c>
      <c r="L898">
        <f t="shared" ref="L898:N898" si="1482">E898+E934</f>
        <v>5</v>
      </c>
      <c r="M898">
        <f t="shared" si="1482"/>
        <v>2</v>
      </c>
      <c r="N898">
        <f t="shared" si="1482"/>
        <v>1</v>
      </c>
      <c r="P898" t="str">
        <f t="shared" si="1408"/>
        <v>1, 5, 2, 1</v>
      </c>
    </row>
    <row r="899" spans="1:16" x14ac:dyDescent="0.2">
      <c r="A899">
        <f t="shared" si="1377"/>
        <v>897</v>
      </c>
      <c r="B899" s="1" t="s">
        <v>704</v>
      </c>
      <c r="C899">
        <v>12</v>
      </c>
      <c r="D899">
        <v>1</v>
      </c>
      <c r="E899">
        <v>5</v>
      </c>
      <c r="F899">
        <v>2</v>
      </c>
      <c r="G899">
        <v>1</v>
      </c>
      <c r="H899">
        <f>_xlfn.XLOOKUP(I899,$B$2:$B$1096,$A$2:$A$1096,65535)</f>
        <v>65535</v>
      </c>
      <c r="J899">
        <f t="shared" ref="J899:K899" si="1483">C899-C935</f>
        <v>-73</v>
      </c>
      <c r="K899">
        <f t="shared" si="1483"/>
        <v>1</v>
      </c>
      <c r="L899">
        <f t="shared" ref="L899:N899" si="1484">E899+E935</f>
        <v>5</v>
      </c>
      <c r="M899">
        <f t="shared" si="1484"/>
        <v>2</v>
      </c>
      <c r="N899">
        <f t="shared" si="1484"/>
        <v>1</v>
      </c>
      <c r="P899" t="str">
        <f t="shared" si="1408"/>
        <v>1, 5, 2, 1</v>
      </c>
    </row>
    <row r="900" spans="1:16" x14ac:dyDescent="0.2">
      <c r="A900">
        <f t="shared" si="1377"/>
        <v>898</v>
      </c>
      <c r="B900" s="1" t="s">
        <v>705</v>
      </c>
      <c r="C900">
        <v>12</v>
      </c>
      <c r="D900">
        <v>0</v>
      </c>
      <c r="E900">
        <v>5</v>
      </c>
      <c r="F900">
        <v>2</v>
      </c>
      <c r="G900">
        <v>1</v>
      </c>
      <c r="H900">
        <f>_xlfn.XLOOKUP(I900,$B$2:$B$1096,$A$2:$A$1096,65535)</f>
        <v>65535</v>
      </c>
      <c r="J900">
        <f t="shared" ref="J900:K900" si="1485">C900-C936</f>
        <v>-74</v>
      </c>
      <c r="K900">
        <f t="shared" si="1485"/>
        <v>0</v>
      </c>
      <c r="L900">
        <f t="shared" ref="L900:N900" si="1486">E900+E936</f>
        <v>5</v>
      </c>
      <c r="M900">
        <f t="shared" si="1486"/>
        <v>2</v>
      </c>
      <c r="N900">
        <f t="shared" si="1486"/>
        <v>1</v>
      </c>
      <c r="P900" t="str">
        <f t="shared" si="1408"/>
        <v>0, 5, 2, 1</v>
      </c>
    </row>
    <row r="901" spans="1:16" x14ac:dyDescent="0.2">
      <c r="A901">
        <f t="shared" si="1377"/>
        <v>899</v>
      </c>
      <c r="B901" s="1" t="s">
        <v>706</v>
      </c>
      <c r="C901">
        <v>12</v>
      </c>
      <c r="D901">
        <v>-1</v>
      </c>
      <c r="E901">
        <v>2</v>
      </c>
      <c r="F901">
        <v>1</v>
      </c>
      <c r="G901">
        <v>0</v>
      </c>
      <c r="H901">
        <f>_xlfn.XLOOKUP(I901,$B$2:$B$1096,$A$2:$A$1096,65535)</f>
        <v>65535</v>
      </c>
      <c r="J901">
        <f t="shared" ref="J901:K901" si="1487">C901-C937</f>
        <v>-75</v>
      </c>
      <c r="K901">
        <f t="shared" si="1487"/>
        <v>-1</v>
      </c>
      <c r="L901">
        <f t="shared" ref="L901:N901" si="1488">E901+E937</f>
        <v>2</v>
      </c>
      <c r="M901">
        <f t="shared" si="1488"/>
        <v>1</v>
      </c>
      <c r="N901">
        <f t="shared" si="1488"/>
        <v>0</v>
      </c>
      <c r="P901" t="str">
        <f t="shared" si="1408"/>
        <v>-1, 2, 1, 0</v>
      </c>
    </row>
    <row r="902" spans="1:16" x14ac:dyDescent="0.2">
      <c r="A902">
        <f t="shared" si="1377"/>
        <v>900</v>
      </c>
      <c r="B902" s="1" t="s">
        <v>707</v>
      </c>
      <c r="C902">
        <v>14</v>
      </c>
      <c r="D902">
        <v>-1</v>
      </c>
      <c r="E902">
        <v>2</v>
      </c>
      <c r="F902">
        <v>1</v>
      </c>
      <c r="G902">
        <v>1</v>
      </c>
      <c r="H902">
        <f>_xlfn.XLOOKUP(I902,$B$2:$B$1096,$A$2:$A$1096,65535)</f>
        <v>65535</v>
      </c>
      <c r="J902">
        <f t="shared" ref="J902:K902" si="1489">C902-C938</f>
        <v>1</v>
      </c>
      <c r="K902">
        <f t="shared" si="1489"/>
        <v>-1</v>
      </c>
      <c r="L902">
        <f t="shared" ref="L902:N902" si="1490">E902+E938</f>
        <v>-8</v>
      </c>
      <c r="M902">
        <f t="shared" si="1490"/>
        <v>-3</v>
      </c>
      <c r="N902">
        <f t="shared" si="1490"/>
        <v>-1</v>
      </c>
      <c r="P902" t="str">
        <f t="shared" si="1408"/>
        <v>-1, 2, 1, 1</v>
      </c>
    </row>
    <row r="903" spans="1:16" x14ac:dyDescent="0.2">
      <c r="A903">
        <f t="shared" si="1377"/>
        <v>901</v>
      </c>
      <c r="B903" s="1" t="s">
        <v>708</v>
      </c>
      <c r="C903">
        <v>19</v>
      </c>
      <c r="D903">
        <v>-1</v>
      </c>
      <c r="E903">
        <v>5</v>
      </c>
      <c r="F903">
        <v>2</v>
      </c>
      <c r="G903">
        <v>1</v>
      </c>
      <c r="H903">
        <f>_xlfn.XLOOKUP(I903,$B$2:$B$1096,$A$2:$A$1096,65535)</f>
        <v>59</v>
      </c>
      <c r="I903" s="1" t="s">
        <v>234</v>
      </c>
      <c r="J903">
        <f t="shared" ref="J903:K903" si="1491">C903-C939</f>
        <v>6</v>
      </c>
      <c r="K903">
        <f t="shared" si="1491"/>
        <v>-1</v>
      </c>
      <c r="L903">
        <f t="shared" ref="L903:N903" si="1492">E903+E939</f>
        <v>15</v>
      </c>
      <c r="M903">
        <f t="shared" si="1492"/>
        <v>6</v>
      </c>
      <c r="N903">
        <f t="shared" si="1492"/>
        <v>3</v>
      </c>
      <c r="P903" t="str">
        <f t="shared" si="1408"/>
        <v>-1, 5, 2, 1</v>
      </c>
    </row>
    <row r="904" spans="1:16" x14ac:dyDescent="0.2">
      <c r="A904">
        <f t="shared" si="1377"/>
        <v>902</v>
      </c>
      <c r="B904" s="1" t="s">
        <v>819</v>
      </c>
      <c r="C904">
        <v>124</v>
      </c>
      <c r="D904">
        <v>0</v>
      </c>
      <c r="E904">
        <v>0</v>
      </c>
      <c r="F904">
        <v>0</v>
      </c>
      <c r="G904">
        <v>0</v>
      </c>
      <c r="H904">
        <f>_xlfn.XLOOKUP(I904,$B$2:$B$1096,$A$2:$A$1096,65535)</f>
        <v>65535</v>
      </c>
      <c r="J904">
        <f t="shared" ref="J904:K904" si="1493">C904-C940</f>
        <v>16</v>
      </c>
      <c r="K904">
        <f t="shared" si="1493"/>
        <v>0</v>
      </c>
      <c r="L904">
        <f t="shared" ref="L904:N904" si="1494">E904+E940</f>
        <v>0</v>
      </c>
      <c r="M904">
        <f t="shared" si="1494"/>
        <v>0</v>
      </c>
      <c r="N904">
        <f t="shared" si="1494"/>
        <v>0</v>
      </c>
      <c r="P904" t="str">
        <f t="shared" si="1408"/>
        <v>0, 0, 0, 0</v>
      </c>
    </row>
    <row r="905" spans="1:16" x14ac:dyDescent="0.2">
      <c r="A905">
        <f t="shared" si="1377"/>
        <v>903</v>
      </c>
      <c r="B905" s="1" t="s">
        <v>820</v>
      </c>
      <c r="C905">
        <v>125</v>
      </c>
      <c r="D905">
        <v>0</v>
      </c>
      <c r="E905">
        <v>0</v>
      </c>
      <c r="F905">
        <v>0</v>
      </c>
      <c r="G905">
        <v>0</v>
      </c>
      <c r="H905">
        <f>_xlfn.XLOOKUP(I905,$B$2:$B$1096,$A$2:$A$1096,65535)</f>
        <v>65535</v>
      </c>
      <c r="J905">
        <f t="shared" ref="J905:K905" si="1495">C905-C941</f>
        <v>16</v>
      </c>
      <c r="K905">
        <f t="shared" si="1495"/>
        <v>0</v>
      </c>
      <c r="L905">
        <f t="shared" ref="L905:N905" si="1496">E905+E941</f>
        <v>0</v>
      </c>
      <c r="M905">
        <f t="shared" si="1496"/>
        <v>0</v>
      </c>
      <c r="N905">
        <f t="shared" si="1496"/>
        <v>0</v>
      </c>
      <c r="P905" t="str">
        <f t="shared" si="1408"/>
        <v>0, 0, 0, 0</v>
      </c>
    </row>
    <row r="906" spans="1:16" x14ac:dyDescent="0.2">
      <c r="A906">
        <f t="shared" si="1377"/>
        <v>904</v>
      </c>
      <c r="B906" s="1" t="s">
        <v>821</v>
      </c>
      <c r="C906">
        <v>126</v>
      </c>
      <c r="D906">
        <v>0</v>
      </c>
      <c r="E906">
        <v>0</v>
      </c>
      <c r="F906">
        <v>0</v>
      </c>
      <c r="G906">
        <v>0</v>
      </c>
      <c r="H906">
        <f>_xlfn.XLOOKUP(I906,$B$2:$B$1096,$A$2:$A$1096,65535)</f>
        <v>65535</v>
      </c>
      <c r="J906">
        <f t="shared" ref="J906:K906" si="1497">C906-C942</f>
        <v>16</v>
      </c>
      <c r="K906">
        <f t="shared" si="1497"/>
        <v>0</v>
      </c>
      <c r="L906">
        <f t="shared" ref="L906:N906" si="1498">E906+E942</f>
        <v>0</v>
      </c>
      <c r="M906">
        <f t="shared" si="1498"/>
        <v>0</v>
      </c>
      <c r="N906">
        <f t="shared" si="1498"/>
        <v>0</v>
      </c>
      <c r="P906" t="str">
        <f t="shared" si="1408"/>
        <v>0, 0, 0, 0</v>
      </c>
    </row>
    <row r="907" spans="1:16" x14ac:dyDescent="0.2">
      <c r="A907">
        <f t="shared" si="1377"/>
        <v>905</v>
      </c>
      <c r="B907" s="1" t="s">
        <v>822</v>
      </c>
      <c r="C907">
        <v>127</v>
      </c>
      <c r="D907">
        <v>0</v>
      </c>
      <c r="E907">
        <v>0</v>
      </c>
      <c r="F907">
        <v>0</v>
      </c>
      <c r="G907">
        <v>0</v>
      </c>
      <c r="H907">
        <f>_xlfn.XLOOKUP(I907,$B$2:$B$1096,$A$2:$A$1096,65535)</f>
        <v>65535</v>
      </c>
      <c r="J907">
        <f t="shared" ref="J907:K907" si="1499">C907-C943</f>
        <v>16</v>
      </c>
      <c r="K907">
        <f t="shared" si="1499"/>
        <v>0</v>
      </c>
      <c r="L907">
        <f t="shared" ref="L907:N907" si="1500">E907+E943</f>
        <v>0</v>
      </c>
      <c r="M907">
        <f t="shared" si="1500"/>
        <v>0</v>
      </c>
      <c r="N907">
        <f t="shared" si="1500"/>
        <v>0</v>
      </c>
      <c r="P907" t="str">
        <f t="shared" si="1408"/>
        <v>0, 0, 0, 0</v>
      </c>
    </row>
    <row r="908" spans="1:16" x14ac:dyDescent="0.2">
      <c r="A908">
        <f t="shared" si="1377"/>
        <v>906</v>
      </c>
      <c r="B908" s="1" t="s">
        <v>823</v>
      </c>
      <c r="C908">
        <v>126</v>
      </c>
      <c r="D908">
        <v>0</v>
      </c>
      <c r="E908">
        <v>0</v>
      </c>
      <c r="F908">
        <v>0</v>
      </c>
      <c r="G908">
        <v>0</v>
      </c>
      <c r="H908">
        <f>_xlfn.XLOOKUP(I908,$B$2:$B$1096,$A$2:$A$1096,65535)</f>
        <v>65535</v>
      </c>
      <c r="J908">
        <f t="shared" ref="J908:K908" si="1501">C908-C944</f>
        <v>22</v>
      </c>
      <c r="K908">
        <f t="shared" si="1501"/>
        <v>0</v>
      </c>
      <c r="L908">
        <f t="shared" ref="L908:N908" si="1502">E908+E944</f>
        <v>0</v>
      </c>
      <c r="M908">
        <f t="shared" si="1502"/>
        <v>0</v>
      </c>
      <c r="N908">
        <f t="shared" si="1502"/>
        <v>0</v>
      </c>
      <c r="P908" t="str">
        <f t="shared" si="1408"/>
        <v>0, 0, 0, 0</v>
      </c>
    </row>
    <row r="909" spans="1:16" x14ac:dyDescent="0.2">
      <c r="A909">
        <f t="shared" si="1377"/>
        <v>907</v>
      </c>
      <c r="B909" s="1" t="s">
        <v>824</v>
      </c>
      <c r="C909">
        <v>125</v>
      </c>
      <c r="D909">
        <v>0</v>
      </c>
      <c r="E909">
        <v>0</v>
      </c>
      <c r="F909">
        <v>0</v>
      </c>
      <c r="G909">
        <v>0</v>
      </c>
      <c r="H909">
        <f>_xlfn.XLOOKUP(I909,$B$2:$B$1096,$A$2:$A$1096,65535)</f>
        <v>65535</v>
      </c>
      <c r="J909">
        <f t="shared" ref="J909:K909" si="1503">C909-C945</f>
        <v>20</v>
      </c>
      <c r="K909">
        <f t="shared" si="1503"/>
        <v>0</v>
      </c>
      <c r="L909">
        <f t="shared" ref="L909:N909" si="1504">E909+E945</f>
        <v>0</v>
      </c>
      <c r="M909">
        <f t="shared" si="1504"/>
        <v>0</v>
      </c>
      <c r="N909">
        <f t="shared" si="1504"/>
        <v>0</v>
      </c>
      <c r="P909" t="str">
        <f t="shared" si="1408"/>
        <v>0, 0, 0, 0</v>
      </c>
    </row>
    <row r="910" spans="1:16" x14ac:dyDescent="0.2">
      <c r="A910">
        <f t="shared" si="1377"/>
        <v>908</v>
      </c>
      <c r="B910" s="1" t="s">
        <v>825</v>
      </c>
      <c r="C910">
        <v>124</v>
      </c>
      <c r="D910">
        <v>0</v>
      </c>
      <c r="E910">
        <v>0</v>
      </c>
      <c r="F910">
        <v>0</v>
      </c>
      <c r="G910">
        <v>0</v>
      </c>
      <c r="H910">
        <f>_xlfn.XLOOKUP(I910,$B$2:$B$1096,$A$2:$A$1096,65535)</f>
        <v>65535</v>
      </c>
      <c r="J910">
        <f t="shared" ref="J910:K910" si="1505">C910-C946</f>
        <v>18</v>
      </c>
      <c r="K910">
        <f t="shared" si="1505"/>
        <v>0</v>
      </c>
      <c r="L910">
        <f t="shared" ref="L910:N910" si="1506">E910+E946</f>
        <v>0</v>
      </c>
      <c r="M910">
        <f t="shared" si="1506"/>
        <v>0</v>
      </c>
      <c r="N910">
        <f t="shared" si="1506"/>
        <v>0</v>
      </c>
      <c r="P910" t="str">
        <f t="shared" si="1408"/>
        <v>0, 0, 0, 0</v>
      </c>
    </row>
    <row r="911" spans="1:16" x14ac:dyDescent="0.2">
      <c r="A911">
        <f t="shared" ref="A911:A974" si="1507">A910+1</f>
        <v>909</v>
      </c>
      <c r="B911" s="1" t="s">
        <v>826</v>
      </c>
      <c r="C911">
        <v>125</v>
      </c>
      <c r="D911">
        <v>0</v>
      </c>
      <c r="E911">
        <v>5</v>
      </c>
      <c r="F911">
        <v>2</v>
      </c>
      <c r="G911">
        <v>1</v>
      </c>
      <c r="H911">
        <f>_xlfn.XLOOKUP(I911,$B$2:$B$1096,$A$2:$A$1096,65535)</f>
        <v>65535</v>
      </c>
      <c r="J911">
        <f t="shared" ref="J911:K911" si="1508">C911-C947</f>
        <v>18</v>
      </c>
      <c r="K911">
        <f t="shared" si="1508"/>
        <v>0</v>
      </c>
      <c r="L911">
        <f t="shared" ref="L911:N911" si="1509">E911+E947</f>
        <v>5</v>
      </c>
      <c r="M911">
        <f t="shared" si="1509"/>
        <v>2</v>
      </c>
      <c r="N911">
        <f t="shared" si="1509"/>
        <v>1</v>
      </c>
      <c r="P911" t="str">
        <f t="shared" si="1408"/>
        <v>0, 5, 2, 1</v>
      </c>
    </row>
    <row r="912" spans="1:16" x14ac:dyDescent="0.2">
      <c r="A912">
        <f t="shared" si="1507"/>
        <v>910</v>
      </c>
      <c r="B912" s="1" t="s">
        <v>827</v>
      </c>
      <c r="C912">
        <v>124</v>
      </c>
      <c r="D912">
        <v>0</v>
      </c>
      <c r="E912">
        <v>5</v>
      </c>
      <c r="F912">
        <v>2</v>
      </c>
      <c r="G912">
        <v>1</v>
      </c>
      <c r="H912">
        <f>_xlfn.XLOOKUP(I912,$B$2:$B$1096,$A$2:$A$1096,65535)</f>
        <v>65535</v>
      </c>
      <c r="J912">
        <f t="shared" ref="J912:K912" si="1510">C912-C948</f>
        <v>96</v>
      </c>
      <c r="K912">
        <f t="shared" si="1510"/>
        <v>0</v>
      </c>
      <c r="L912">
        <f t="shared" ref="L912:N912" si="1511">E912+E948</f>
        <v>5</v>
      </c>
      <c r="M912">
        <f t="shared" si="1511"/>
        <v>2</v>
      </c>
      <c r="N912">
        <f t="shared" si="1511"/>
        <v>1</v>
      </c>
      <c r="P912" t="str">
        <f t="shared" si="1408"/>
        <v>0, 5, 2, 1</v>
      </c>
    </row>
    <row r="913" spans="1:16" x14ac:dyDescent="0.2">
      <c r="A913">
        <f t="shared" si="1507"/>
        <v>911</v>
      </c>
      <c r="B913" s="1" t="s">
        <v>828</v>
      </c>
      <c r="C913">
        <v>125</v>
      </c>
      <c r="D913">
        <v>0</v>
      </c>
      <c r="E913">
        <v>5</v>
      </c>
      <c r="F913">
        <v>2</v>
      </c>
      <c r="G913">
        <v>1</v>
      </c>
      <c r="H913">
        <f>_xlfn.XLOOKUP(I913,$B$2:$B$1096,$A$2:$A$1096,65535)</f>
        <v>65535</v>
      </c>
      <c r="J913">
        <f t="shared" ref="J913:K913" si="1512">C913-C949</f>
        <v>96</v>
      </c>
      <c r="K913">
        <f t="shared" si="1512"/>
        <v>0</v>
      </c>
      <c r="L913">
        <f t="shared" ref="L913:N913" si="1513">E913+E949</f>
        <v>5</v>
      </c>
      <c r="M913">
        <f t="shared" si="1513"/>
        <v>2</v>
      </c>
      <c r="N913">
        <f t="shared" si="1513"/>
        <v>1</v>
      </c>
      <c r="P913" t="str">
        <f t="shared" si="1408"/>
        <v>0, 5, 2, 1</v>
      </c>
    </row>
    <row r="914" spans="1:16" x14ac:dyDescent="0.2">
      <c r="A914">
        <f t="shared" si="1507"/>
        <v>912</v>
      </c>
      <c r="B914" s="1" t="s">
        <v>829</v>
      </c>
      <c r="C914">
        <v>124</v>
      </c>
      <c r="D914">
        <v>0</v>
      </c>
      <c r="E914">
        <v>5</v>
      </c>
      <c r="F914">
        <v>2</v>
      </c>
      <c r="G914">
        <v>1</v>
      </c>
      <c r="H914">
        <f>_xlfn.XLOOKUP(I914,$B$2:$B$1096,$A$2:$A$1096,65535)</f>
        <v>65535</v>
      </c>
      <c r="J914">
        <f t="shared" ref="J914:K914" si="1514">C914-C950</f>
        <v>94</v>
      </c>
      <c r="K914">
        <f t="shared" si="1514"/>
        <v>0</v>
      </c>
      <c r="L914">
        <f t="shared" ref="L914:N914" si="1515">E914+E950</f>
        <v>5</v>
      </c>
      <c r="M914">
        <f t="shared" si="1515"/>
        <v>2</v>
      </c>
      <c r="N914">
        <f t="shared" si="1515"/>
        <v>1</v>
      </c>
      <c r="P914" t="str">
        <f t="shared" si="1408"/>
        <v>0, 5, 2, 1</v>
      </c>
    </row>
    <row r="915" spans="1:16" x14ac:dyDescent="0.2">
      <c r="A915">
        <f t="shared" si="1507"/>
        <v>913</v>
      </c>
      <c r="B915" s="1" t="s">
        <v>830</v>
      </c>
      <c r="C915">
        <v>125</v>
      </c>
      <c r="D915">
        <v>0</v>
      </c>
      <c r="E915">
        <v>-5</v>
      </c>
      <c r="F915">
        <v>-2</v>
      </c>
      <c r="G915">
        <v>-1</v>
      </c>
      <c r="H915">
        <f>_xlfn.XLOOKUP(I915,$B$2:$B$1096,$A$2:$A$1096,65535)</f>
        <v>65535</v>
      </c>
      <c r="J915">
        <f t="shared" ref="J915:K915" si="1516">C915-C951</f>
        <v>94</v>
      </c>
      <c r="K915">
        <f t="shared" si="1516"/>
        <v>0</v>
      </c>
      <c r="L915">
        <f t="shared" ref="L915:N915" si="1517">E915+E951</f>
        <v>-5</v>
      </c>
      <c r="M915">
        <f t="shared" si="1517"/>
        <v>-2</v>
      </c>
      <c r="N915">
        <f t="shared" si="1517"/>
        <v>-1</v>
      </c>
      <c r="P915" t="str">
        <f t="shared" si="1408"/>
        <v>0, -5, -2, -1</v>
      </c>
    </row>
    <row r="916" spans="1:16" x14ac:dyDescent="0.2">
      <c r="A916">
        <f t="shared" si="1507"/>
        <v>914</v>
      </c>
      <c r="B916" s="1" t="s">
        <v>831</v>
      </c>
      <c r="C916">
        <v>124</v>
      </c>
      <c r="D916">
        <v>0</v>
      </c>
      <c r="E916">
        <v>-5</v>
      </c>
      <c r="F916">
        <v>-2</v>
      </c>
      <c r="G916">
        <v>-1</v>
      </c>
      <c r="H916">
        <f>_xlfn.XLOOKUP(I916,$B$2:$B$1096,$A$2:$A$1096,65535)</f>
        <v>65535</v>
      </c>
      <c r="J916">
        <f t="shared" ref="J916:K916" si="1518">C916-C952</f>
        <v>8</v>
      </c>
      <c r="K916">
        <f t="shared" si="1518"/>
        <v>0</v>
      </c>
      <c r="L916">
        <f t="shared" ref="L916:N916" si="1519">E916+E952</f>
        <v>-5</v>
      </c>
      <c r="M916">
        <f t="shared" si="1519"/>
        <v>-2</v>
      </c>
      <c r="N916">
        <f t="shared" si="1519"/>
        <v>-1</v>
      </c>
      <c r="P916" t="str">
        <f t="shared" si="1408"/>
        <v>0, -5, -2, -1</v>
      </c>
    </row>
    <row r="917" spans="1:16" x14ac:dyDescent="0.2">
      <c r="A917">
        <f t="shared" si="1507"/>
        <v>915</v>
      </c>
      <c r="B917" s="1" t="s">
        <v>832</v>
      </c>
      <c r="C917">
        <v>125</v>
      </c>
      <c r="D917">
        <v>0</v>
      </c>
      <c r="E917">
        <v>-5</v>
      </c>
      <c r="F917">
        <v>-2</v>
      </c>
      <c r="G917">
        <v>-1</v>
      </c>
      <c r="H917">
        <f>_xlfn.XLOOKUP(I917,$B$2:$B$1096,$A$2:$A$1096,65535)</f>
        <v>65535</v>
      </c>
      <c r="J917">
        <f t="shared" ref="J917:K917" si="1520">C917-C953</f>
        <v>8</v>
      </c>
      <c r="K917">
        <f t="shared" si="1520"/>
        <v>0</v>
      </c>
      <c r="L917">
        <f t="shared" ref="L917:N917" si="1521">E917+E953</f>
        <v>-5</v>
      </c>
      <c r="M917">
        <f t="shared" si="1521"/>
        <v>-2</v>
      </c>
      <c r="N917">
        <f t="shared" si="1521"/>
        <v>-1</v>
      </c>
      <c r="P917" t="str">
        <f t="shared" si="1408"/>
        <v>0, -5, -2, -1</v>
      </c>
    </row>
    <row r="918" spans="1:16" x14ac:dyDescent="0.2">
      <c r="A918">
        <f t="shared" si="1507"/>
        <v>916</v>
      </c>
      <c r="B918" s="1" t="s">
        <v>833</v>
      </c>
      <c r="C918">
        <v>124</v>
      </c>
      <c r="D918">
        <v>0</v>
      </c>
      <c r="E918">
        <v>-5</v>
      </c>
      <c r="F918">
        <v>-2</v>
      </c>
      <c r="G918">
        <v>-1</v>
      </c>
      <c r="H918">
        <f>_xlfn.XLOOKUP(I918,$B$2:$B$1096,$A$2:$A$1096,65535)</f>
        <v>65535</v>
      </c>
      <c r="J918">
        <f t="shared" ref="J918:K918" si="1522">C918-C954</f>
        <v>6</v>
      </c>
      <c r="K918">
        <f t="shared" si="1522"/>
        <v>0</v>
      </c>
      <c r="L918">
        <f t="shared" ref="L918:N918" si="1523">E918+E954</f>
        <v>-5</v>
      </c>
      <c r="M918">
        <f t="shared" si="1523"/>
        <v>-2</v>
      </c>
      <c r="N918">
        <f t="shared" si="1523"/>
        <v>-1</v>
      </c>
      <c r="P918" t="str">
        <f t="shared" si="1408"/>
        <v>0, -5, -2, -1</v>
      </c>
    </row>
    <row r="919" spans="1:16" x14ac:dyDescent="0.2">
      <c r="A919">
        <f t="shared" si="1507"/>
        <v>917</v>
      </c>
      <c r="B919" s="1" t="s">
        <v>834</v>
      </c>
      <c r="C919">
        <v>125</v>
      </c>
      <c r="D919">
        <v>0</v>
      </c>
      <c r="E919">
        <v>0</v>
      </c>
      <c r="F919">
        <v>0</v>
      </c>
      <c r="G919">
        <v>0</v>
      </c>
      <c r="H919">
        <f>_xlfn.XLOOKUP(I919,$B$2:$B$1096,$A$2:$A$1096,65535)</f>
        <v>65535</v>
      </c>
      <c r="J919">
        <f t="shared" ref="J919:K919" si="1524">C919-C955</f>
        <v>6</v>
      </c>
      <c r="K919">
        <f t="shared" si="1524"/>
        <v>0</v>
      </c>
      <c r="L919">
        <f t="shared" ref="L919:N919" si="1525">E919+E955</f>
        <v>0</v>
      </c>
      <c r="M919">
        <f t="shared" si="1525"/>
        <v>0</v>
      </c>
      <c r="N919">
        <f t="shared" si="1525"/>
        <v>0</v>
      </c>
      <c r="P919" t="str">
        <f t="shared" si="1408"/>
        <v>0, 0, 0, 0</v>
      </c>
    </row>
    <row r="920" spans="1:16" x14ac:dyDescent="0.2">
      <c r="A920">
        <f t="shared" si="1507"/>
        <v>918</v>
      </c>
      <c r="B920" s="1" t="s">
        <v>835</v>
      </c>
      <c r="C920">
        <v>124</v>
      </c>
      <c r="D920">
        <v>3</v>
      </c>
      <c r="E920">
        <v>0</v>
      </c>
      <c r="F920">
        <v>0</v>
      </c>
      <c r="G920">
        <v>0</v>
      </c>
      <c r="H920">
        <f>_xlfn.XLOOKUP(I920,$B$2:$B$1096,$A$2:$A$1096,65535)</f>
        <v>65535</v>
      </c>
      <c r="J920">
        <f t="shared" ref="J920:K920" si="1526">C920-C956</f>
        <v>96</v>
      </c>
      <c r="K920">
        <f t="shared" si="1526"/>
        <v>3</v>
      </c>
      <c r="L920">
        <f t="shared" ref="L920:N920" si="1527">E920+E956</f>
        <v>0</v>
      </c>
      <c r="M920">
        <f t="shared" si="1527"/>
        <v>0</v>
      </c>
      <c r="N920">
        <f t="shared" si="1527"/>
        <v>0</v>
      </c>
      <c r="P920" t="str">
        <f t="shared" si="1408"/>
        <v>3, 0, 0, 0</v>
      </c>
    </row>
    <row r="921" spans="1:16" x14ac:dyDescent="0.2">
      <c r="A921">
        <f t="shared" si="1507"/>
        <v>919</v>
      </c>
      <c r="B921" s="1" t="s">
        <v>836</v>
      </c>
      <c r="C921">
        <v>124</v>
      </c>
      <c r="D921">
        <v>2</v>
      </c>
      <c r="E921">
        <v>0</v>
      </c>
      <c r="F921">
        <v>0</v>
      </c>
      <c r="G921">
        <v>0</v>
      </c>
      <c r="H921">
        <f>_xlfn.XLOOKUP(I921,$B$2:$B$1096,$A$2:$A$1096,65535)</f>
        <v>65535</v>
      </c>
      <c r="J921">
        <f t="shared" ref="J921:K921" si="1528">C921-C957</f>
        <v>95</v>
      </c>
      <c r="K921">
        <f t="shared" si="1528"/>
        <v>2</v>
      </c>
      <c r="L921">
        <f t="shared" ref="L921:N921" si="1529">E921+E957</f>
        <v>0</v>
      </c>
      <c r="M921">
        <f t="shared" si="1529"/>
        <v>0</v>
      </c>
      <c r="N921">
        <f t="shared" si="1529"/>
        <v>0</v>
      </c>
      <c r="P921" t="str">
        <f t="shared" si="1408"/>
        <v>2, 0, 0, 0</v>
      </c>
    </row>
    <row r="922" spans="1:16" x14ac:dyDescent="0.2">
      <c r="A922">
        <f t="shared" si="1507"/>
        <v>920</v>
      </c>
      <c r="B922" s="1" t="s">
        <v>837</v>
      </c>
      <c r="C922">
        <v>124</v>
      </c>
      <c r="D922">
        <v>1</v>
      </c>
      <c r="E922">
        <v>0</v>
      </c>
      <c r="F922">
        <v>0</v>
      </c>
      <c r="G922">
        <v>0</v>
      </c>
      <c r="H922">
        <f>_xlfn.XLOOKUP(I922,$B$2:$B$1096,$A$2:$A$1096,65535)</f>
        <v>65535</v>
      </c>
      <c r="J922">
        <f t="shared" ref="J922:K922" si="1530">C922-C958</f>
        <v>94</v>
      </c>
      <c r="K922">
        <f t="shared" si="1530"/>
        <v>1</v>
      </c>
      <c r="L922">
        <f t="shared" ref="L922:N922" si="1531">E922+E958</f>
        <v>0</v>
      </c>
      <c r="M922">
        <f t="shared" si="1531"/>
        <v>0</v>
      </c>
      <c r="N922">
        <f t="shared" si="1531"/>
        <v>0</v>
      </c>
      <c r="P922" t="str">
        <f t="shared" si="1408"/>
        <v>1, 0, 0, 0</v>
      </c>
    </row>
    <row r="923" spans="1:16" x14ac:dyDescent="0.2">
      <c r="A923">
        <f t="shared" si="1507"/>
        <v>921</v>
      </c>
      <c r="B923" s="1" t="s">
        <v>838</v>
      </c>
      <c r="C923">
        <v>124</v>
      </c>
      <c r="D923">
        <v>-1</v>
      </c>
      <c r="E923">
        <v>0</v>
      </c>
      <c r="F923">
        <v>0</v>
      </c>
      <c r="G923">
        <v>0</v>
      </c>
      <c r="H923">
        <f>_xlfn.XLOOKUP(I923,$B$2:$B$1096,$A$2:$A$1096,65535)</f>
        <v>65535</v>
      </c>
      <c r="J923">
        <f t="shared" ref="J923:K923" si="1532">C923-C959</f>
        <v>93</v>
      </c>
      <c r="K923">
        <f t="shared" si="1532"/>
        <v>-1</v>
      </c>
      <c r="L923">
        <f t="shared" ref="L923:N923" si="1533">E923+E959</f>
        <v>0</v>
      </c>
      <c r="M923">
        <f t="shared" si="1533"/>
        <v>0</v>
      </c>
      <c r="N923">
        <f t="shared" si="1533"/>
        <v>0</v>
      </c>
      <c r="P923" t="str">
        <f t="shared" si="1408"/>
        <v>-1, 0, 0, 0</v>
      </c>
    </row>
    <row r="924" spans="1:16" x14ac:dyDescent="0.2">
      <c r="A924">
        <f t="shared" si="1507"/>
        <v>922</v>
      </c>
      <c r="B924" s="1" t="s">
        <v>839</v>
      </c>
      <c r="C924">
        <v>125</v>
      </c>
      <c r="D924">
        <v>-2</v>
      </c>
      <c r="E924">
        <v>0</v>
      </c>
      <c r="F924">
        <v>0</v>
      </c>
      <c r="G924">
        <v>0</v>
      </c>
      <c r="H924">
        <f>_xlfn.XLOOKUP(I924,$B$2:$B$1096,$A$2:$A$1096,65535)</f>
        <v>65535</v>
      </c>
      <c r="J924">
        <f t="shared" ref="J924:K924" si="1534">C924-C960</f>
        <v>-10</v>
      </c>
      <c r="K924">
        <f t="shared" si="1534"/>
        <v>0</v>
      </c>
      <c r="L924">
        <f t="shared" ref="L924:N924" si="1535">E924+E960</f>
        <v>0</v>
      </c>
      <c r="M924">
        <f t="shared" si="1535"/>
        <v>0</v>
      </c>
      <c r="N924">
        <f t="shared" si="1535"/>
        <v>0</v>
      </c>
      <c r="P924" t="str">
        <f t="shared" si="1408"/>
        <v>-2, 0, 0, 0</v>
      </c>
    </row>
    <row r="925" spans="1:16" x14ac:dyDescent="0.2">
      <c r="A925">
        <f t="shared" si="1507"/>
        <v>923</v>
      </c>
      <c r="B925" s="1" t="s">
        <v>840</v>
      </c>
      <c r="C925">
        <v>124</v>
      </c>
      <c r="D925">
        <v>-3</v>
      </c>
      <c r="E925">
        <v>0</v>
      </c>
      <c r="F925">
        <v>0</v>
      </c>
      <c r="G925">
        <v>0</v>
      </c>
      <c r="H925">
        <f>_xlfn.XLOOKUP(I925,$B$2:$B$1096,$A$2:$A$1096,65535)</f>
        <v>65535</v>
      </c>
      <c r="J925">
        <f t="shared" ref="J925:K925" si="1536">C925-C961</f>
        <v>-12</v>
      </c>
      <c r="K925">
        <f t="shared" si="1536"/>
        <v>-1</v>
      </c>
      <c r="L925">
        <f t="shared" ref="L925:N925" si="1537">E925+E961</f>
        <v>0</v>
      </c>
      <c r="M925">
        <f t="shared" si="1537"/>
        <v>0</v>
      </c>
      <c r="N925">
        <f t="shared" si="1537"/>
        <v>0</v>
      </c>
      <c r="P925" t="str">
        <f t="shared" ref="P925:P988" si="1538">_xlfn.CONCAT(D925,", ",E925,", ",F925,", ",G925)</f>
        <v>-3, 0, 0, 0</v>
      </c>
    </row>
    <row r="926" spans="1:16" x14ac:dyDescent="0.2">
      <c r="A926">
        <f t="shared" si="1507"/>
        <v>924</v>
      </c>
      <c r="B926" s="1" t="s">
        <v>612</v>
      </c>
      <c r="C926">
        <v>76</v>
      </c>
      <c r="D926">
        <v>0</v>
      </c>
      <c r="E926">
        <v>0</v>
      </c>
      <c r="F926">
        <v>0</v>
      </c>
      <c r="G926">
        <v>0</v>
      </c>
      <c r="H926">
        <f>_xlfn.XLOOKUP(I926,$B$2:$B$1096,$A$2:$A$1096,65535)</f>
        <v>65535</v>
      </c>
      <c r="J926">
        <f t="shared" ref="J926:K926" si="1539">C926-C962</f>
        <v>-61</v>
      </c>
      <c r="K926">
        <f t="shared" si="1539"/>
        <v>2</v>
      </c>
      <c r="L926">
        <f t="shared" ref="L926:N926" si="1540">E926+E962</f>
        <v>0</v>
      </c>
      <c r="M926">
        <f t="shared" si="1540"/>
        <v>0</v>
      </c>
      <c r="N926">
        <f t="shared" si="1540"/>
        <v>0</v>
      </c>
      <c r="P926" t="str">
        <f t="shared" si="1538"/>
        <v>0, 0, 0, 0</v>
      </c>
    </row>
    <row r="927" spans="1:16" x14ac:dyDescent="0.2">
      <c r="A927">
        <f t="shared" si="1507"/>
        <v>925</v>
      </c>
      <c r="B927" s="1" t="s">
        <v>613</v>
      </c>
      <c r="C927">
        <v>77</v>
      </c>
      <c r="D927">
        <v>0</v>
      </c>
      <c r="E927">
        <v>0</v>
      </c>
      <c r="F927">
        <v>0</v>
      </c>
      <c r="G927">
        <v>0</v>
      </c>
      <c r="H927">
        <f>_xlfn.XLOOKUP(I927,$B$2:$B$1096,$A$2:$A$1096,65535)</f>
        <v>65535</v>
      </c>
      <c r="J927">
        <f t="shared" ref="J927:K927" si="1541">C927-C963</f>
        <v>-61</v>
      </c>
      <c r="K927">
        <f t="shared" si="1541"/>
        <v>2</v>
      </c>
      <c r="L927">
        <f t="shared" ref="L927:N927" si="1542">E927+E963</f>
        <v>0</v>
      </c>
      <c r="M927">
        <f t="shared" si="1542"/>
        <v>0</v>
      </c>
      <c r="N927">
        <f t="shared" si="1542"/>
        <v>0</v>
      </c>
      <c r="P927" t="str">
        <f t="shared" si="1538"/>
        <v>0, 0, 0, 0</v>
      </c>
    </row>
    <row r="928" spans="1:16" x14ac:dyDescent="0.2">
      <c r="A928">
        <f t="shared" si="1507"/>
        <v>926</v>
      </c>
      <c r="B928" s="1" t="s">
        <v>614</v>
      </c>
      <c r="C928">
        <v>78</v>
      </c>
      <c r="D928">
        <v>0</v>
      </c>
      <c r="E928">
        <v>0</v>
      </c>
      <c r="F928">
        <v>0</v>
      </c>
      <c r="G928">
        <v>0</v>
      </c>
      <c r="H928">
        <f>_xlfn.XLOOKUP(I928,$B$2:$B$1096,$A$2:$A$1096,65535)</f>
        <v>65535</v>
      </c>
      <c r="J928">
        <f t="shared" ref="J928:K928" si="1543">C928-C964</f>
        <v>-61</v>
      </c>
      <c r="K928">
        <f t="shared" si="1543"/>
        <v>0</v>
      </c>
      <c r="L928">
        <f t="shared" ref="L928:N928" si="1544">E928+E964</f>
        <v>0</v>
      </c>
      <c r="M928">
        <f t="shared" si="1544"/>
        <v>0</v>
      </c>
      <c r="N928">
        <f t="shared" si="1544"/>
        <v>0</v>
      </c>
      <c r="P928" t="str">
        <f t="shared" si="1538"/>
        <v>0, 0, 0, 0</v>
      </c>
    </row>
    <row r="929" spans="1:16" x14ac:dyDescent="0.2">
      <c r="A929">
        <f t="shared" si="1507"/>
        <v>927</v>
      </c>
      <c r="B929" s="1" t="s">
        <v>615</v>
      </c>
      <c r="C929">
        <v>79</v>
      </c>
      <c r="D929">
        <v>0</v>
      </c>
      <c r="E929">
        <v>0</v>
      </c>
      <c r="F929">
        <v>0</v>
      </c>
      <c r="G929">
        <v>0</v>
      </c>
      <c r="H929">
        <f>_xlfn.XLOOKUP(I929,$B$2:$B$1096,$A$2:$A$1096,65535)</f>
        <v>65535</v>
      </c>
      <c r="J929">
        <f t="shared" ref="J929:K929" si="1545">C929-C965</f>
        <v>-61</v>
      </c>
      <c r="K929">
        <f t="shared" si="1545"/>
        <v>0</v>
      </c>
      <c r="L929">
        <f t="shared" ref="L929:N929" si="1546">E929+E965</f>
        <v>0</v>
      </c>
      <c r="M929">
        <f t="shared" si="1546"/>
        <v>0</v>
      </c>
      <c r="N929">
        <f t="shared" si="1546"/>
        <v>0</v>
      </c>
      <c r="P929" t="str">
        <f t="shared" si="1538"/>
        <v>0, 0, 0, 0</v>
      </c>
    </row>
    <row r="930" spans="1:16" x14ac:dyDescent="0.2">
      <c r="A930">
        <f t="shared" si="1507"/>
        <v>928</v>
      </c>
      <c r="B930" s="1" t="s">
        <v>616</v>
      </c>
      <c r="C930">
        <v>80</v>
      </c>
      <c r="D930">
        <v>0</v>
      </c>
      <c r="E930">
        <v>0</v>
      </c>
      <c r="F930">
        <v>0</v>
      </c>
      <c r="G930">
        <v>0</v>
      </c>
      <c r="H930">
        <f>_xlfn.XLOOKUP(I930,$B$2:$B$1096,$A$2:$A$1096,65535)</f>
        <v>65535</v>
      </c>
      <c r="J930">
        <f t="shared" ref="J930:K930" si="1547">C930-C966</f>
        <v>-61</v>
      </c>
      <c r="K930">
        <f t="shared" si="1547"/>
        <v>0</v>
      </c>
      <c r="L930">
        <f t="shared" ref="L930:N930" si="1548">E930+E966</f>
        <v>0</v>
      </c>
      <c r="M930">
        <f t="shared" si="1548"/>
        <v>0</v>
      </c>
      <c r="N930">
        <f t="shared" si="1548"/>
        <v>0</v>
      </c>
      <c r="P930" t="str">
        <f t="shared" si="1538"/>
        <v>0, 0, 0, 0</v>
      </c>
    </row>
    <row r="931" spans="1:16" x14ac:dyDescent="0.2">
      <c r="A931">
        <f t="shared" si="1507"/>
        <v>929</v>
      </c>
      <c r="B931" s="1" t="s">
        <v>617</v>
      </c>
      <c r="C931">
        <v>81</v>
      </c>
      <c r="D931">
        <v>0</v>
      </c>
      <c r="E931">
        <v>0</v>
      </c>
      <c r="F931">
        <v>0</v>
      </c>
      <c r="G931">
        <v>0</v>
      </c>
      <c r="H931">
        <f>_xlfn.XLOOKUP(I931,$B$2:$B$1096,$A$2:$A$1096,65535)</f>
        <v>65535</v>
      </c>
      <c r="J931">
        <f t="shared" ref="J931:K931" si="1549">C931-C967</f>
        <v>-54</v>
      </c>
      <c r="K931">
        <f t="shared" si="1549"/>
        <v>2</v>
      </c>
      <c r="L931">
        <f t="shared" ref="L931:N931" si="1550">E931+E967</f>
        <v>5</v>
      </c>
      <c r="M931">
        <f t="shared" si="1550"/>
        <v>2</v>
      </c>
      <c r="N931">
        <f t="shared" si="1550"/>
        <v>1</v>
      </c>
      <c r="P931" t="str">
        <f t="shared" si="1538"/>
        <v>0, 0, 0, 0</v>
      </c>
    </row>
    <row r="932" spans="1:16" x14ac:dyDescent="0.2">
      <c r="A932">
        <f t="shared" si="1507"/>
        <v>930</v>
      </c>
      <c r="B932" s="1" t="s">
        <v>618</v>
      </c>
      <c r="C932">
        <v>82</v>
      </c>
      <c r="D932">
        <v>0</v>
      </c>
      <c r="E932">
        <v>0</v>
      </c>
      <c r="F932">
        <v>0</v>
      </c>
      <c r="G932">
        <v>0</v>
      </c>
      <c r="H932">
        <f>_xlfn.XLOOKUP(I932,$B$2:$B$1096,$A$2:$A$1096,65535)</f>
        <v>65535</v>
      </c>
      <c r="J932">
        <f t="shared" ref="J932:K932" si="1551">C932-C968</f>
        <v>-54</v>
      </c>
      <c r="K932">
        <f t="shared" si="1551"/>
        <v>2</v>
      </c>
      <c r="L932">
        <f t="shared" ref="L932:N932" si="1552">E932+E968</f>
        <v>2</v>
      </c>
      <c r="M932">
        <f t="shared" si="1552"/>
        <v>1</v>
      </c>
      <c r="N932">
        <f t="shared" si="1552"/>
        <v>1</v>
      </c>
      <c r="P932" t="str">
        <f t="shared" si="1538"/>
        <v>0, 0, 0, 0</v>
      </c>
    </row>
    <row r="933" spans="1:16" x14ac:dyDescent="0.2">
      <c r="A933">
        <f t="shared" si="1507"/>
        <v>931</v>
      </c>
      <c r="B933" s="1" t="s">
        <v>619</v>
      </c>
      <c r="C933">
        <v>83</v>
      </c>
      <c r="D933">
        <v>0</v>
      </c>
      <c r="E933">
        <v>0</v>
      </c>
      <c r="F933">
        <v>0</v>
      </c>
      <c r="G933">
        <v>0</v>
      </c>
      <c r="H933">
        <f>_xlfn.XLOOKUP(I933,$B$2:$B$1096,$A$2:$A$1096,65535)</f>
        <v>65535</v>
      </c>
      <c r="J933">
        <f t="shared" ref="J933:K933" si="1553">C933-C969</f>
        <v>-54</v>
      </c>
      <c r="K933">
        <f t="shared" si="1553"/>
        <v>2</v>
      </c>
      <c r="L933">
        <f t="shared" ref="L933:N933" si="1554">E933+E969</f>
        <v>2</v>
      </c>
      <c r="M933">
        <f t="shared" si="1554"/>
        <v>0</v>
      </c>
      <c r="N933">
        <f t="shared" si="1554"/>
        <v>0</v>
      </c>
      <c r="P933" t="str">
        <f t="shared" si="1538"/>
        <v>0, 0, 0, 0</v>
      </c>
    </row>
    <row r="934" spans="1:16" x14ac:dyDescent="0.2">
      <c r="A934">
        <f t="shared" si="1507"/>
        <v>932</v>
      </c>
      <c r="B934" s="1" t="s">
        <v>620</v>
      </c>
      <c r="C934">
        <v>84</v>
      </c>
      <c r="D934">
        <v>0</v>
      </c>
      <c r="E934">
        <v>0</v>
      </c>
      <c r="F934">
        <v>0</v>
      </c>
      <c r="G934">
        <v>0</v>
      </c>
      <c r="H934">
        <f>_xlfn.XLOOKUP(I934,$B$2:$B$1096,$A$2:$A$1096,65535)</f>
        <v>65535</v>
      </c>
      <c r="J934">
        <f t="shared" ref="J934:K934" si="1555">C934-C970</f>
        <v>-54</v>
      </c>
      <c r="K934">
        <f t="shared" si="1555"/>
        <v>2</v>
      </c>
      <c r="L934">
        <f t="shared" ref="L934:N934" si="1556">E934+E970</f>
        <v>2</v>
      </c>
      <c r="M934">
        <f t="shared" si="1556"/>
        <v>1</v>
      </c>
      <c r="N934">
        <f t="shared" si="1556"/>
        <v>1</v>
      </c>
      <c r="P934" t="str">
        <f t="shared" si="1538"/>
        <v>0, 0, 0, 0</v>
      </c>
    </row>
    <row r="935" spans="1:16" x14ac:dyDescent="0.2">
      <c r="A935">
        <f t="shared" si="1507"/>
        <v>933</v>
      </c>
      <c r="B935" s="1" t="s">
        <v>621</v>
      </c>
      <c r="C935">
        <v>85</v>
      </c>
      <c r="D935">
        <v>0</v>
      </c>
      <c r="E935">
        <v>0</v>
      </c>
      <c r="F935">
        <v>0</v>
      </c>
      <c r="G935">
        <v>0</v>
      </c>
      <c r="H935">
        <f>_xlfn.XLOOKUP(I935,$B$2:$B$1096,$A$2:$A$1096,65535)</f>
        <v>65535</v>
      </c>
      <c r="J935">
        <f t="shared" ref="J935:K935" si="1557">C935-C971</f>
        <v>-54</v>
      </c>
      <c r="K935">
        <f t="shared" si="1557"/>
        <v>0</v>
      </c>
      <c r="L935">
        <f t="shared" ref="L935:N935" si="1558">E935+E971</f>
        <v>2</v>
      </c>
      <c r="M935">
        <f t="shared" si="1558"/>
        <v>0</v>
      </c>
      <c r="N935">
        <f t="shared" si="1558"/>
        <v>0</v>
      </c>
      <c r="P935" t="str">
        <f t="shared" si="1538"/>
        <v>0, 0, 0, 0</v>
      </c>
    </row>
    <row r="936" spans="1:16" x14ac:dyDescent="0.2">
      <c r="A936">
        <f t="shared" si="1507"/>
        <v>934</v>
      </c>
      <c r="B936" s="1" t="s">
        <v>622</v>
      </c>
      <c r="C936">
        <v>86</v>
      </c>
      <c r="D936">
        <v>0</v>
      </c>
      <c r="E936">
        <v>0</v>
      </c>
      <c r="F936">
        <v>0</v>
      </c>
      <c r="G936">
        <v>0</v>
      </c>
      <c r="H936">
        <f>_xlfn.XLOOKUP(I936,$B$2:$B$1096,$A$2:$A$1096,65535)</f>
        <v>65535</v>
      </c>
      <c r="J936">
        <f t="shared" ref="J936:K936" si="1559">C936-C972</f>
        <v>-54</v>
      </c>
      <c r="K936">
        <f t="shared" si="1559"/>
        <v>0</v>
      </c>
      <c r="L936">
        <f t="shared" ref="L936:N936" si="1560">E936+E972</f>
        <v>2</v>
      </c>
      <c r="M936">
        <f t="shared" si="1560"/>
        <v>1</v>
      </c>
      <c r="N936">
        <f t="shared" si="1560"/>
        <v>1</v>
      </c>
      <c r="P936" t="str">
        <f t="shared" si="1538"/>
        <v>0, 0, 0, 0</v>
      </c>
    </row>
    <row r="937" spans="1:16" x14ac:dyDescent="0.2">
      <c r="A937">
        <f t="shared" si="1507"/>
        <v>935</v>
      </c>
      <c r="B937" s="1" t="s">
        <v>623</v>
      </c>
      <c r="C937">
        <v>87</v>
      </c>
      <c r="D937">
        <v>0</v>
      </c>
      <c r="E937">
        <v>0</v>
      </c>
      <c r="F937">
        <v>0</v>
      </c>
      <c r="G937">
        <v>0</v>
      </c>
      <c r="H937">
        <f>_xlfn.XLOOKUP(I937,$B$2:$B$1096,$A$2:$A$1096,65535)</f>
        <v>65535</v>
      </c>
      <c r="J937">
        <f t="shared" ref="J937:K937" si="1561">C937-C973</f>
        <v>-54</v>
      </c>
      <c r="K937">
        <f t="shared" si="1561"/>
        <v>0</v>
      </c>
      <c r="L937">
        <f t="shared" ref="L937:N937" si="1562">E937+E973</f>
        <v>0</v>
      </c>
      <c r="M937">
        <f t="shared" si="1562"/>
        <v>0</v>
      </c>
      <c r="N937">
        <f t="shared" si="1562"/>
        <v>0</v>
      </c>
      <c r="P937" t="str">
        <f t="shared" si="1538"/>
        <v>0, 0, 0, 0</v>
      </c>
    </row>
    <row r="938" spans="1:16" x14ac:dyDescent="0.2">
      <c r="A938">
        <f t="shared" si="1507"/>
        <v>936</v>
      </c>
      <c r="B938" s="1" t="s">
        <v>624</v>
      </c>
      <c r="C938" s="4">
        <v>13</v>
      </c>
      <c r="D938">
        <v>0</v>
      </c>
      <c r="E938">
        <v>-10</v>
      </c>
      <c r="F938">
        <v>-4</v>
      </c>
      <c r="G938">
        <v>-2</v>
      </c>
      <c r="H938">
        <f>_xlfn.XLOOKUP(I938,$B$2:$B$1096,$A$2:$A$1096,65535)</f>
        <v>65535</v>
      </c>
      <c r="J938">
        <f t="shared" ref="J938:K938" si="1563">C938-C974</f>
        <v>9</v>
      </c>
      <c r="K938">
        <f t="shared" si="1563"/>
        <v>2</v>
      </c>
      <c r="L938">
        <f t="shared" ref="L938:N938" si="1564">E938+E974</f>
        <v>-10</v>
      </c>
      <c r="M938">
        <f t="shared" si="1564"/>
        <v>-4</v>
      </c>
      <c r="N938">
        <f t="shared" si="1564"/>
        <v>-2</v>
      </c>
      <c r="P938" t="str">
        <f t="shared" si="1538"/>
        <v>0, -10, -4, -2</v>
      </c>
    </row>
    <row r="939" spans="1:16" x14ac:dyDescent="0.2">
      <c r="A939">
        <f t="shared" si="1507"/>
        <v>937</v>
      </c>
      <c r="B939" s="1" t="s">
        <v>625</v>
      </c>
      <c r="C939" s="4">
        <v>13</v>
      </c>
      <c r="D939">
        <v>0</v>
      </c>
      <c r="E939">
        <v>10</v>
      </c>
      <c r="F939">
        <v>4</v>
      </c>
      <c r="G939">
        <v>2</v>
      </c>
      <c r="H939">
        <f>_xlfn.XLOOKUP(I939,$B$2:$B$1096,$A$2:$A$1096,65535)</f>
        <v>65535</v>
      </c>
      <c r="J939">
        <f t="shared" ref="J939:K939" si="1565">C939-C975</f>
        <v>8</v>
      </c>
      <c r="K939">
        <f t="shared" si="1565"/>
        <v>1</v>
      </c>
      <c r="L939">
        <f t="shared" ref="L939:N939" si="1566">E939+E975</f>
        <v>10</v>
      </c>
      <c r="M939">
        <f t="shared" si="1566"/>
        <v>4</v>
      </c>
      <c r="N939">
        <f t="shared" si="1566"/>
        <v>2</v>
      </c>
      <c r="P939" t="str">
        <f t="shared" si="1538"/>
        <v>0, 10, 4, 2</v>
      </c>
    </row>
    <row r="940" spans="1:16" x14ac:dyDescent="0.2">
      <c r="A940">
        <f t="shared" si="1507"/>
        <v>938</v>
      </c>
      <c r="B940" s="1" t="s">
        <v>841</v>
      </c>
      <c r="C940">
        <v>108</v>
      </c>
      <c r="D940">
        <v>0</v>
      </c>
      <c r="E940">
        <v>0</v>
      </c>
      <c r="F940">
        <v>0</v>
      </c>
      <c r="G940">
        <v>0</v>
      </c>
      <c r="H940">
        <f>_xlfn.XLOOKUP(I940,$B$2:$B$1096,$A$2:$A$1096,65535)</f>
        <v>65535</v>
      </c>
      <c r="J940">
        <f t="shared" ref="J940:K940" si="1567">C940-C976</f>
        <v>103</v>
      </c>
      <c r="K940">
        <f t="shared" si="1567"/>
        <v>0</v>
      </c>
      <c r="L940">
        <f t="shared" ref="L940:N940" si="1568">E940+E976</f>
        <v>0</v>
      </c>
      <c r="M940">
        <f t="shared" si="1568"/>
        <v>0</v>
      </c>
      <c r="N940">
        <f t="shared" si="1568"/>
        <v>0</v>
      </c>
      <c r="P940" t="str">
        <f t="shared" si="1538"/>
        <v>0, 0, 0, 0</v>
      </c>
    </row>
    <row r="941" spans="1:16" x14ac:dyDescent="0.2">
      <c r="A941">
        <f t="shared" si="1507"/>
        <v>939</v>
      </c>
      <c r="B941" s="1" t="s">
        <v>842</v>
      </c>
      <c r="C941">
        <v>109</v>
      </c>
      <c r="D941">
        <v>0</v>
      </c>
      <c r="E941">
        <v>0</v>
      </c>
      <c r="F941">
        <v>0</v>
      </c>
      <c r="G941">
        <v>0</v>
      </c>
      <c r="H941">
        <f>_xlfn.XLOOKUP(I941,$B$2:$B$1096,$A$2:$A$1096,65535)</f>
        <v>65535</v>
      </c>
      <c r="J941">
        <f t="shared" ref="J941:K941" si="1569">C941-C977</f>
        <v>104</v>
      </c>
      <c r="K941">
        <f t="shared" si="1569"/>
        <v>-1</v>
      </c>
      <c r="L941">
        <f t="shared" ref="L941:N941" si="1570">E941+E977</f>
        <v>0</v>
      </c>
      <c r="M941">
        <f t="shared" si="1570"/>
        <v>0</v>
      </c>
      <c r="N941">
        <f t="shared" si="1570"/>
        <v>0</v>
      </c>
      <c r="P941" t="str">
        <f t="shared" si="1538"/>
        <v>0, 0, 0, 0</v>
      </c>
    </row>
    <row r="942" spans="1:16" x14ac:dyDescent="0.2">
      <c r="A942">
        <f t="shared" si="1507"/>
        <v>940</v>
      </c>
      <c r="B942" s="1" t="s">
        <v>843</v>
      </c>
      <c r="C942">
        <v>110</v>
      </c>
      <c r="D942">
        <v>0</v>
      </c>
      <c r="E942">
        <v>0</v>
      </c>
      <c r="F942">
        <v>0</v>
      </c>
      <c r="G942">
        <v>0</v>
      </c>
      <c r="H942">
        <f>_xlfn.XLOOKUP(I942,$B$2:$B$1096,$A$2:$A$1096,65535)</f>
        <v>65535</v>
      </c>
      <c r="J942">
        <f t="shared" ref="J942:K942" si="1571">C942-C978</f>
        <v>105</v>
      </c>
      <c r="K942">
        <f t="shared" si="1571"/>
        <v>-2</v>
      </c>
      <c r="L942">
        <f t="shared" ref="L942:N942" si="1572">E942+E978</f>
        <v>0</v>
      </c>
      <c r="M942">
        <f t="shared" si="1572"/>
        <v>0</v>
      </c>
      <c r="N942">
        <f t="shared" si="1572"/>
        <v>0</v>
      </c>
      <c r="P942" t="str">
        <f t="shared" si="1538"/>
        <v>0, 0, 0, 0</v>
      </c>
    </row>
    <row r="943" spans="1:16" x14ac:dyDescent="0.2">
      <c r="A943">
        <f t="shared" si="1507"/>
        <v>941</v>
      </c>
      <c r="B943" s="1" t="s">
        <v>844</v>
      </c>
      <c r="C943">
        <v>111</v>
      </c>
      <c r="D943">
        <v>0</v>
      </c>
      <c r="E943">
        <v>0</v>
      </c>
      <c r="F943">
        <v>0</v>
      </c>
      <c r="G943">
        <v>0</v>
      </c>
      <c r="H943">
        <f>_xlfn.XLOOKUP(I943,$B$2:$B$1096,$A$2:$A$1096,65535)</f>
        <v>65535</v>
      </c>
      <c r="J943">
        <f t="shared" ref="J943:K943" si="1573">C943-C979</f>
        <v>106</v>
      </c>
      <c r="K943">
        <f t="shared" si="1573"/>
        <v>-4</v>
      </c>
      <c r="L943">
        <f t="shared" ref="L943:N943" si="1574">E943+E979</f>
        <v>0</v>
      </c>
      <c r="M943">
        <f t="shared" si="1574"/>
        <v>0</v>
      </c>
      <c r="N943">
        <f t="shared" si="1574"/>
        <v>0</v>
      </c>
      <c r="P943" t="str">
        <f t="shared" si="1538"/>
        <v>0, 0, 0, 0</v>
      </c>
    </row>
    <row r="944" spans="1:16" x14ac:dyDescent="0.2">
      <c r="A944">
        <f t="shared" si="1507"/>
        <v>942</v>
      </c>
      <c r="B944" s="1" t="s">
        <v>845</v>
      </c>
      <c r="C944">
        <v>104</v>
      </c>
      <c r="D944">
        <v>0</v>
      </c>
      <c r="E944">
        <v>0</v>
      </c>
      <c r="F944">
        <v>0</v>
      </c>
      <c r="G944">
        <v>0</v>
      </c>
      <c r="H944">
        <f>_xlfn.XLOOKUP(I944,$B$2:$B$1096,$A$2:$A$1096,65535)</f>
        <v>65535</v>
      </c>
      <c r="J944">
        <f t="shared" ref="J944:K944" si="1575">C944-C980</f>
        <v>99</v>
      </c>
      <c r="K944">
        <f t="shared" si="1575"/>
        <v>-7</v>
      </c>
      <c r="L944">
        <f t="shared" ref="L944:N944" si="1576">E944+E980</f>
        <v>0</v>
      </c>
      <c r="M944">
        <f t="shared" si="1576"/>
        <v>0</v>
      </c>
      <c r="N944">
        <f t="shared" si="1576"/>
        <v>0</v>
      </c>
      <c r="P944" t="str">
        <f t="shared" si="1538"/>
        <v>0, 0, 0, 0</v>
      </c>
    </row>
    <row r="945" spans="1:16" x14ac:dyDescent="0.2">
      <c r="A945">
        <f t="shared" si="1507"/>
        <v>943</v>
      </c>
      <c r="B945" s="1" t="s">
        <v>846</v>
      </c>
      <c r="C945">
        <v>105</v>
      </c>
      <c r="D945">
        <v>0</v>
      </c>
      <c r="E945">
        <v>0</v>
      </c>
      <c r="F945">
        <v>0</v>
      </c>
      <c r="G945">
        <v>0</v>
      </c>
      <c r="H945">
        <f>_xlfn.XLOOKUP(I945,$B$2:$B$1096,$A$2:$A$1096,65535)</f>
        <v>65535</v>
      </c>
      <c r="J945">
        <f t="shared" ref="J945:K945" si="1577">C945-C981</f>
        <v>99</v>
      </c>
      <c r="K945">
        <f t="shared" si="1577"/>
        <v>-11</v>
      </c>
      <c r="L945">
        <f t="shared" ref="L945:N945" si="1578">E945+E981</f>
        <v>0</v>
      </c>
      <c r="M945">
        <f t="shared" si="1578"/>
        <v>0</v>
      </c>
      <c r="N945">
        <f t="shared" si="1578"/>
        <v>0</v>
      </c>
      <c r="P945" t="str">
        <f t="shared" si="1538"/>
        <v>0, 0, 0, 0</v>
      </c>
    </row>
    <row r="946" spans="1:16" x14ac:dyDescent="0.2">
      <c r="A946">
        <f t="shared" si="1507"/>
        <v>944</v>
      </c>
      <c r="B946" s="1" t="s">
        <v>847</v>
      </c>
      <c r="C946">
        <v>106</v>
      </c>
      <c r="D946">
        <v>0</v>
      </c>
      <c r="E946">
        <v>0</v>
      </c>
      <c r="F946">
        <v>0</v>
      </c>
      <c r="G946">
        <v>0</v>
      </c>
      <c r="H946">
        <f>_xlfn.XLOOKUP(I946,$B$2:$B$1096,$A$2:$A$1096,65535)</f>
        <v>65535</v>
      </c>
      <c r="J946">
        <f t="shared" ref="J946:K946" si="1579">C946-C982</f>
        <v>99</v>
      </c>
      <c r="K946">
        <f t="shared" si="1579"/>
        <v>-15</v>
      </c>
      <c r="L946">
        <f t="shared" ref="L946:N946" si="1580">E946+E982</f>
        <v>0</v>
      </c>
      <c r="M946">
        <f t="shared" si="1580"/>
        <v>0</v>
      </c>
      <c r="N946">
        <f t="shared" si="1580"/>
        <v>0</v>
      </c>
      <c r="P946" t="str">
        <f t="shared" si="1538"/>
        <v>0, 0, 0, 0</v>
      </c>
    </row>
    <row r="947" spans="1:16" x14ac:dyDescent="0.2">
      <c r="A947">
        <f t="shared" si="1507"/>
        <v>945</v>
      </c>
      <c r="B947" s="1" t="s">
        <v>848</v>
      </c>
      <c r="C947">
        <v>107</v>
      </c>
      <c r="D947">
        <v>0</v>
      </c>
      <c r="E947">
        <v>0</v>
      </c>
      <c r="F947">
        <v>0</v>
      </c>
      <c r="G947">
        <v>0</v>
      </c>
      <c r="H947">
        <f>_xlfn.XLOOKUP(I947,$B$2:$B$1096,$A$2:$A$1096,65535)</f>
        <v>65535</v>
      </c>
      <c r="J947">
        <f t="shared" ref="J947:K947" si="1581">C947-C983</f>
        <v>107</v>
      </c>
      <c r="K947">
        <f t="shared" si="1581"/>
        <v>0</v>
      </c>
      <c r="L947">
        <f t="shared" ref="L947:N947" si="1582">E947+E983</f>
        <v>0</v>
      </c>
      <c r="M947">
        <f t="shared" si="1582"/>
        <v>0</v>
      </c>
      <c r="N947">
        <f t="shared" si="1582"/>
        <v>0</v>
      </c>
      <c r="P947" t="str">
        <f t="shared" si="1538"/>
        <v>0, 0, 0, 0</v>
      </c>
    </row>
    <row r="948" spans="1:16" x14ac:dyDescent="0.2">
      <c r="A948">
        <f t="shared" si="1507"/>
        <v>946</v>
      </c>
      <c r="B948" s="1" t="s">
        <v>582</v>
      </c>
      <c r="C948">
        <v>28</v>
      </c>
      <c r="D948">
        <v>0</v>
      </c>
      <c r="E948">
        <v>0</v>
      </c>
      <c r="F948">
        <v>0</v>
      </c>
      <c r="G948">
        <v>0</v>
      </c>
      <c r="H948">
        <f>_xlfn.XLOOKUP(I948,$B$2:$B$1096,$A$2:$A$1096,65535)</f>
        <v>65535</v>
      </c>
      <c r="J948">
        <f t="shared" ref="J948:K948" si="1583">C948-C984</f>
        <v>27</v>
      </c>
      <c r="K948">
        <f t="shared" si="1583"/>
        <v>0</v>
      </c>
      <c r="L948">
        <f t="shared" ref="L948:N948" si="1584">E948+E984</f>
        <v>0</v>
      </c>
      <c r="M948">
        <f t="shared" si="1584"/>
        <v>0</v>
      </c>
      <c r="N948">
        <f t="shared" si="1584"/>
        <v>0</v>
      </c>
      <c r="P948" t="str">
        <f t="shared" si="1538"/>
        <v>0, 0, 0, 0</v>
      </c>
    </row>
    <row r="949" spans="1:16" x14ac:dyDescent="0.2">
      <c r="A949">
        <f t="shared" si="1507"/>
        <v>947</v>
      </c>
      <c r="B949" s="1" t="s">
        <v>585</v>
      </c>
      <c r="C949">
        <v>29</v>
      </c>
      <c r="D949">
        <v>0</v>
      </c>
      <c r="E949">
        <v>0</v>
      </c>
      <c r="F949">
        <v>0</v>
      </c>
      <c r="G949">
        <v>0</v>
      </c>
      <c r="H949">
        <f>_xlfn.XLOOKUP(I949,$B$2:$B$1096,$A$2:$A$1096,65535)</f>
        <v>65535</v>
      </c>
      <c r="J949">
        <f t="shared" ref="J949:K949" si="1585">C949-C985</f>
        <v>27</v>
      </c>
      <c r="K949">
        <f t="shared" si="1585"/>
        <v>0</v>
      </c>
      <c r="L949">
        <f t="shared" ref="L949:N949" si="1586">E949+E985</f>
        <v>0</v>
      </c>
      <c r="M949">
        <f t="shared" si="1586"/>
        <v>0</v>
      </c>
      <c r="N949">
        <f t="shared" si="1586"/>
        <v>0</v>
      </c>
      <c r="P949" t="str">
        <f t="shared" si="1538"/>
        <v>0, 0, 0, 0</v>
      </c>
    </row>
    <row r="950" spans="1:16" x14ac:dyDescent="0.2">
      <c r="A950">
        <f t="shared" si="1507"/>
        <v>948</v>
      </c>
      <c r="B950" s="1" t="s">
        <v>584</v>
      </c>
      <c r="C950">
        <v>30</v>
      </c>
      <c r="D950">
        <v>0</v>
      </c>
      <c r="E950">
        <v>0</v>
      </c>
      <c r="F950">
        <v>0</v>
      </c>
      <c r="G950">
        <v>0</v>
      </c>
      <c r="H950">
        <f>_xlfn.XLOOKUP(I950,$B$2:$B$1096,$A$2:$A$1096,65535)</f>
        <v>65535</v>
      </c>
      <c r="J950">
        <f t="shared" ref="J950:K950" si="1587">C950-C986</f>
        <v>27</v>
      </c>
      <c r="K950">
        <f t="shared" si="1587"/>
        <v>0</v>
      </c>
      <c r="L950">
        <f t="shared" ref="L950:N950" si="1588">E950+E986</f>
        <v>0</v>
      </c>
      <c r="M950">
        <f t="shared" si="1588"/>
        <v>0</v>
      </c>
      <c r="N950">
        <f t="shared" si="1588"/>
        <v>0</v>
      </c>
      <c r="P950" t="str">
        <f t="shared" si="1538"/>
        <v>0, 0, 0, 0</v>
      </c>
    </row>
    <row r="951" spans="1:16" x14ac:dyDescent="0.2">
      <c r="A951">
        <f t="shared" si="1507"/>
        <v>949</v>
      </c>
      <c r="B951" s="1" t="s">
        <v>583</v>
      </c>
      <c r="C951">
        <v>31</v>
      </c>
      <c r="D951">
        <v>0</v>
      </c>
      <c r="E951">
        <v>0</v>
      </c>
      <c r="F951">
        <v>0</v>
      </c>
      <c r="G951">
        <v>0</v>
      </c>
      <c r="H951">
        <f>_xlfn.XLOOKUP(I951,$B$2:$B$1096,$A$2:$A$1096,65535)</f>
        <v>65535</v>
      </c>
      <c r="J951">
        <f t="shared" ref="J951:K951" si="1589">C951-C987</f>
        <v>15</v>
      </c>
      <c r="K951">
        <f t="shared" si="1589"/>
        <v>0</v>
      </c>
      <c r="L951">
        <f t="shared" ref="L951:N951" si="1590">E951+E987</f>
        <v>0</v>
      </c>
      <c r="M951">
        <f t="shared" si="1590"/>
        <v>0</v>
      </c>
      <c r="N951">
        <f t="shared" si="1590"/>
        <v>0</v>
      </c>
      <c r="P951" t="str">
        <f t="shared" si="1538"/>
        <v>0, 0, 0, 0</v>
      </c>
    </row>
    <row r="952" spans="1:16" x14ac:dyDescent="0.2">
      <c r="A952">
        <f t="shared" si="1507"/>
        <v>950</v>
      </c>
      <c r="B952" s="1" t="s">
        <v>745</v>
      </c>
      <c r="C952">
        <v>116</v>
      </c>
      <c r="D952">
        <v>0</v>
      </c>
      <c r="E952">
        <v>0</v>
      </c>
      <c r="F952">
        <v>0</v>
      </c>
      <c r="G952">
        <v>0</v>
      </c>
      <c r="H952">
        <f>_xlfn.XLOOKUP(I952,$B$2:$B$1096,$A$2:$A$1096,65535)</f>
        <v>65535</v>
      </c>
      <c r="J952">
        <f t="shared" ref="J952:K952" si="1591">C952-C988</f>
        <v>99</v>
      </c>
      <c r="K952">
        <f t="shared" si="1591"/>
        <v>0</v>
      </c>
      <c r="L952">
        <f t="shared" ref="L952:N952" si="1592">E952+E988</f>
        <v>0</v>
      </c>
      <c r="M952">
        <f t="shared" si="1592"/>
        <v>0</v>
      </c>
      <c r="N952">
        <f t="shared" si="1592"/>
        <v>0</v>
      </c>
      <c r="P952" t="str">
        <f t="shared" si="1538"/>
        <v>0, 0, 0, 0</v>
      </c>
    </row>
    <row r="953" spans="1:16" x14ac:dyDescent="0.2">
      <c r="A953">
        <f t="shared" si="1507"/>
        <v>951</v>
      </c>
      <c r="B953" s="1" t="s">
        <v>746</v>
      </c>
      <c r="C953">
        <v>117</v>
      </c>
      <c r="D953">
        <v>0</v>
      </c>
      <c r="E953">
        <v>0</v>
      </c>
      <c r="F953">
        <v>0</v>
      </c>
      <c r="G953">
        <v>0</v>
      </c>
      <c r="H953">
        <f>_xlfn.XLOOKUP(I953,$B$2:$B$1096,$A$2:$A$1096,65535)</f>
        <v>65535</v>
      </c>
      <c r="J953">
        <f t="shared" ref="J953:K953" si="1593">C953-C989</f>
        <v>99</v>
      </c>
      <c r="K953">
        <f t="shared" si="1593"/>
        <v>0</v>
      </c>
      <c r="L953">
        <f t="shared" ref="L953:N953" si="1594">E953+E989</f>
        <v>0</v>
      </c>
      <c r="M953">
        <f t="shared" si="1594"/>
        <v>0</v>
      </c>
      <c r="N953">
        <f t="shared" si="1594"/>
        <v>0</v>
      </c>
      <c r="P953" t="str">
        <f t="shared" si="1538"/>
        <v>0, 0, 0, 0</v>
      </c>
    </row>
    <row r="954" spans="1:16" x14ac:dyDescent="0.2">
      <c r="A954">
        <f t="shared" si="1507"/>
        <v>952</v>
      </c>
      <c r="B954" s="1" t="s">
        <v>747</v>
      </c>
      <c r="C954">
        <v>118</v>
      </c>
      <c r="D954">
        <v>0</v>
      </c>
      <c r="E954">
        <v>0</v>
      </c>
      <c r="F954">
        <v>0</v>
      </c>
      <c r="G954">
        <v>0</v>
      </c>
      <c r="H954">
        <f>_xlfn.XLOOKUP(I954,$B$2:$B$1096,$A$2:$A$1096,65535)</f>
        <v>65535</v>
      </c>
      <c r="J954">
        <f t="shared" ref="J954:K954" si="1595">C954-C990</f>
        <v>99</v>
      </c>
      <c r="K954">
        <f t="shared" si="1595"/>
        <v>0</v>
      </c>
      <c r="L954">
        <f t="shared" ref="L954:N954" si="1596">E954+E990</f>
        <v>0</v>
      </c>
      <c r="M954">
        <f t="shared" si="1596"/>
        <v>0</v>
      </c>
      <c r="N954">
        <f t="shared" si="1596"/>
        <v>0</v>
      </c>
      <c r="P954" t="str">
        <f t="shared" si="1538"/>
        <v>0, 0, 0, 0</v>
      </c>
    </row>
    <row r="955" spans="1:16" x14ac:dyDescent="0.2">
      <c r="A955">
        <f t="shared" si="1507"/>
        <v>953</v>
      </c>
      <c r="B955" s="1" t="s">
        <v>748</v>
      </c>
      <c r="C955">
        <v>119</v>
      </c>
      <c r="D955">
        <v>0</v>
      </c>
      <c r="E955">
        <v>0</v>
      </c>
      <c r="F955">
        <v>0</v>
      </c>
      <c r="G955">
        <v>0</v>
      </c>
      <c r="H955">
        <f>_xlfn.XLOOKUP(I955,$B$2:$B$1096,$A$2:$A$1096,65535)</f>
        <v>65535</v>
      </c>
      <c r="J955">
        <f t="shared" ref="J955:K955" si="1597">C955-C991</f>
        <v>103</v>
      </c>
      <c r="K955">
        <f t="shared" si="1597"/>
        <v>0</v>
      </c>
      <c r="L955">
        <f t="shared" ref="L955:N955" si="1598">E955+E991</f>
        <v>0</v>
      </c>
      <c r="M955">
        <f t="shared" si="1598"/>
        <v>0</v>
      </c>
      <c r="N955">
        <f t="shared" si="1598"/>
        <v>0</v>
      </c>
      <c r="P955" t="str">
        <f t="shared" si="1538"/>
        <v>0, 0, 0, 0</v>
      </c>
    </row>
    <row r="956" spans="1:16" x14ac:dyDescent="0.2">
      <c r="A956">
        <f t="shared" si="1507"/>
        <v>954</v>
      </c>
      <c r="B956" s="1" t="s">
        <v>749</v>
      </c>
      <c r="C956">
        <v>28</v>
      </c>
      <c r="D956">
        <v>0</v>
      </c>
      <c r="E956">
        <v>0</v>
      </c>
      <c r="F956">
        <v>0</v>
      </c>
      <c r="G956">
        <v>0</v>
      </c>
      <c r="H956">
        <f>_xlfn.XLOOKUP(I956,$B$2:$B$1096,$A$2:$A$1096,65535)</f>
        <v>65535</v>
      </c>
      <c r="J956">
        <f t="shared" ref="J956:K956" si="1599">C956-C992</f>
        <v>8</v>
      </c>
      <c r="K956">
        <f t="shared" si="1599"/>
        <v>0</v>
      </c>
      <c r="L956">
        <f t="shared" ref="L956:N956" si="1600">E956+E992</f>
        <v>0</v>
      </c>
      <c r="M956">
        <f t="shared" si="1600"/>
        <v>0</v>
      </c>
      <c r="N956">
        <f t="shared" si="1600"/>
        <v>0</v>
      </c>
      <c r="P956" t="str">
        <f t="shared" si="1538"/>
        <v>0, 0, 0, 0</v>
      </c>
    </row>
    <row r="957" spans="1:16" x14ac:dyDescent="0.2">
      <c r="A957">
        <f t="shared" si="1507"/>
        <v>955</v>
      </c>
      <c r="B957" s="1" t="s">
        <v>750</v>
      </c>
      <c r="C957">
        <v>29</v>
      </c>
      <c r="D957">
        <v>0</v>
      </c>
      <c r="E957">
        <v>0</v>
      </c>
      <c r="F957">
        <v>0</v>
      </c>
      <c r="G957">
        <v>0</v>
      </c>
      <c r="H957">
        <f>_xlfn.XLOOKUP(I957,$B$2:$B$1096,$A$2:$A$1096,65535)</f>
        <v>65535</v>
      </c>
      <c r="J957">
        <f t="shared" ref="J957:K957" si="1601">C957-C993</f>
        <v>9</v>
      </c>
      <c r="K957">
        <f t="shared" si="1601"/>
        <v>0</v>
      </c>
      <c r="L957">
        <f t="shared" ref="L957:N957" si="1602">E957+E993</f>
        <v>0</v>
      </c>
      <c r="M957">
        <f t="shared" si="1602"/>
        <v>0</v>
      </c>
      <c r="N957">
        <f t="shared" si="1602"/>
        <v>0</v>
      </c>
      <c r="P957" t="str">
        <f t="shared" si="1538"/>
        <v>0, 0, 0, 0</v>
      </c>
    </row>
    <row r="958" spans="1:16" x14ac:dyDescent="0.2">
      <c r="A958">
        <f t="shared" si="1507"/>
        <v>956</v>
      </c>
      <c r="B958" s="1" t="s">
        <v>751</v>
      </c>
      <c r="C958">
        <v>30</v>
      </c>
      <c r="D958">
        <v>0</v>
      </c>
      <c r="E958">
        <v>0</v>
      </c>
      <c r="F958">
        <v>0</v>
      </c>
      <c r="G958">
        <v>0</v>
      </c>
      <c r="H958">
        <f>_xlfn.XLOOKUP(I958,$B$2:$B$1096,$A$2:$A$1096,65535)</f>
        <v>65535</v>
      </c>
      <c r="J958">
        <f t="shared" ref="J958:K958" si="1603">C958-C994</f>
        <v>9</v>
      </c>
      <c r="K958">
        <f t="shared" si="1603"/>
        <v>0</v>
      </c>
      <c r="L958">
        <f t="shared" ref="L958:N958" si="1604">E958+E994</f>
        <v>0</v>
      </c>
      <c r="M958">
        <f t="shared" si="1604"/>
        <v>0</v>
      </c>
      <c r="N958">
        <f t="shared" si="1604"/>
        <v>0</v>
      </c>
      <c r="P958" t="str">
        <f t="shared" si="1538"/>
        <v>0, 0, 0, 0</v>
      </c>
    </row>
    <row r="959" spans="1:16" x14ac:dyDescent="0.2">
      <c r="A959">
        <f t="shared" si="1507"/>
        <v>957</v>
      </c>
      <c r="B959" s="1" t="s">
        <v>752</v>
      </c>
      <c r="C959">
        <v>31</v>
      </c>
      <c r="D959">
        <v>0</v>
      </c>
      <c r="E959">
        <v>0</v>
      </c>
      <c r="F959">
        <v>0</v>
      </c>
      <c r="G959">
        <v>0</v>
      </c>
      <c r="H959">
        <f>_xlfn.XLOOKUP(I959,$B$2:$B$1096,$A$2:$A$1096,65535)</f>
        <v>65535</v>
      </c>
      <c r="J959">
        <f t="shared" ref="J959:K959" si="1605">C959-C995</f>
        <v>9</v>
      </c>
      <c r="K959">
        <f t="shared" si="1605"/>
        <v>0</v>
      </c>
      <c r="L959">
        <f t="shared" ref="L959:N959" si="1606">E959+E995</f>
        <v>0</v>
      </c>
      <c r="M959">
        <f t="shared" si="1606"/>
        <v>0</v>
      </c>
      <c r="N959">
        <f t="shared" si="1606"/>
        <v>0</v>
      </c>
      <c r="P959" t="str">
        <f t="shared" si="1538"/>
        <v>0, 0, 0, 0</v>
      </c>
    </row>
    <row r="960" spans="1:16" x14ac:dyDescent="0.2">
      <c r="A960">
        <f t="shared" si="1507"/>
        <v>958</v>
      </c>
      <c r="B960" s="1" t="s">
        <v>909</v>
      </c>
      <c r="C960">
        <v>135</v>
      </c>
      <c r="D960">
        <v>-2</v>
      </c>
      <c r="E960">
        <v>0</v>
      </c>
      <c r="F960">
        <v>0</v>
      </c>
      <c r="G960">
        <v>0</v>
      </c>
      <c r="H960">
        <f>_xlfn.XLOOKUP(I960,$B$2:$B$1096,$A$2:$A$1096,65535)</f>
        <v>65535</v>
      </c>
      <c r="J960">
        <f t="shared" ref="J960:K960" si="1607">C960-C996</f>
        <v>113</v>
      </c>
      <c r="K960">
        <f t="shared" si="1607"/>
        <v>-2</v>
      </c>
      <c r="L960">
        <f t="shared" ref="L960:N960" si="1608">E960+E996</f>
        <v>0</v>
      </c>
      <c r="M960">
        <f t="shared" si="1608"/>
        <v>0</v>
      </c>
      <c r="N960">
        <f t="shared" si="1608"/>
        <v>0</v>
      </c>
      <c r="P960" t="str">
        <f t="shared" si="1538"/>
        <v>-2, 0, 0, 0</v>
      </c>
    </row>
    <row r="961" spans="1:16" x14ac:dyDescent="0.2">
      <c r="A961">
        <f t="shared" si="1507"/>
        <v>959</v>
      </c>
      <c r="B961" s="1" t="s">
        <v>908</v>
      </c>
      <c r="C961">
        <v>136</v>
      </c>
      <c r="D961">
        <v>-2</v>
      </c>
      <c r="E961">
        <v>0</v>
      </c>
      <c r="F961">
        <v>0</v>
      </c>
      <c r="G961">
        <v>0</v>
      </c>
      <c r="H961">
        <f>_xlfn.XLOOKUP(I961,$B$2:$B$1096,$A$2:$A$1096,65535)</f>
        <v>65535</v>
      </c>
      <c r="J961">
        <f t="shared" ref="J961:K961" si="1609">C961-C997</f>
        <v>114</v>
      </c>
      <c r="K961">
        <f t="shared" si="1609"/>
        <v>-2</v>
      </c>
      <c r="L961">
        <f t="shared" ref="L961:N961" si="1610">E961+E997</f>
        <v>0</v>
      </c>
      <c r="M961">
        <f t="shared" si="1610"/>
        <v>0</v>
      </c>
      <c r="N961">
        <f t="shared" si="1610"/>
        <v>0</v>
      </c>
      <c r="P961" t="str">
        <f t="shared" si="1538"/>
        <v>-2, 0, 0, 0</v>
      </c>
    </row>
    <row r="962" spans="1:16" x14ac:dyDescent="0.2">
      <c r="A962">
        <f t="shared" si="1507"/>
        <v>960</v>
      </c>
      <c r="B962" s="1" t="s">
        <v>910</v>
      </c>
      <c r="C962">
        <v>137</v>
      </c>
      <c r="D962">
        <v>-2</v>
      </c>
      <c r="E962">
        <v>0</v>
      </c>
      <c r="F962">
        <v>0</v>
      </c>
      <c r="G962">
        <v>0</v>
      </c>
      <c r="H962">
        <f>_xlfn.XLOOKUP(I962,$B$2:$B$1096,$A$2:$A$1096,65535)</f>
        <v>65535</v>
      </c>
      <c r="J962">
        <f t="shared" ref="J962:K962" si="1611">C962-C998</f>
        <v>117</v>
      </c>
      <c r="K962">
        <f t="shared" si="1611"/>
        <v>-2</v>
      </c>
      <c r="L962">
        <f t="shared" ref="L962:N962" si="1612">E962+E998</f>
        <v>0</v>
      </c>
      <c r="M962">
        <f t="shared" si="1612"/>
        <v>0</v>
      </c>
      <c r="N962">
        <f t="shared" si="1612"/>
        <v>0</v>
      </c>
      <c r="P962" t="str">
        <f t="shared" si="1538"/>
        <v>-2, 0, 0, 0</v>
      </c>
    </row>
    <row r="963" spans="1:16" x14ac:dyDescent="0.2">
      <c r="A963">
        <f t="shared" si="1507"/>
        <v>961</v>
      </c>
      <c r="B963" s="1" t="s">
        <v>911</v>
      </c>
      <c r="C963">
        <v>138</v>
      </c>
      <c r="D963">
        <v>-2</v>
      </c>
      <c r="E963">
        <v>0</v>
      </c>
      <c r="F963">
        <v>0</v>
      </c>
      <c r="G963">
        <v>0</v>
      </c>
      <c r="H963">
        <f>_xlfn.XLOOKUP(I963,$B$2:$B$1096,$A$2:$A$1096,65535)</f>
        <v>65535</v>
      </c>
      <c r="J963">
        <f t="shared" ref="J963:K963" si="1613">C963-C999</f>
        <v>118</v>
      </c>
      <c r="K963">
        <f t="shared" si="1613"/>
        <v>-2</v>
      </c>
      <c r="L963">
        <f t="shared" ref="L963:N963" si="1614">E963+E999</f>
        <v>0</v>
      </c>
      <c r="M963">
        <f t="shared" si="1614"/>
        <v>0</v>
      </c>
      <c r="N963">
        <f t="shared" si="1614"/>
        <v>0</v>
      </c>
      <c r="P963" t="str">
        <f t="shared" si="1538"/>
        <v>-2, 0, 0, 0</v>
      </c>
    </row>
    <row r="964" spans="1:16" x14ac:dyDescent="0.2">
      <c r="A964">
        <f t="shared" si="1507"/>
        <v>962</v>
      </c>
      <c r="B964" s="1" t="s">
        <v>912</v>
      </c>
      <c r="C964">
        <v>139</v>
      </c>
      <c r="D964">
        <v>0</v>
      </c>
      <c r="E964">
        <v>0</v>
      </c>
      <c r="F964">
        <v>0</v>
      </c>
      <c r="G964">
        <v>0</v>
      </c>
      <c r="H964">
        <f>_xlfn.XLOOKUP(I964,$B$2:$B$1096,$A$2:$A$1096,65535)</f>
        <v>65535</v>
      </c>
      <c r="J964">
        <f t="shared" ref="J964:K964" si="1615">C964-C1000</f>
        <v>119</v>
      </c>
      <c r="K964">
        <f t="shared" si="1615"/>
        <v>0</v>
      </c>
      <c r="L964">
        <f t="shared" ref="L964:N964" si="1616">E964+E1000</f>
        <v>0</v>
      </c>
      <c r="M964">
        <f t="shared" si="1616"/>
        <v>0</v>
      </c>
      <c r="N964">
        <f t="shared" si="1616"/>
        <v>0</v>
      </c>
      <c r="P964" t="str">
        <f t="shared" si="1538"/>
        <v>0, 0, 0, 0</v>
      </c>
    </row>
    <row r="965" spans="1:16" x14ac:dyDescent="0.2">
      <c r="A965">
        <f t="shared" si="1507"/>
        <v>963</v>
      </c>
      <c r="B965" s="1" t="s">
        <v>913</v>
      </c>
      <c r="C965">
        <v>140</v>
      </c>
      <c r="D965">
        <v>0</v>
      </c>
      <c r="E965">
        <v>0</v>
      </c>
      <c r="F965">
        <v>0</v>
      </c>
      <c r="G965">
        <v>0</v>
      </c>
      <c r="H965">
        <f>_xlfn.XLOOKUP(I965,$B$2:$B$1096,$A$2:$A$1096,65535)</f>
        <v>65535</v>
      </c>
      <c r="J965">
        <f t="shared" ref="J965:K965" si="1617">C965-C1001</f>
        <v>120</v>
      </c>
      <c r="K965">
        <f t="shared" si="1617"/>
        <v>0</v>
      </c>
      <c r="L965">
        <f t="shared" ref="L965:N965" si="1618">E965+E1001</f>
        <v>0</v>
      </c>
      <c r="M965">
        <f t="shared" si="1618"/>
        <v>0</v>
      </c>
      <c r="N965">
        <f t="shared" si="1618"/>
        <v>0</v>
      </c>
      <c r="P965" t="str">
        <f t="shared" si="1538"/>
        <v>0, 0, 0, 0</v>
      </c>
    </row>
    <row r="966" spans="1:16" x14ac:dyDescent="0.2">
      <c r="A966">
        <f t="shared" si="1507"/>
        <v>964</v>
      </c>
      <c r="B966" s="1" t="s">
        <v>914</v>
      </c>
      <c r="C966">
        <v>141</v>
      </c>
      <c r="D966">
        <v>0</v>
      </c>
      <c r="E966">
        <v>0</v>
      </c>
      <c r="F966">
        <v>0</v>
      </c>
      <c r="G966">
        <v>0</v>
      </c>
      <c r="H966">
        <f>_xlfn.XLOOKUP(I966,$B$2:$B$1096,$A$2:$A$1096,65535)</f>
        <v>65535</v>
      </c>
      <c r="J966">
        <f t="shared" ref="J966:K966" si="1619">C966-C1002</f>
        <v>121</v>
      </c>
      <c r="K966">
        <f t="shared" si="1619"/>
        <v>0</v>
      </c>
      <c r="L966">
        <f t="shared" ref="L966:N966" si="1620">E966+E1002</f>
        <v>0</v>
      </c>
      <c r="M966">
        <f t="shared" si="1620"/>
        <v>0</v>
      </c>
      <c r="N966">
        <f t="shared" si="1620"/>
        <v>0</v>
      </c>
      <c r="P966" t="str">
        <f t="shared" si="1538"/>
        <v>0, 0, 0, 0</v>
      </c>
    </row>
    <row r="967" spans="1:16" x14ac:dyDescent="0.2">
      <c r="A967">
        <f t="shared" si="1507"/>
        <v>965</v>
      </c>
      <c r="B967" s="1" t="s">
        <v>922</v>
      </c>
      <c r="C967">
        <v>135</v>
      </c>
      <c r="D967">
        <v>-2</v>
      </c>
      <c r="E967" s="10">
        <v>5</v>
      </c>
      <c r="F967" s="9">
        <v>2</v>
      </c>
      <c r="G967" s="10">
        <v>1</v>
      </c>
      <c r="H967">
        <f>_xlfn.XLOOKUP(I967,$B$2:$B$1096,$A$2:$A$1096,65535)</f>
        <v>65535</v>
      </c>
      <c r="J967">
        <f t="shared" ref="J967:K967" si="1621">C967-C1003</f>
        <v>119</v>
      </c>
      <c r="K967">
        <f t="shared" si="1621"/>
        <v>-2</v>
      </c>
      <c r="L967">
        <f t="shared" ref="L967:N967" si="1622">E967+E1003</f>
        <v>5</v>
      </c>
      <c r="M967">
        <f t="shared" si="1622"/>
        <v>2</v>
      </c>
      <c r="N967">
        <f t="shared" si="1622"/>
        <v>1</v>
      </c>
      <c r="P967" t="str">
        <f t="shared" si="1538"/>
        <v>-2, 5, 2, 1</v>
      </c>
    </row>
    <row r="968" spans="1:16" x14ac:dyDescent="0.2">
      <c r="A968">
        <f t="shared" si="1507"/>
        <v>966</v>
      </c>
      <c r="B968" s="1" t="s">
        <v>923</v>
      </c>
      <c r="C968">
        <v>136</v>
      </c>
      <c r="D968">
        <v>-2</v>
      </c>
      <c r="E968">
        <v>2</v>
      </c>
      <c r="F968">
        <v>1</v>
      </c>
      <c r="G968">
        <v>1</v>
      </c>
      <c r="H968">
        <f>_xlfn.XLOOKUP(I968,$B$2:$B$1096,$A$2:$A$1096,65535)</f>
        <v>65535</v>
      </c>
      <c r="J968">
        <f t="shared" ref="J968:K968" si="1623">C968-C1004</f>
        <v>135</v>
      </c>
      <c r="K968">
        <f t="shared" si="1623"/>
        <v>-2</v>
      </c>
      <c r="L968">
        <f t="shared" ref="L968:N968" si="1624">E968+E1004</f>
        <v>2</v>
      </c>
      <c r="M968">
        <f t="shared" si="1624"/>
        <v>1</v>
      </c>
      <c r="N968">
        <f t="shared" si="1624"/>
        <v>1</v>
      </c>
      <c r="P968" t="str">
        <f t="shared" si="1538"/>
        <v>-2, 2, 1, 1</v>
      </c>
    </row>
    <row r="969" spans="1:16" x14ac:dyDescent="0.2">
      <c r="A969">
        <f t="shared" si="1507"/>
        <v>967</v>
      </c>
      <c r="B969" s="1" t="s">
        <v>924</v>
      </c>
      <c r="C969">
        <v>137</v>
      </c>
      <c r="D969">
        <v>-2</v>
      </c>
      <c r="E969">
        <v>2</v>
      </c>
      <c r="F969">
        <v>0</v>
      </c>
      <c r="G969">
        <v>0</v>
      </c>
      <c r="H969">
        <f>_xlfn.XLOOKUP(I969,$B$2:$B$1096,$A$2:$A$1096,65535)</f>
        <v>65535</v>
      </c>
      <c r="J969">
        <f t="shared" ref="J969:K969" si="1625">C969-C1005</f>
        <v>137</v>
      </c>
      <c r="K969">
        <f t="shared" si="1625"/>
        <v>-2</v>
      </c>
      <c r="L969">
        <f t="shared" ref="L969:N969" si="1626">E969+E1005</f>
        <v>2</v>
      </c>
      <c r="M969">
        <f t="shared" si="1626"/>
        <v>0</v>
      </c>
      <c r="N969">
        <f t="shared" si="1626"/>
        <v>0</v>
      </c>
      <c r="P969" t="str">
        <f t="shared" si="1538"/>
        <v>-2, 2, 0, 0</v>
      </c>
    </row>
    <row r="970" spans="1:16" x14ac:dyDescent="0.2">
      <c r="A970">
        <f t="shared" si="1507"/>
        <v>968</v>
      </c>
      <c r="B970" s="1" t="s">
        <v>925</v>
      </c>
      <c r="C970">
        <v>138</v>
      </c>
      <c r="D970">
        <v>-2</v>
      </c>
      <c r="E970">
        <v>2</v>
      </c>
      <c r="F970">
        <v>1</v>
      </c>
      <c r="G970">
        <v>1</v>
      </c>
      <c r="H970">
        <f>_xlfn.XLOOKUP(I970,$B$2:$B$1096,$A$2:$A$1096,65535)</f>
        <v>65535</v>
      </c>
      <c r="J970">
        <f t="shared" ref="J970:K970" si="1627">C970-C1006</f>
        <v>138</v>
      </c>
      <c r="K970">
        <f t="shared" si="1627"/>
        <v>-2</v>
      </c>
      <c r="L970">
        <f t="shared" ref="L970:N970" si="1628">E970+E1006</f>
        <v>2</v>
      </c>
      <c r="M970">
        <f t="shared" si="1628"/>
        <v>1</v>
      </c>
      <c r="N970">
        <f t="shared" si="1628"/>
        <v>1</v>
      </c>
      <c r="P970" t="str">
        <f t="shared" si="1538"/>
        <v>-2, 2, 1, 1</v>
      </c>
    </row>
    <row r="971" spans="1:16" x14ac:dyDescent="0.2">
      <c r="A971">
        <f t="shared" si="1507"/>
        <v>969</v>
      </c>
      <c r="B971" s="1" t="s">
        <v>926</v>
      </c>
      <c r="C971">
        <v>139</v>
      </c>
      <c r="D971">
        <v>0</v>
      </c>
      <c r="E971">
        <v>2</v>
      </c>
      <c r="F971">
        <v>0</v>
      </c>
      <c r="G971">
        <v>0</v>
      </c>
      <c r="H971">
        <f>_xlfn.XLOOKUP(I971,$B$2:$B$1096,$A$2:$A$1096,65535)</f>
        <v>65535</v>
      </c>
      <c r="J971">
        <f t="shared" ref="J971:K971" si="1629">C971-C1007</f>
        <v>139</v>
      </c>
      <c r="K971">
        <f t="shared" si="1629"/>
        <v>0</v>
      </c>
      <c r="L971">
        <f t="shared" ref="L971:N971" si="1630">E971+E1007</f>
        <v>2</v>
      </c>
      <c r="M971">
        <f t="shared" si="1630"/>
        <v>0</v>
      </c>
      <c r="N971">
        <f t="shared" si="1630"/>
        <v>0</v>
      </c>
      <c r="P971" t="str">
        <f t="shared" si="1538"/>
        <v>0, 2, 0, 0</v>
      </c>
    </row>
    <row r="972" spans="1:16" x14ac:dyDescent="0.2">
      <c r="A972">
        <f t="shared" si="1507"/>
        <v>970</v>
      </c>
      <c r="B972" s="1" t="s">
        <v>927</v>
      </c>
      <c r="C972">
        <v>140</v>
      </c>
      <c r="D972">
        <v>0</v>
      </c>
      <c r="E972">
        <v>2</v>
      </c>
      <c r="F972">
        <v>1</v>
      </c>
      <c r="G972">
        <v>1</v>
      </c>
      <c r="H972">
        <f>_xlfn.XLOOKUP(I972,$B$2:$B$1096,$A$2:$A$1096,65535)</f>
        <v>65535</v>
      </c>
      <c r="J972">
        <f t="shared" ref="J972:K972" si="1631">C972-C1008</f>
        <v>140</v>
      </c>
      <c r="K972">
        <f t="shared" si="1631"/>
        <v>0</v>
      </c>
      <c r="L972">
        <f t="shared" ref="L972:N972" si="1632">E972+E1008</f>
        <v>2</v>
      </c>
      <c r="M972">
        <f t="shared" si="1632"/>
        <v>1</v>
      </c>
      <c r="N972">
        <f t="shared" si="1632"/>
        <v>1</v>
      </c>
      <c r="P972" t="str">
        <f t="shared" si="1538"/>
        <v>0, 2, 1, 1</v>
      </c>
    </row>
    <row r="973" spans="1:16" x14ac:dyDescent="0.2">
      <c r="A973">
        <f t="shared" si="1507"/>
        <v>971</v>
      </c>
      <c r="B973" s="1" t="s">
        <v>928</v>
      </c>
      <c r="C973">
        <v>141</v>
      </c>
      <c r="D973">
        <v>0</v>
      </c>
      <c r="E973">
        <v>0</v>
      </c>
      <c r="F973">
        <v>0</v>
      </c>
      <c r="G973">
        <v>0</v>
      </c>
      <c r="H973">
        <f>_xlfn.XLOOKUP(I973,$B$2:$B$1096,$A$2:$A$1096,65535)</f>
        <v>65535</v>
      </c>
      <c r="J973">
        <f t="shared" ref="J973:K973" si="1633">C973-C1009</f>
        <v>140</v>
      </c>
      <c r="K973">
        <f t="shared" si="1633"/>
        <v>0</v>
      </c>
      <c r="L973">
        <f t="shared" ref="L973:N973" si="1634">E973+E1009</f>
        <v>0</v>
      </c>
      <c r="M973">
        <f t="shared" si="1634"/>
        <v>0</v>
      </c>
      <c r="N973">
        <f t="shared" si="1634"/>
        <v>0</v>
      </c>
      <c r="P973" t="str">
        <f t="shared" si="1538"/>
        <v>0, 0, 0, 0</v>
      </c>
    </row>
    <row r="974" spans="1:16" ht="49" customHeight="1" x14ac:dyDescent="0.2">
      <c r="A974">
        <f t="shared" si="1507"/>
        <v>972</v>
      </c>
      <c r="B974" s="1" t="s">
        <v>149</v>
      </c>
      <c r="C974">
        <v>4</v>
      </c>
      <c r="D974">
        <v>-2</v>
      </c>
      <c r="E974">
        <v>0</v>
      </c>
      <c r="F974">
        <v>0</v>
      </c>
      <c r="G974">
        <v>0</v>
      </c>
      <c r="H974">
        <f>_xlfn.XLOOKUP(I974,$B$2:$B$1096,$A$2:$A$1096,65535)</f>
        <v>65535</v>
      </c>
      <c r="J974">
        <f t="shared" ref="J974:K974" si="1635">C974-C1010</f>
        <v>3</v>
      </c>
      <c r="K974">
        <f t="shared" si="1635"/>
        <v>-2</v>
      </c>
      <c r="L974">
        <f t="shared" ref="L974:N974" si="1636">E974+E1010</f>
        <v>0</v>
      </c>
      <c r="M974">
        <f t="shared" si="1636"/>
        <v>0</v>
      </c>
      <c r="N974">
        <f t="shared" si="1636"/>
        <v>0</v>
      </c>
      <c r="P974" t="str">
        <f t="shared" si="1538"/>
        <v>-2, 0, 0, 0</v>
      </c>
    </row>
    <row r="975" spans="1:16" x14ac:dyDescent="0.2">
      <c r="A975">
        <f t="shared" ref="A975:A1038" si="1637">A974+1</f>
        <v>973</v>
      </c>
      <c r="B975" s="1" t="s">
        <v>150</v>
      </c>
      <c r="C975">
        <v>5</v>
      </c>
      <c r="D975">
        <v>-1</v>
      </c>
      <c r="E975">
        <v>0</v>
      </c>
      <c r="F975">
        <v>0</v>
      </c>
      <c r="G975">
        <v>0</v>
      </c>
      <c r="H975">
        <f>_xlfn.XLOOKUP(I975,$B$2:$B$1096,$A$2:$A$1096,65535)</f>
        <v>65535</v>
      </c>
      <c r="J975">
        <f t="shared" ref="J975:K975" si="1638">C975-C1011</f>
        <v>4</v>
      </c>
      <c r="K975">
        <f t="shared" si="1638"/>
        <v>-1</v>
      </c>
      <c r="L975">
        <f t="shared" ref="L975:N975" si="1639">E975+E1011</f>
        <v>0</v>
      </c>
      <c r="M975">
        <f t="shared" si="1639"/>
        <v>0</v>
      </c>
      <c r="N975">
        <f t="shared" si="1639"/>
        <v>0</v>
      </c>
      <c r="P975" t="str">
        <f t="shared" si="1538"/>
        <v>-1, 0, 0, 0</v>
      </c>
    </row>
    <row r="976" spans="1:16" x14ac:dyDescent="0.2">
      <c r="A976">
        <f t="shared" si="1637"/>
        <v>974</v>
      </c>
      <c r="B976" s="1" t="s">
        <v>151</v>
      </c>
      <c r="C976">
        <v>5</v>
      </c>
      <c r="D976">
        <v>0</v>
      </c>
      <c r="E976">
        <v>0</v>
      </c>
      <c r="F976">
        <v>0</v>
      </c>
      <c r="G976">
        <v>0</v>
      </c>
      <c r="H976">
        <f>_xlfn.XLOOKUP(I976,$B$2:$B$1096,$A$2:$A$1096,65535)</f>
        <v>65535</v>
      </c>
      <c r="J976">
        <f t="shared" ref="J976:K976" si="1640">C976-C1012</f>
        <v>4</v>
      </c>
      <c r="K976">
        <f t="shared" si="1640"/>
        <v>0</v>
      </c>
      <c r="L976">
        <f t="shared" ref="L976:N976" si="1641">E976+E1012</f>
        <v>0</v>
      </c>
      <c r="M976">
        <f t="shared" si="1641"/>
        <v>0</v>
      </c>
      <c r="N976">
        <f t="shared" si="1641"/>
        <v>0</v>
      </c>
      <c r="P976" t="str">
        <f t="shared" si="1538"/>
        <v>0, 0, 0, 0</v>
      </c>
    </row>
    <row r="977" spans="1:16" x14ac:dyDescent="0.2">
      <c r="A977">
        <f t="shared" si="1637"/>
        <v>975</v>
      </c>
      <c r="B977" s="1" t="s">
        <v>152</v>
      </c>
      <c r="C977">
        <v>5</v>
      </c>
      <c r="D977">
        <v>1</v>
      </c>
      <c r="E977">
        <v>0</v>
      </c>
      <c r="F977">
        <v>0</v>
      </c>
      <c r="G977">
        <v>0</v>
      </c>
      <c r="H977">
        <f>_xlfn.XLOOKUP(I977,$B$2:$B$1096,$A$2:$A$1096,65535)</f>
        <v>65535</v>
      </c>
      <c r="J977">
        <f t="shared" ref="J977:K977" si="1642">C977-C1013</f>
        <v>4</v>
      </c>
      <c r="K977">
        <f t="shared" si="1642"/>
        <v>1</v>
      </c>
      <c r="L977">
        <f t="shared" ref="L977:N977" si="1643">E977+E1013</f>
        <v>0</v>
      </c>
      <c r="M977">
        <f t="shared" si="1643"/>
        <v>0</v>
      </c>
      <c r="N977">
        <f t="shared" si="1643"/>
        <v>0</v>
      </c>
      <c r="P977" t="str">
        <f t="shared" si="1538"/>
        <v>1, 0, 0, 0</v>
      </c>
    </row>
    <row r="978" spans="1:16" x14ac:dyDescent="0.2">
      <c r="A978">
        <f t="shared" si="1637"/>
        <v>976</v>
      </c>
      <c r="B978" s="1" t="s">
        <v>153</v>
      </c>
      <c r="C978">
        <v>5</v>
      </c>
      <c r="D978">
        <v>2</v>
      </c>
      <c r="E978">
        <v>0</v>
      </c>
      <c r="F978">
        <v>0</v>
      </c>
      <c r="G978">
        <v>0</v>
      </c>
      <c r="H978">
        <f>_xlfn.XLOOKUP(I978,$B$2:$B$1096,$A$2:$A$1096,65535)</f>
        <v>65535</v>
      </c>
      <c r="J978">
        <f t="shared" ref="J978:K978" si="1644">C978-C1014</f>
        <v>4</v>
      </c>
      <c r="K978">
        <f t="shared" si="1644"/>
        <v>2</v>
      </c>
      <c r="L978">
        <f t="shared" ref="L978:N978" si="1645">E978+E1014</f>
        <v>0</v>
      </c>
      <c r="M978">
        <f t="shared" si="1645"/>
        <v>0</v>
      </c>
      <c r="N978">
        <f t="shared" si="1645"/>
        <v>0</v>
      </c>
      <c r="P978" t="str">
        <f t="shared" si="1538"/>
        <v>2, 0, 0, 0</v>
      </c>
    </row>
    <row r="979" spans="1:16" x14ac:dyDescent="0.2">
      <c r="A979">
        <f t="shared" si="1637"/>
        <v>977</v>
      </c>
      <c r="B979" s="1" t="s">
        <v>154</v>
      </c>
      <c r="C979">
        <v>5</v>
      </c>
      <c r="D979">
        <v>4</v>
      </c>
      <c r="E979">
        <v>0</v>
      </c>
      <c r="F979">
        <v>0</v>
      </c>
      <c r="G979">
        <v>0</v>
      </c>
      <c r="H979">
        <f>_xlfn.XLOOKUP(I979,$B$2:$B$1096,$A$2:$A$1096,65535)</f>
        <v>65535</v>
      </c>
      <c r="J979">
        <f t="shared" ref="J979:K979" si="1646">C979-C1015</f>
        <v>4</v>
      </c>
      <c r="K979">
        <f t="shared" si="1646"/>
        <v>4</v>
      </c>
      <c r="L979">
        <f t="shared" ref="L979:N979" si="1647">E979+E1015</f>
        <v>0</v>
      </c>
      <c r="M979">
        <f t="shared" si="1647"/>
        <v>0</v>
      </c>
      <c r="N979">
        <f t="shared" si="1647"/>
        <v>0</v>
      </c>
      <c r="P979" t="str">
        <f t="shared" si="1538"/>
        <v>4, 0, 0, 0</v>
      </c>
    </row>
    <row r="980" spans="1:16" x14ac:dyDescent="0.2">
      <c r="A980">
        <f t="shared" si="1637"/>
        <v>978</v>
      </c>
      <c r="B980" s="1" t="s">
        <v>155</v>
      </c>
      <c r="C980">
        <v>5</v>
      </c>
      <c r="D980">
        <v>7</v>
      </c>
      <c r="E980">
        <v>0</v>
      </c>
      <c r="F980">
        <v>0</v>
      </c>
      <c r="G980">
        <v>0</v>
      </c>
      <c r="H980">
        <f>_xlfn.XLOOKUP(I980,$B$2:$B$1096,$A$2:$A$1096,65535)</f>
        <v>65535</v>
      </c>
      <c r="J980">
        <f t="shared" ref="J980:K980" si="1648">C980-C1016</f>
        <v>4</v>
      </c>
      <c r="K980">
        <f t="shared" si="1648"/>
        <v>7</v>
      </c>
      <c r="L980">
        <f t="shared" ref="L980:N980" si="1649">E980+E1016</f>
        <v>0</v>
      </c>
      <c r="M980">
        <f t="shared" si="1649"/>
        <v>0</v>
      </c>
      <c r="N980">
        <f t="shared" si="1649"/>
        <v>0</v>
      </c>
      <c r="P980" t="str">
        <f t="shared" si="1538"/>
        <v>7, 0, 0, 0</v>
      </c>
    </row>
    <row r="981" spans="1:16" x14ac:dyDescent="0.2">
      <c r="A981">
        <f t="shared" si="1637"/>
        <v>979</v>
      </c>
      <c r="B981" s="1" t="s">
        <v>156</v>
      </c>
      <c r="C981">
        <v>6</v>
      </c>
      <c r="D981">
        <v>11</v>
      </c>
      <c r="E981">
        <v>0</v>
      </c>
      <c r="F981">
        <v>0</v>
      </c>
      <c r="G981">
        <v>0</v>
      </c>
      <c r="H981">
        <f>_xlfn.XLOOKUP(I981,$B$2:$B$1096,$A$2:$A$1096,65535)</f>
        <v>65535</v>
      </c>
      <c r="J981">
        <f t="shared" ref="J981:K981" si="1650">C981-C1017</f>
        <v>5</v>
      </c>
      <c r="K981">
        <f t="shared" si="1650"/>
        <v>11</v>
      </c>
      <c r="L981">
        <f t="shared" ref="L981:N981" si="1651">E981+E1017</f>
        <v>0</v>
      </c>
      <c r="M981">
        <f t="shared" si="1651"/>
        <v>0</v>
      </c>
      <c r="N981">
        <f t="shared" si="1651"/>
        <v>0</v>
      </c>
      <c r="P981" t="str">
        <f t="shared" si="1538"/>
        <v>11, 0, 0, 0</v>
      </c>
    </row>
    <row r="982" spans="1:16" x14ac:dyDescent="0.2">
      <c r="A982">
        <f t="shared" si="1637"/>
        <v>980</v>
      </c>
      <c r="B982" s="1" t="s">
        <v>157</v>
      </c>
      <c r="C982">
        <v>7</v>
      </c>
      <c r="D982">
        <v>15</v>
      </c>
      <c r="E982">
        <v>0</v>
      </c>
      <c r="F982">
        <v>0</v>
      </c>
      <c r="G982">
        <v>0</v>
      </c>
      <c r="H982">
        <f>_xlfn.XLOOKUP(I982,$B$2:$B$1096,$A$2:$A$1096,65535)</f>
        <v>65535</v>
      </c>
      <c r="J982">
        <f t="shared" ref="J982:K982" si="1652">C982-C1018</f>
        <v>3</v>
      </c>
      <c r="K982">
        <f t="shared" si="1652"/>
        <v>15</v>
      </c>
      <c r="L982">
        <f t="shared" ref="L982:N982" si="1653">E982+E1018</f>
        <v>0</v>
      </c>
      <c r="M982">
        <f t="shared" si="1653"/>
        <v>0</v>
      </c>
      <c r="N982">
        <f t="shared" si="1653"/>
        <v>0</v>
      </c>
      <c r="P982" t="str">
        <f t="shared" si="1538"/>
        <v>15, 0, 0, 0</v>
      </c>
    </row>
    <row r="983" spans="1:16" ht="38" customHeight="1" x14ac:dyDescent="0.2">
      <c r="A983">
        <f t="shared" si="1637"/>
        <v>981</v>
      </c>
      <c r="B983" s="1" t="s">
        <v>626</v>
      </c>
      <c r="C983">
        <v>0</v>
      </c>
      <c r="D983">
        <v>0</v>
      </c>
      <c r="E983">
        <v>0</v>
      </c>
      <c r="F983">
        <v>0</v>
      </c>
      <c r="G983">
        <v>0</v>
      </c>
      <c r="H983">
        <f>_xlfn.XLOOKUP(I983,$B$2:$B$1096,$A$2:$A$1096,65535)</f>
        <v>65535</v>
      </c>
      <c r="J983">
        <f t="shared" ref="J983:K983" si="1654">C983-C1019</f>
        <v>-5</v>
      </c>
      <c r="K983">
        <f t="shared" si="1654"/>
        <v>0</v>
      </c>
      <c r="L983">
        <f t="shared" ref="L983:N983" si="1655">E983+E1019</f>
        <v>0</v>
      </c>
      <c r="M983">
        <f t="shared" si="1655"/>
        <v>0</v>
      </c>
      <c r="N983">
        <f t="shared" si="1655"/>
        <v>0</v>
      </c>
      <c r="P983" t="str">
        <f t="shared" si="1538"/>
        <v>0, 0, 0, 0</v>
      </c>
    </row>
    <row r="984" spans="1:16" ht="16" customHeight="1" x14ac:dyDescent="0.2">
      <c r="A984">
        <f t="shared" si="1637"/>
        <v>982</v>
      </c>
      <c r="B984" s="1" t="s">
        <v>628</v>
      </c>
      <c r="C984">
        <v>1</v>
      </c>
      <c r="D984">
        <v>0</v>
      </c>
      <c r="E984">
        <v>0</v>
      </c>
      <c r="F984">
        <v>0</v>
      </c>
      <c r="G984">
        <v>0</v>
      </c>
      <c r="H984">
        <f>_xlfn.XLOOKUP(I984,$B$2:$B$1096,$A$2:$A$1096,65535)</f>
        <v>65535</v>
      </c>
      <c r="J984">
        <f t="shared" ref="J984:K984" si="1656">C984-C1020</f>
        <v>-5</v>
      </c>
      <c r="K984">
        <f t="shared" si="1656"/>
        <v>0</v>
      </c>
      <c r="L984">
        <f t="shared" ref="L984:N984" si="1657">E984+E1020</f>
        <v>0</v>
      </c>
      <c r="M984">
        <f t="shared" si="1657"/>
        <v>0</v>
      </c>
      <c r="N984">
        <f t="shared" si="1657"/>
        <v>0</v>
      </c>
      <c r="P984" t="str">
        <f t="shared" si="1538"/>
        <v>0, 0, 0, 0</v>
      </c>
    </row>
    <row r="985" spans="1:16" ht="16" customHeight="1" x14ac:dyDescent="0.2">
      <c r="A985">
        <f t="shared" si="1637"/>
        <v>983</v>
      </c>
      <c r="B985" s="1" t="s">
        <v>629</v>
      </c>
      <c r="C985">
        <v>2</v>
      </c>
      <c r="D985">
        <v>0</v>
      </c>
      <c r="E985">
        <v>0</v>
      </c>
      <c r="F985">
        <v>0</v>
      </c>
      <c r="G985">
        <v>0</v>
      </c>
      <c r="H985">
        <f>_xlfn.XLOOKUP(I985,$B$2:$B$1096,$A$2:$A$1096,65535)</f>
        <v>65535</v>
      </c>
      <c r="J985">
        <f t="shared" ref="J985:K985" si="1658">C985-C1021</f>
        <v>-5</v>
      </c>
      <c r="K985">
        <f t="shared" si="1658"/>
        <v>0</v>
      </c>
      <c r="L985">
        <f t="shared" ref="L985:N985" si="1659">E985+E1021</f>
        <v>0</v>
      </c>
      <c r="M985">
        <f t="shared" si="1659"/>
        <v>0</v>
      </c>
      <c r="N985">
        <f t="shared" si="1659"/>
        <v>0</v>
      </c>
      <c r="P985" t="str">
        <f t="shared" si="1538"/>
        <v>0, 0, 0, 0</v>
      </c>
    </row>
    <row r="986" spans="1:16" ht="16" customHeight="1" x14ac:dyDescent="0.2">
      <c r="A986">
        <f t="shared" si="1637"/>
        <v>984</v>
      </c>
      <c r="B986" s="1" t="s">
        <v>630</v>
      </c>
      <c r="C986">
        <v>3</v>
      </c>
      <c r="D986">
        <v>0</v>
      </c>
      <c r="E986">
        <v>0</v>
      </c>
      <c r="F986">
        <v>0</v>
      </c>
      <c r="G986">
        <v>0</v>
      </c>
      <c r="H986">
        <f>_xlfn.XLOOKUP(I986,$B$2:$B$1096,$A$2:$A$1096,65535)</f>
        <v>65535</v>
      </c>
      <c r="J986">
        <f t="shared" ref="J986:K986" si="1660">C986-C1022</f>
        <v>-3</v>
      </c>
      <c r="K986">
        <f t="shared" si="1660"/>
        <v>0</v>
      </c>
      <c r="L986">
        <f t="shared" ref="L986:N986" si="1661">E986+E1022</f>
        <v>0</v>
      </c>
      <c r="M986">
        <f t="shared" si="1661"/>
        <v>0</v>
      </c>
      <c r="N986">
        <f t="shared" si="1661"/>
        <v>0</v>
      </c>
      <c r="P986" t="str">
        <f t="shared" si="1538"/>
        <v>0, 0, 0, 0</v>
      </c>
    </row>
    <row r="987" spans="1:16" ht="16" customHeight="1" x14ac:dyDescent="0.2">
      <c r="A987">
        <f t="shared" si="1637"/>
        <v>985</v>
      </c>
      <c r="B987" s="1" t="s">
        <v>631</v>
      </c>
      <c r="C987">
        <v>16</v>
      </c>
      <c r="D987">
        <v>0</v>
      </c>
      <c r="E987">
        <v>0</v>
      </c>
      <c r="F987">
        <v>0</v>
      </c>
      <c r="G987">
        <v>0</v>
      </c>
      <c r="H987">
        <f>_xlfn.XLOOKUP(I987,$B$2:$B$1096,$A$2:$A$1096,65535)</f>
        <v>65535</v>
      </c>
      <c r="J987">
        <f t="shared" ref="J987:K987" si="1662">C987-C1023</f>
        <v>11</v>
      </c>
      <c r="K987">
        <f t="shared" si="1662"/>
        <v>0</v>
      </c>
      <c r="L987">
        <f t="shared" ref="L987:N987" si="1663">E987+E1023</f>
        <v>0</v>
      </c>
      <c r="M987">
        <f t="shared" si="1663"/>
        <v>0</v>
      </c>
      <c r="N987">
        <f t="shared" si="1663"/>
        <v>0</v>
      </c>
      <c r="P987" t="str">
        <f t="shared" si="1538"/>
        <v>0, 0, 0, 0</v>
      </c>
    </row>
    <row r="988" spans="1:16" ht="16" customHeight="1" x14ac:dyDescent="0.2">
      <c r="A988">
        <f t="shared" si="1637"/>
        <v>986</v>
      </c>
      <c r="B988" s="1" t="s">
        <v>634</v>
      </c>
      <c r="C988">
        <v>17</v>
      </c>
      <c r="D988">
        <v>0</v>
      </c>
      <c r="E988">
        <v>0</v>
      </c>
      <c r="F988">
        <v>0</v>
      </c>
      <c r="G988">
        <v>0</v>
      </c>
      <c r="H988">
        <f>_xlfn.XLOOKUP(I988,$B$2:$B$1096,$A$2:$A$1096,65535)</f>
        <v>65535</v>
      </c>
      <c r="J988">
        <f t="shared" ref="J988:K988" si="1664">C988-C1024</f>
        <v>13</v>
      </c>
      <c r="K988">
        <f t="shared" si="1664"/>
        <v>0</v>
      </c>
      <c r="L988">
        <f t="shared" ref="L988:N988" si="1665">E988+E1024</f>
        <v>0</v>
      </c>
      <c r="M988">
        <f t="shared" si="1665"/>
        <v>0</v>
      </c>
      <c r="N988">
        <f t="shared" si="1665"/>
        <v>0</v>
      </c>
      <c r="P988" t="str">
        <f t="shared" si="1538"/>
        <v>0, 0, 0, 0</v>
      </c>
    </row>
    <row r="989" spans="1:16" ht="16" customHeight="1" x14ac:dyDescent="0.2">
      <c r="A989">
        <f t="shared" si="1637"/>
        <v>987</v>
      </c>
      <c r="B989" s="1" t="s">
        <v>633</v>
      </c>
      <c r="C989">
        <v>18</v>
      </c>
      <c r="D989">
        <v>0</v>
      </c>
      <c r="E989">
        <v>0</v>
      </c>
      <c r="F989">
        <v>0</v>
      </c>
      <c r="G989">
        <v>0</v>
      </c>
      <c r="H989">
        <f>_xlfn.XLOOKUP(I989,$B$2:$B$1096,$A$2:$A$1096,65535)</f>
        <v>65535</v>
      </c>
      <c r="J989">
        <f t="shared" ref="J989:K989" si="1666">C989-C1025</f>
        <v>13</v>
      </c>
      <c r="K989">
        <f t="shared" si="1666"/>
        <v>0</v>
      </c>
      <c r="L989">
        <f t="shared" ref="L989:N989" si="1667">E989+E1025</f>
        <v>5</v>
      </c>
      <c r="M989">
        <f t="shared" si="1667"/>
        <v>2</v>
      </c>
      <c r="N989">
        <f t="shared" si="1667"/>
        <v>1</v>
      </c>
      <c r="P989" t="str">
        <f t="shared" ref="P989:P1052" si="1668">_xlfn.CONCAT(D989,", ",E989,", ",F989,", ",G989)</f>
        <v>0, 0, 0, 0</v>
      </c>
    </row>
    <row r="990" spans="1:16" ht="16" customHeight="1" x14ac:dyDescent="0.2">
      <c r="A990">
        <f t="shared" si="1637"/>
        <v>988</v>
      </c>
      <c r="B990" s="1" t="s">
        <v>632</v>
      </c>
      <c r="C990">
        <v>19</v>
      </c>
      <c r="D990">
        <v>0</v>
      </c>
      <c r="E990">
        <v>0</v>
      </c>
      <c r="F990">
        <v>0</v>
      </c>
      <c r="G990">
        <v>0</v>
      </c>
      <c r="H990">
        <f>_xlfn.XLOOKUP(I990,$B$2:$B$1096,$A$2:$A$1096,65535)</f>
        <v>65535</v>
      </c>
      <c r="J990">
        <f t="shared" ref="J990:K990" si="1669">C990-C1026</f>
        <v>15</v>
      </c>
      <c r="K990">
        <f t="shared" si="1669"/>
        <v>0</v>
      </c>
      <c r="L990">
        <f t="shared" ref="L990:N990" si="1670">E990+E1026</f>
        <v>5</v>
      </c>
      <c r="M990">
        <f t="shared" si="1670"/>
        <v>2</v>
      </c>
      <c r="N990">
        <f t="shared" si="1670"/>
        <v>1</v>
      </c>
      <c r="P990" t="str">
        <f t="shared" si="1668"/>
        <v>0, 0, 0, 0</v>
      </c>
    </row>
    <row r="991" spans="1:16" ht="16" customHeight="1" x14ac:dyDescent="0.2">
      <c r="A991">
        <f t="shared" si="1637"/>
        <v>989</v>
      </c>
      <c r="B991" s="1" t="s">
        <v>635</v>
      </c>
      <c r="C991">
        <v>16</v>
      </c>
      <c r="D991">
        <v>0</v>
      </c>
      <c r="E991">
        <v>0</v>
      </c>
      <c r="F991">
        <v>0</v>
      </c>
      <c r="G991">
        <v>0</v>
      </c>
      <c r="H991">
        <f>_xlfn.XLOOKUP(I991,$B$2:$B$1096,$A$2:$A$1096,65535)</f>
        <v>65535</v>
      </c>
      <c r="J991">
        <f t="shared" ref="J991:K991" si="1671">C991-C1027</f>
        <v>11</v>
      </c>
      <c r="K991">
        <f t="shared" si="1671"/>
        <v>0</v>
      </c>
      <c r="L991">
        <f t="shared" ref="L991:N991" si="1672">E991+E1027</f>
        <v>5</v>
      </c>
      <c r="M991">
        <f t="shared" si="1672"/>
        <v>2</v>
      </c>
      <c r="N991">
        <f t="shared" si="1672"/>
        <v>1</v>
      </c>
      <c r="P991" t="str">
        <f t="shared" si="1668"/>
        <v>0, 0, 0, 0</v>
      </c>
    </row>
    <row r="992" spans="1:16" ht="16" customHeight="1" x14ac:dyDescent="0.2">
      <c r="A992">
        <f t="shared" si="1637"/>
        <v>990</v>
      </c>
      <c r="B992" s="1" t="s">
        <v>636</v>
      </c>
      <c r="C992">
        <v>20</v>
      </c>
      <c r="D992">
        <v>0</v>
      </c>
      <c r="E992">
        <v>0</v>
      </c>
      <c r="F992">
        <v>0</v>
      </c>
      <c r="G992">
        <v>0</v>
      </c>
      <c r="H992">
        <f>_xlfn.XLOOKUP(I992,$B$2:$B$1096,$A$2:$A$1096,65535)</f>
        <v>65535</v>
      </c>
      <c r="J992">
        <f t="shared" ref="J992:K992" si="1673">C992-C1028</f>
        <v>16</v>
      </c>
      <c r="K992">
        <f t="shared" si="1673"/>
        <v>0</v>
      </c>
      <c r="L992">
        <f t="shared" ref="L992:N992" si="1674">E992+E1028</f>
        <v>5</v>
      </c>
      <c r="M992">
        <f t="shared" si="1674"/>
        <v>2</v>
      </c>
      <c r="N992">
        <f t="shared" si="1674"/>
        <v>1</v>
      </c>
      <c r="P992" t="str">
        <f t="shared" si="1668"/>
        <v>0, 0, 0, 0</v>
      </c>
    </row>
    <row r="993" spans="1:16" ht="16" customHeight="1" x14ac:dyDescent="0.2">
      <c r="A993">
        <f t="shared" si="1637"/>
        <v>991</v>
      </c>
      <c r="B993" s="1" t="s">
        <v>637</v>
      </c>
      <c r="C993">
        <v>20</v>
      </c>
      <c r="D993">
        <v>0</v>
      </c>
      <c r="E993">
        <v>0</v>
      </c>
      <c r="F993">
        <v>0</v>
      </c>
      <c r="G993">
        <v>0</v>
      </c>
      <c r="H993">
        <f>_xlfn.XLOOKUP(I993,$B$2:$B$1096,$A$2:$A$1096,65535)</f>
        <v>65535</v>
      </c>
      <c r="J993">
        <f t="shared" ref="J993:K993" si="1675">C993-C1029</f>
        <v>15</v>
      </c>
      <c r="K993">
        <f t="shared" si="1675"/>
        <v>0</v>
      </c>
      <c r="L993">
        <f t="shared" ref="L993:N993" si="1676">E993+E1029</f>
        <v>-5</v>
      </c>
      <c r="M993">
        <f t="shared" si="1676"/>
        <v>-2</v>
      </c>
      <c r="N993">
        <f t="shared" si="1676"/>
        <v>-1</v>
      </c>
      <c r="P993" t="str">
        <f t="shared" si="1668"/>
        <v>0, 0, 0, 0</v>
      </c>
    </row>
    <row r="994" spans="1:16" ht="16" customHeight="1" x14ac:dyDescent="0.2">
      <c r="A994">
        <f t="shared" si="1637"/>
        <v>992</v>
      </c>
      <c r="B994" s="1" t="s">
        <v>638</v>
      </c>
      <c r="C994">
        <v>21</v>
      </c>
      <c r="D994">
        <v>0</v>
      </c>
      <c r="E994">
        <v>0</v>
      </c>
      <c r="F994">
        <v>0</v>
      </c>
      <c r="G994">
        <v>0</v>
      </c>
      <c r="H994">
        <f>_xlfn.XLOOKUP(I994,$B$2:$B$1096,$A$2:$A$1096,65535)</f>
        <v>65535</v>
      </c>
      <c r="J994">
        <f t="shared" ref="J994:K994" si="1677">C994-C1030</f>
        <v>17</v>
      </c>
      <c r="K994">
        <f t="shared" si="1677"/>
        <v>0</v>
      </c>
      <c r="L994">
        <f t="shared" ref="L994:N994" si="1678">E994+E1030</f>
        <v>-5</v>
      </c>
      <c r="M994">
        <f t="shared" si="1678"/>
        <v>-2</v>
      </c>
      <c r="N994">
        <f t="shared" si="1678"/>
        <v>-1</v>
      </c>
      <c r="P994" t="str">
        <f t="shared" si="1668"/>
        <v>0, 0, 0, 0</v>
      </c>
    </row>
    <row r="995" spans="1:16" ht="16" customHeight="1" x14ac:dyDescent="0.2">
      <c r="A995">
        <f t="shared" si="1637"/>
        <v>993</v>
      </c>
      <c r="B995" s="1" t="s">
        <v>639</v>
      </c>
      <c r="C995">
        <v>22</v>
      </c>
      <c r="D995">
        <v>0</v>
      </c>
      <c r="E995">
        <v>0</v>
      </c>
      <c r="F995">
        <v>0</v>
      </c>
      <c r="G995">
        <v>0</v>
      </c>
      <c r="H995">
        <f>_xlfn.XLOOKUP(I995,$B$2:$B$1096,$A$2:$A$1096,65535)</f>
        <v>65535</v>
      </c>
      <c r="J995">
        <f t="shared" ref="J995:K995" si="1679">C995-C1031</f>
        <v>17</v>
      </c>
      <c r="K995">
        <f t="shared" si="1679"/>
        <v>0</v>
      </c>
      <c r="L995">
        <f t="shared" ref="L995:N995" si="1680">E995+E1031</f>
        <v>-5</v>
      </c>
      <c r="M995">
        <f t="shared" si="1680"/>
        <v>-2</v>
      </c>
      <c r="N995">
        <f t="shared" si="1680"/>
        <v>-1</v>
      </c>
      <c r="P995" t="str">
        <f t="shared" si="1668"/>
        <v>0, 0, 0, 0</v>
      </c>
    </row>
    <row r="996" spans="1:16" ht="16" customHeight="1" x14ac:dyDescent="0.2">
      <c r="A996">
        <f t="shared" si="1637"/>
        <v>994</v>
      </c>
      <c r="B996" s="1" t="s">
        <v>640</v>
      </c>
      <c r="C996">
        <v>22</v>
      </c>
      <c r="D996">
        <v>0</v>
      </c>
      <c r="E996">
        <v>0</v>
      </c>
      <c r="F996">
        <v>0</v>
      </c>
      <c r="G996">
        <v>0</v>
      </c>
      <c r="H996">
        <f>_xlfn.XLOOKUP(I996,$B$2:$B$1096,$A$2:$A$1096,65535)</f>
        <v>65535</v>
      </c>
      <c r="J996">
        <f t="shared" ref="J996:K996" si="1681">C996-C1032</f>
        <v>18</v>
      </c>
      <c r="K996">
        <f t="shared" si="1681"/>
        <v>0</v>
      </c>
      <c r="L996">
        <f t="shared" ref="L996:N996" si="1682">E996+E1032</f>
        <v>-5</v>
      </c>
      <c r="M996">
        <f t="shared" si="1682"/>
        <v>-2</v>
      </c>
      <c r="N996">
        <f t="shared" si="1682"/>
        <v>-1</v>
      </c>
      <c r="P996" t="str">
        <f t="shared" si="1668"/>
        <v>0, 0, 0, 0</v>
      </c>
    </row>
    <row r="997" spans="1:16" ht="16" customHeight="1" x14ac:dyDescent="0.2">
      <c r="A997">
        <f t="shared" si="1637"/>
        <v>995</v>
      </c>
      <c r="B997" s="1" t="s">
        <v>641</v>
      </c>
      <c r="C997">
        <v>22</v>
      </c>
      <c r="D997">
        <v>0</v>
      </c>
      <c r="E997">
        <v>0</v>
      </c>
      <c r="F997">
        <v>0</v>
      </c>
      <c r="G997">
        <v>0</v>
      </c>
      <c r="H997">
        <f>_xlfn.XLOOKUP(I997,$B$2:$B$1096,$A$2:$A$1096,65535)</f>
        <v>65535</v>
      </c>
      <c r="J997">
        <f t="shared" ref="J997:K997" si="1683">C997-C1033</f>
        <v>17</v>
      </c>
      <c r="K997">
        <f t="shared" si="1683"/>
        <v>0</v>
      </c>
      <c r="L997">
        <f t="shared" ref="L997:N997" si="1684">E997+E1033</f>
        <v>0</v>
      </c>
      <c r="M997">
        <f t="shared" si="1684"/>
        <v>0</v>
      </c>
      <c r="N997">
        <f t="shared" si="1684"/>
        <v>0</v>
      </c>
      <c r="P997" t="str">
        <f t="shared" si="1668"/>
        <v>0, 0, 0, 0</v>
      </c>
    </row>
    <row r="998" spans="1:16" ht="16" customHeight="1" x14ac:dyDescent="0.2">
      <c r="A998">
        <f t="shared" si="1637"/>
        <v>996</v>
      </c>
      <c r="B998" s="1" t="s">
        <v>642</v>
      </c>
      <c r="C998">
        <v>20</v>
      </c>
      <c r="D998">
        <v>0</v>
      </c>
      <c r="E998">
        <v>0</v>
      </c>
      <c r="F998">
        <v>0</v>
      </c>
      <c r="G998">
        <v>0</v>
      </c>
      <c r="H998">
        <f>_xlfn.XLOOKUP(I998,$B$2:$B$1096,$A$2:$A$1096,65535)</f>
        <v>65535</v>
      </c>
      <c r="J998">
        <f t="shared" ref="J998:K998" si="1685">C998-C1034</f>
        <v>16</v>
      </c>
      <c r="K998">
        <f t="shared" si="1685"/>
        <v>-3</v>
      </c>
      <c r="L998">
        <f t="shared" ref="L998:N998" si="1686">E998+E1034</f>
        <v>0</v>
      </c>
      <c r="M998">
        <f t="shared" si="1686"/>
        <v>0</v>
      </c>
      <c r="N998">
        <f t="shared" si="1686"/>
        <v>0</v>
      </c>
      <c r="P998" t="str">
        <f t="shared" si="1668"/>
        <v>0, 0, 0, 0</v>
      </c>
    </row>
    <row r="999" spans="1:16" ht="16" customHeight="1" x14ac:dyDescent="0.2">
      <c r="A999">
        <f t="shared" si="1637"/>
        <v>997</v>
      </c>
      <c r="B999" s="1" t="s">
        <v>659</v>
      </c>
      <c r="C999">
        <v>20</v>
      </c>
      <c r="D999">
        <v>0</v>
      </c>
      <c r="E999">
        <v>0</v>
      </c>
      <c r="F999">
        <v>0</v>
      </c>
      <c r="G999">
        <v>0</v>
      </c>
      <c r="H999">
        <f>_xlfn.XLOOKUP(I999,$B$2:$B$1096,$A$2:$A$1096,65535)</f>
        <v>65535</v>
      </c>
      <c r="J999">
        <f t="shared" ref="J999:K999" si="1687">C999-C1035</f>
        <v>16</v>
      </c>
      <c r="K999">
        <f t="shared" si="1687"/>
        <v>-2</v>
      </c>
      <c r="L999">
        <f t="shared" ref="L999:N999" si="1688">E999+E1035</f>
        <v>0</v>
      </c>
      <c r="M999">
        <f t="shared" si="1688"/>
        <v>0</v>
      </c>
      <c r="N999">
        <f t="shared" si="1688"/>
        <v>0</v>
      </c>
      <c r="P999" t="str">
        <f t="shared" si="1668"/>
        <v>0, 0, 0, 0</v>
      </c>
    </row>
    <row r="1000" spans="1:16" ht="16" customHeight="1" x14ac:dyDescent="0.2">
      <c r="A1000">
        <f t="shared" si="1637"/>
        <v>998</v>
      </c>
      <c r="B1000" s="1" t="s">
        <v>660</v>
      </c>
      <c r="C1000">
        <v>20</v>
      </c>
      <c r="D1000">
        <v>0</v>
      </c>
      <c r="E1000">
        <v>0</v>
      </c>
      <c r="F1000">
        <v>0</v>
      </c>
      <c r="G1000">
        <v>0</v>
      </c>
      <c r="H1000">
        <f>_xlfn.XLOOKUP(I1000,$B$2:$B$1096,$A$2:$A$1096,65535)</f>
        <v>65535</v>
      </c>
      <c r="J1000">
        <f t="shared" ref="J1000:K1000" si="1689">C1000-C1036</f>
        <v>16</v>
      </c>
      <c r="K1000">
        <f t="shared" si="1689"/>
        <v>-1</v>
      </c>
      <c r="L1000">
        <f t="shared" ref="L1000:N1000" si="1690">E1000+E1036</f>
        <v>0</v>
      </c>
      <c r="M1000">
        <f t="shared" si="1690"/>
        <v>0</v>
      </c>
      <c r="N1000">
        <f t="shared" si="1690"/>
        <v>0</v>
      </c>
      <c r="P1000" t="str">
        <f t="shared" si="1668"/>
        <v>0, 0, 0, 0</v>
      </c>
    </row>
    <row r="1001" spans="1:16" ht="16" customHeight="1" x14ac:dyDescent="0.2">
      <c r="A1001">
        <f t="shared" si="1637"/>
        <v>999</v>
      </c>
      <c r="B1001" s="1" t="s">
        <v>661</v>
      </c>
      <c r="C1001">
        <v>20</v>
      </c>
      <c r="D1001">
        <v>0</v>
      </c>
      <c r="E1001">
        <v>0</v>
      </c>
      <c r="F1001">
        <v>0</v>
      </c>
      <c r="G1001">
        <v>0</v>
      </c>
      <c r="H1001">
        <f>_xlfn.XLOOKUP(I1001,$B$2:$B$1096,$A$2:$A$1096,65535)</f>
        <v>65535</v>
      </c>
      <c r="J1001">
        <f t="shared" ref="J1001:K1001" si="1691">C1001-C1037</f>
        <v>16</v>
      </c>
      <c r="K1001">
        <f t="shared" si="1691"/>
        <v>1</v>
      </c>
      <c r="L1001">
        <f t="shared" ref="L1001:N1001" si="1692">E1001+E1037</f>
        <v>0</v>
      </c>
      <c r="M1001">
        <f t="shared" si="1692"/>
        <v>0</v>
      </c>
      <c r="N1001">
        <f t="shared" si="1692"/>
        <v>0</v>
      </c>
      <c r="P1001" t="str">
        <f t="shared" si="1668"/>
        <v>0, 0, 0, 0</v>
      </c>
    </row>
    <row r="1002" spans="1:16" ht="16" customHeight="1" x14ac:dyDescent="0.2">
      <c r="A1002">
        <f t="shared" si="1637"/>
        <v>1000</v>
      </c>
      <c r="B1002" s="1" t="s">
        <v>662</v>
      </c>
      <c r="C1002">
        <v>20</v>
      </c>
      <c r="D1002">
        <v>0</v>
      </c>
      <c r="E1002">
        <v>0</v>
      </c>
      <c r="F1002">
        <v>0</v>
      </c>
      <c r="G1002">
        <v>0</v>
      </c>
      <c r="H1002">
        <f>_xlfn.XLOOKUP(I1002,$B$2:$B$1096,$A$2:$A$1096,65535)</f>
        <v>65535</v>
      </c>
      <c r="J1002">
        <f t="shared" ref="J1002:K1002" si="1693">C1002-C1038</f>
        <v>15</v>
      </c>
      <c r="K1002">
        <f t="shared" si="1693"/>
        <v>2</v>
      </c>
      <c r="L1002">
        <f t="shared" ref="L1002:N1002" si="1694">E1002+E1038</f>
        <v>0</v>
      </c>
      <c r="M1002">
        <f t="shared" si="1694"/>
        <v>0</v>
      </c>
      <c r="N1002">
        <f t="shared" si="1694"/>
        <v>0</v>
      </c>
      <c r="P1002" t="str">
        <f t="shared" si="1668"/>
        <v>0, 0, 0, 0</v>
      </c>
    </row>
    <row r="1003" spans="1:16" ht="16" customHeight="1" x14ac:dyDescent="0.2">
      <c r="A1003">
        <f t="shared" si="1637"/>
        <v>1001</v>
      </c>
      <c r="B1003" s="1" t="s">
        <v>663</v>
      </c>
      <c r="C1003">
        <v>16</v>
      </c>
      <c r="D1003">
        <v>0</v>
      </c>
      <c r="E1003">
        <v>0</v>
      </c>
      <c r="F1003">
        <v>0</v>
      </c>
      <c r="G1003">
        <v>0</v>
      </c>
      <c r="H1003">
        <f>_xlfn.XLOOKUP(I1003,$B$2:$B$1096,$A$2:$A$1096,65535)</f>
        <v>65535</v>
      </c>
      <c r="J1003">
        <f t="shared" ref="J1003:K1003" si="1695">C1003-C1039</f>
        <v>12</v>
      </c>
      <c r="K1003">
        <f t="shared" si="1695"/>
        <v>3</v>
      </c>
      <c r="L1003">
        <f t="shared" ref="L1003:N1003" si="1696">E1003+E1039</f>
        <v>0</v>
      </c>
      <c r="M1003">
        <f t="shared" si="1696"/>
        <v>0</v>
      </c>
      <c r="N1003">
        <f t="shared" si="1696"/>
        <v>0</v>
      </c>
      <c r="P1003" t="str">
        <f t="shared" si="1668"/>
        <v>0, 0, 0, 0</v>
      </c>
    </row>
    <row r="1004" spans="1:16" ht="16" customHeight="1" x14ac:dyDescent="0.2">
      <c r="A1004">
        <f t="shared" si="1637"/>
        <v>1002</v>
      </c>
      <c r="B1004" s="1" t="s">
        <v>709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f>_xlfn.XLOOKUP(I1004,$B$2:$B$1096,$A$2:$A$1096,65535)</f>
        <v>65535</v>
      </c>
      <c r="J1004">
        <f t="shared" ref="J1004:K1004" si="1697">C1004-C1040</f>
        <v>-7</v>
      </c>
      <c r="K1004">
        <f t="shared" si="1697"/>
        <v>0</v>
      </c>
      <c r="L1004">
        <f t="shared" ref="L1004:N1004" si="1698">E1004+E1040</f>
        <v>0</v>
      </c>
      <c r="M1004">
        <f t="shared" si="1698"/>
        <v>0</v>
      </c>
      <c r="N1004">
        <f t="shared" si="1698"/>
        <v>0</v>
      </c>
      <c r="P1004" t="str">
        <f t="shared" si="1668"/>
        <v>0, 0, 0, 0</v>
      </c>
    </row>
    <row r="1005" spans="1:16" ht="16" customHeight="1" x14ac:dyDescent="0.2">
      <c r="A1005">
        <f t="shared" si="1637"/>
        <v>1003</v>
      </c>
      <c r="B1005" s="1" t="s">
        <v>710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f>_xlfn.XLOOKUP(I1005,$B$2:$B$1096,$A$2:$A$1096,65535)</f>
        <v>65535</v>
      </c>
      <c r="J1005">
        <f t="shared" ref="J1005:K1005" si="1699">C1005-C1041</f>
        <v>-9</v>
      </c>
      <c r="K1005">
        <f t="shared" si="1699"/>
        <v>0</v>
      </c>
      <c r="L1005">
        <f t="shared" ref="L1005:N1005" si="1700">E1005+E1041</f>
        <v>0</v>
      </c>
      <c r="M1005">
        <f t="shared" si="1700"/>
        <v>0</v>
      </c>
      <c r="N1005">
        <f t="shared" si="1700"/>
        <v>0</v>
      </c>
      <c r="P1005" t="str">
        <f t="shared" si="1668"/>
        <v>0, 0, 0, 0</v>
      </c>
    </row>
    <row r="1006" spans="1:16" ht="16" customHeight="1" x14ac:dyDescent="0.2">
      <c r="A1006">
        <f t="shared" si="1637"/>
        <v>1004</v>
      </c>
      <c r="B1006" s="1" t="s">
        <v>711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f>_xlfn.XLOOKUP(I1006,$B$2:$B$1096,$A$2:$A$1096,65535)</f>
        <v>65535</v>
      </c>
      <c r="J1006">
        <f t="shared" ref="J1006:K1006" si="1701">C1006-C1042</f>
        <v>-10</v>
      </c>
      <c r="K1006">
        <f t="shared" si="1701"/>
        <v>0</v>
      </c>
      <c r="L1006">
        <f t="shared" ref="L1006:N1006" si="1702">E1006+E1042</f>
        <v>0</v>
      </c>
      <c r="M1006">
        <f t="shared" si="1702"/>
        <v>0</v>
      </c>
      <c r="N1006">
        <f t="shared" si="1702"/>
        <v>0</v>
      </c>
      <c r="P1006" t="str">
        <f t="shared" si="1668"/>
        <v>0, 0, 0, 0</v>
      </c>
    </row>
    <row r="1007" spans="1:16" ht="16" customHeight="1" x14ac:dyDescent="0.2">
      <c r="A1007">
        <f t="shared" si="1637"/>
        <v>1005</v>
      </c>
      <c r="B1007" s="1" t="s">
        <v>712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f>_xlfn.XLOOKUP(I1007,$B$2:$B$1096,$A$2:$A$1096,65535)</f>
        <v>65535</v>
      </c>
      <c r="J1007">
        <f t="shared" ref="J1007:K1007" si="1703">C1007-C1043</f>
        <v>-11</v>
      </c>
      <c r="K1007">
        <f t="shared" si="1703"/>
        <v>0</v>
      </c>
      <c r="L1007">
        <f t="shared" ref="L1007:N1007" si="1704">E1007+E1043</f>
        <v>0</v>
      </c>
      <c r="M1007">
        <f t="shared" si="1704"/>
        <v>0</v>
      </c>
      <c r="N1007">
        <f t="shared" si="1704"/>
        <v>0</v>
      </c>
      <c r="P1007" t="str">
        <f t="shared" si="1668"/>
        <v>0, 0, 0, 0</v>
      </c>
    </row>
    <row r="1008" spans="1:16" ht="16" customHeight="1" x14ac:dyDescent="0.2">
      <c r="A1008">
        <f t="shared" si="1637"/>
        <v>1006</v>
      </c>
      <c r="B1008" s="1" t="s">
        <v>713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f>_xlfn.XLOOKUP(I1008,$B$2:$B$1096,$A$2:$A$1096,65535)</f>
        <v>65535</v>
      </c>
      <c r="J1008">
        <f t="shared" ref="J1008:K1008" si="1705">C1008-C1044</f>
        <v>-24</v>
      </c>
      <c r="K1008">
        <f t="shared" si="1705"/>
        <v>0</v>
      </c>
      <c r="L1008">
        <f t="shared" ref="L1008:N1008" si="1706">E1008+E1044</f>
        <v>0</v>
      </c>
      <c r="M1008">
        <f t="shared" si="1706"/>
        <v>0</v>
      </c>
      <c r="N1008">
        <f t="shared" si="1706"/>
        <v>0</v>
      </c>
      <c r="P1008" t="str">
        <f t="shared" si="1668"/>
        <v>0, 0, 0, 0</v>
      </c>
    </row>
    <row r="1009" spans="1:16" ht="16" customHeight="1" x14ac:dyDescent="0.2">
      <c r="A1009">
        <f t="shared" si="1637"/>
        <v>1007</v>
      </c>
      <c r="B1009" s="1" t="s">
        <v>714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f>_xlfn.XLOOKUP(I1009,$B$2:$B$1096,$A$2:$A$1096,65535)</f>
        <v>65535</v>
      </c>
      <c r="J1009">
        <f t="shared" ref="J1009:K1009" si="1707">C1009-C1045</f>
        <v>-24</v>
      </c>
      <c r="K1009">
        <f t="shared" si="1707"/>
        <v>0</v>
      </c>
      <c r="L1009">
        <f t="shared" ref="L1009:N1009" si="1708">E1009+E1045</f>
        <v>0</v>
      </c>
      <c r="M1009">
        <f t="shared" si="1708"/>
        <v>0</v>
      </c>
      <c r="N1009">
        <f t="shared" si="1708"/>
        <v>0</v>
      </c>
      <c r="P1009" t="str">
        <f t="shared" si="1668"/>
        <v>0, 0, 0, 0</v>
      </c>
    </row>
    <row r="1010" spans="1:16" ht="16" customHeight="1" x14ac:dyDescent="0.2">
      <c r="A1010">
        <f t="shared" si="1637"/>
        <v>1008</v>
      </c>
      <c r="B1010" s="1" t="s">
        <v>729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f>_xlfn.XLOOKUP(I1010,$B$2:$B$1096,$A$2:$A$1096,65535)</f>
        <v>65535</v>
      </c>
      <c r="J1010">
        <f t="shared" ref="J1010:K1010" si="1709">C1010-C1046</f>
        <v>-25</v>
      </c>
      <c r="K1010">
        <f t="shared" si="1709"/>
        <v>0</v>
      </c>
      <c r="L1010">
        <f t="shared" ref="L1010:N1010" si="1710">E1010+E1046</f>
        <v>0</v>
      </c>
      <c r="M1010">
        <f t="shared" si="1710"/>
        <v>0</v>
      </c>
      <c r="N1010">
        <f t="shared" si="1710"/>
        <v>0</v>
      </c>
      <c r="P1010" t="str">
        <f t="shared" si="1668"/>
        <v>0, 0, 0, 0</v>
      </c>
    </row>
    <row r="1011" spans="1:16" ht="16" customHeight="1" x14ac:dyDescent="0.2">
      <c r="A1011">
        <f t="shared" si="1637"/>
        <v>1009</v>
      </c>
      <c r="B1011" s="1" t="s">
        <v>730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f>_xlfn.XLOOKUP(I1011,$B$2:$B$1096,$A$2:$A$1096,65535)</f>
        <v>65535</v>
      </c>
      <c r="J1011">
        <f t="shared" ref="J1011:K1011" si="1711">C1011-C1047</f>
        <v>-26</v>
      </c>
      <c r="K1011">
        <f t="shared" si="1711"/>
        <v>0</v>
      </c>
      <c r="L1011">
        <f t="shared" ref="L1011:N1011" si="1712">E1011+E1047</f>
        <v>0</v>
      </c>
      <c r="M1011">
        <f t="shared" si="1712"/>
        <v>0</v>
      </c>
      <c r="N1011">
        <f t="shared" si="1712"/>
        <v>0</v>
      </c>
      <c r="P1011" t="str">
        <f t="shared" si="1668"/>
        <v>0, 0, 0, 0</v>
      </c>
    </row>
    <row r="1012" spans="1:16" ht="16" customHeight="1" x14ac:dyDescent="0.2">
      <c r="A1012">
        <f t="shared" si="1637"/>
        <v>1010</v>
      </c>
      <c r="B1012" s="1" t="s">
        <v>731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f>_xlfn.XLOOKUP(I1012,$B$2:$B$1096,$A$2:$A$1096,65535)</f>
        <v>65535</v>
      </c>
      <c r="J1012">
        <f t="shared" ref="J1012:K1012" si="1713">C1012-C1048</f>
        <v>-22</v>
      </c>
      <c r="K1012">
        <f t="shared" si="1713"/>
        <v>0</v>
      </c>
      <c r="L1012">
        <f t="shared" ref="L1012:N1012" si="1714">E1012+E1048</f>
        <v>0</v>
      </c>
      <c r="M1012">
        <f t="shared" si="1714"/>
        <v>0</v>
      </c>
      <c r="N1012">
        <f t="shared" si="1714"/>
        <v>0</v>
      </c>
      <c r="P1012" t="str">
        <f t="shared" si="1668"/>
        <v>0, 0, 0, 0</v>
      </c>
    </row>
    <row r="1013" spans="1:16" ht="16" customHeight="1" x14ac:dyDescent="0.2">
      <c r="A1013">
        <f t="shared" si="1637"/>
        <v>1011</v>
      </c>
      <c r="B1013" s="1" t="s">
        <v>732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f>_xlfn.XLOOKUP(I1013,$B$2:$B$1096,$A$2:$A$1096,65535)</f>
        <v>65535</v>
      </c>
      <c r="J1013">
        <f t="shared" ref="J1013:K1013" si="1715">C1013-C1049</f>
        <v>-26</v>
      </c>
      <c r="K1013">
        <f t="shared" si="1715"/>
        <v>0</v>
      </c>
      <c r="L1013">
        <f t="shared" ref="L1013:N1013" si="1716">E1013+E1049</f>
        <v>0</v>
      </c>
      <c r="M1013">
        <f t="shared" si="1716"/>
        <v>0</v>
      </c>
      <c r="N1013">
        <f t="shared" si="1716"/>
        <v>0</v>
      </c>
      <c r="P1013" t="str">
        <f t="shared" si="1668"/>
        <v>0, 0, 0, 0</v>
      </c>
    </row>
    <row r="1014" spans="1:16" ht="16" customHeight="1" x14ac:dyDescent="0.2">
      <c r="A1014">
        <f t="shared" si="1637"/>
        <v>1012</v>
      </c>
      <c r="B1014" s="1" t="s">
        <v>734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f>_xlfn.XLOOKUP(I1014,$B$2:$B$1096,$A$2:$A$1096,65535)</f>
        <v>65535</v>
      </c>
      <c r="J1014">
        <f t="shared" ref="J1014:K1014" si="1717">C1014-C1050</f>
        <v>-26</v>
      </c>
      <c r="K1014">
        <f t="shared" si="1717"/>
        <v>0</v>
      </c>
      <c r="L1014">
        <f t="shared" ref="L1014:N1014" si="1718">E1014+E1050</f>
        <v>0</v>
      </c>
      <c r="M1014">
        <f t="shared" si="1718"/>
        <v>0</v>
      </c>
      <c r="N1014">
        <f t="shared" si="1718"/>
        <v>0</v>
      </c>
      <c r="P1014" t="str">
        <f t="shared" si="1668"/>
        <v>0, 0, 0, 0</v>
      </c>
    </row>
    <row r="1015" spans="1:16" ht="16" customHeight="1" x14ac:dyDescent="0.2">
      <c r="A1015">
        <f t="shared" si="1637"/>
        <v>1013</v>
      </c>
      <c r="B1015" s="1" t="s">
        <v>733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f>_xlfn.XLOOKUP(I1015,$B$2:$B$1096,$A$2:$A$1096,65535)</f>
        <v>65535</v>
      </c>
      <c r="J1015">
        <f t="shared" ref="J1015:K1015" si="1719">C1015-C1051</f>
        <v>-27</v>
      </c>
      <c r="K1015">
        <f t="shared" si="1719"/>
        <v>0</v>
      </c>
      <c r="L1015">
        <f t="shared" ref="L1015:N1015" si="1720">E1015+E1051</f>
        <v>0</v>
      </c>
      <c r="M1015">
        <f t="shared" si="1720"/>
        <v>0</v>
      </c>
      <c r="N1015">
        <f t="shared" si="1720"/>
        <v>0</v>
      </c>
      <c r="P1015" t="str">
        <f t="shared" si="1668"/>
        <v>0, 0, 0, 0</v>
      </c>
    </row>
    <row r="1016" spans="1:16" ht="16" customHeight="1" x14ac:dyDescent="0.2">
      <c r="A1016">
        <f t="shared" si="1637"/>
        <v>1014</v>
      </c>
      <c r="B1016" s="1" t="s">
        <v>735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f>_xlfn.XLOOKUP(I1016,$B$2:$B$1096,$A$2:$A$1096,65535)</f>
        <v>65535</v>
      </c>
      <c r="J1016">
        <f t="shared" ref="J1016:K1016" si="1721">C1016-C1052</f>
        <v>-28</v>
      </c>
      <c r="K1016">
        <f t="shared" si="1721"/>
        <v>0</v>
      </c>
      <c r="L1016">
        <f t="shared" ref="L1016:N1016" si="1722">E1016+E1052</f>
        <v>0</v>
      </c>
      <c r="M1016">
        <f t="shared" si="1722"/>
        <v>0</v>
      </c>
      <c r="N1016">
        <f t="shared" si="1722"/>
        <v>0</v>
      </c>
      <c r="P1016" t="str">
        <f t="shared" si="1668"/>
        <v>0, 0, 0, 0</v>
      </c>
    </row>
    <row r="1017" spans="1:16" ht="16" customHeight="1" x14ac:dyDescent="0.2">
      <c r="A1017">
        <f t="shared" si="1637"/>
        <v>1015</v>
      </c>
      <c r="B1017" s="1" t="s">
        <v>736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f>_xlfn.XLOOKUP(I1017,$B$2:$B$1096,$A$2:$A$1096,65535)</f>
        <v>65535</v>
      </c>
      <c r="J1017">
        <f t="shared" ref="J1017:K1017" si="1723">C1017-C1053</f>
        <v>-28</v>
      </c>
      <c r="K1017">
        <f t="shared" si="1723"/>
        <v>0</v>
      </c>
      <c r="L1017">
        <f t="shared" ref="L1017:N1017" si="1724">E1017+E1053</f>
        <v>0</v>
      </c>
      <c r="M1017">
        <f t="shared" si="1724"/>
        <v>0</v>
      </c>
      <c r="N1017">
        <f t="shared" si="1724"/>
        <v>0</v>
      </c>
      <c r="P1017" t="str">
        <f t="shared" si="1668"/>
        <v>0, 0, 0, 0</v>
      </c>
    </row>
    <row r="1018" spans="1:16" ht="16" customHeight="1" x14ac:dyDescent="0.2">
      <c r="A1018">
        <f t="shared" si="1637"/>
        <v>1016</v>
      </c>
      <c r="B1018" s="1" t="s">
        <v>775</v>
      </c>
      <c r="C1018">
        <v>4</v>
      </c>
      <c r="D1018">
        <v>0</v>
      </c>
      <c r="E1018">
        <v>0</v>
      </c>
      <c r="F1018">
        <v>0</v>
      </c>
      <c r="G1018">
        <v>0</v>
      </c>
      <c r="H1018">
        <f>_xlfn.XLOOKUP(I1018,$B$2:$B$1096,$A$2:$A$1096,65535)</f>
        <v>65535</v>
      </c>
      <c r="J1018">
        <f t="shared" ref="J1018:K1018" si="1725">C1018-C1054</f>
        <v>-25</v>
      </c>
      <c r="K1018">
        <f t="shared" si="1725"/>
        <v>0</v>
      </c>
      <c r="L1018">
        <f t="shared" ref="L1018:N1018" si="1726">E1018+E1054</f>
        <v>0</v>
      </c>
      <c r="M1018">
        <f t="shared" si="1726"/>
        <v>0</v>
      </c>
      <c r="N1018">
        <f t="shared" si="1726"/>
        <v>0</v>
      </c>
      <c r="P1018" t="str">
        <f t="shared" si="1668"/>
        <v>0, 0, 0, 0</v>
      </c>
    </row>
    <row r="1019" spans="1:16" ht="16" customHeight="1" x14ac:dyDescent="0.2">
      <c r="A1019">
        <f t="shared" si="1637"/>
        <v>1017</v>
      </c>
      <c r="B1019" s="1" t="s">
        <v>776</v>
      </c>
      <c r="C1019">
        <v>5</v>
      </c>
      <c r="D1019">
        <v>0</v>
      </c>
      <c r="E1019">
        <v>0</v>
      </c>
      <c r="F1019">
        <v>0</v>
      </c>
      <c r="G1019">
        <v>0</v>
      </c>
      <c r="H1019">
        <f>_xlfn.XLOOKUP(I1019,$B$2:$B$1096,$A$2:$A$1096,65535)</f>
        <v>65535</v>
      </c>
      <c r="J1019">
        <f t="shared" ref="J1019:K1019" si="1727">C1019-C1055</f>
        <v>-22</v>
      </c>
      <c r="K1019">
        <f t="shared" si="1727"/>
        <v>0</v>
      </c>
      <c r="L1019">
        <f t="shared" ref="L1019:N1019" si="1728">E1019+E1055</f>
        <v>0</v>
      </c>
      <c r="M1019">
        <f t="shared" si="1728"/>
        <v>0</v>
      </c>
      <c r="N1019">
        <f t="shared" si="1728"/>
        <v>0</v>
      </c>
      <c r="P1019" t="str">
        <f t="shared" si="1668"/>
        <v>0, 0, 0, 0</v>
      </c>
    </row>
    <row r="1020" spans="1:16" ht="16" customHeight="1" x14ac:dyDescent="0.2">
      <c r="A1020">
        <f t="shared" si="1637"/>
        <v>1018</v>
      </c>
      <c r="B1020" s="1" t="s">
        <v>777</v>
      </c>
      <c r="C1020">
        <v>6</v>
      </c>
      <c r="D1020">
        <v>0</v>
      </c>
      <c r="E1020">
        <v>0</v>
      </c>
      <c r="F1020">
        <v>0</v>
      </c>
      <c r="G1020">
        <v>0</v>
      </c>
      <c r="H1020">
        <f>_xlfn.XLOOKUP(I1020,$B$2:$B$1096,$A$2:$A$1096,65535)</f>
        <v>65535</v>
      </c>
      <c r="J1020">
        <f t="shared" ref="J1020:K1020" si="1729">C1020-C1056</f>
        <v>-21</v>
      </c>
      <c r="K1020">
        <f t="shared" si="1729"/>
        <v>0</v>
      </c>
      <c r="L1020">
        <f t="shared" ref="L1020:N1020" si="1730">E1020+E1056</f>
        <v>0</v>
      </c>
      <c r="M1020">
        <f t="shared" si="1730"/>
        <v>0</v>
      </c>
      <c r="N1020">
        <f t="shared" si="1730"/>
        <v>0</v>
      </c>
      <c r="P1020" t="str">
        <f t="shared" si="1668"/>
        <v>0, 0, 0, 0</v>
      </c>
    </row>
    <row r="1021" spans="1:16" ht="16" customHeight="1" x14ac:dyDescent="0.2">
      <c r="A1021">
        <f t="shared" si="1637"/>
        <v>1019</v>
      </c>
      <c r="B1021" s="1" t="s">
        <v>778</v>
      </c>
      <c r="C1021">
        <v>7</v>
      </c>
      <c r="D1021">
        <v>0</v>
      </c>
      <c r="E1021">
        <v>0</v>
      </c>
      <c r="F1021">
        <v>0</v>
      </c>
      <c r="G1021">
        <v>0</v>
      </c>
      <c r="H1021">
        <f>_xlfn.XLOOKUP(I1021,$B$2:$B$1096,$A$2:$A$1096,65535)</f>
        <v>65535</v>
      </c>
      <c r="J1021">
        <f t="shared" ref="J1021:K1021" si="1731">C1021-C1057</f>
        <v>-20</v>
      </c>
      <c r="K1021">
        <f t="shared" si="1731"/>
        <v>0</v>
      </c>
      <c r="L1021">
        <f t="shared" ref="L1021:N1021" si="1732">E1021+E1057</f>
        <v>0</v>
      </c>
      <c r="M1021">
        <f t="shared" si="1732"/>
        <v>0</v>
      </c>
      <c r="N1021">
        <f t="shared" si="1732"/>
        <v>0</v>
      </c>
      <c r="P1021" t="str">
        <f t="shared" si="1668"/>
        <v>0, 0, 0, 0</v>
      </c>
    </row>
    <row r="1022" spans="1:16" ht="16" customHeight="1" x14ac:dyDescent="0.2">
      <c r="A1022">
        <f t="shared" si="1637"/>
        <v>1020</v>
      </c>
      <c r="B1022" s="1" t="s">
        <v>779</v>
      </c>
      <c r="C1022">
        <v>6</v>
      </c>
      <c r="D1022">
        <v>0</v>
      </c>
      <c r="E1022">
        <v>0</v>
      </c>
      <c r="F1022">
        <v>0</v>
      </c>
      <c r="G1022">
        <v>0</v>
      </c>
      <c r="H1022">
        <f>_xlfn.XLOOKUP(I1022,$B$2:$B$1096,$A$2:$A$1096,65535)</f>
        <v>65535</v>
      </c>
      <c r="J1022">
        <f t="shared" ref="J1022:K1022" si="1733">C1022-C1058</f>
        <v>-21</v>
      </c>
      <c r="K1022">
        <f t="shared" si="1733"/>
        <v>0</v>
      </c>
      <c r="L1022">
        <f t="shared" ref="L1022:N1022" si="1734">E1022+E1058</f>
        <v>0</v>
      </c>
      <c r="M1022">
        <f t="shared" si="1734"/>
        <v>0</v>
      </c>
      <c r="N1022">
        <f t="shared" si="1734"/>
        <v>0</v>
      </c>
      <c r="P1022" t="str">
        <f t="shared" si="1668"/>
        <v>0, 0, 0, 0</v>
      </c>
    </row>
    <row r="1023" spans="1:16" ht="16" customHeight="1" x14ac:dyDescent="0.2">
      <c r="A1023">
        <f t="shared" si="1637"/>
        <v>1021</v>
      </c>
      <c r="B1023" s="1" t="s">
        <v>780</v>
      </c>
      <c r="C1023">
        <v>5</v>
      </c>
      <c r="D1023">
        <v>0</v>
      </c>
      <c r="E1023">
        <v>0</v>
      </c>
      <c r="F1023">
        <v>0</v>
      </c>
      <c r="G1023">
        <v>0</v>
      </c>
      <c r="H1023">
        <f>_xlfn.XLOOKUP(I1023,$B$2:$B$1096,$A$2:$A$1096,65535)</f>
        <v>65535</v>
      </c>
      <c r="J1023">
        <f t="shared" ref="J1023:K1023" si="1735">C1023-C1059</f>
        <v>-22</v>
      </c>
      <c r="K1023">
        <f t="shared" si="1735"/>
        <v>0</v>
      </c>
      <c r="L1023">
        <f t="shared" ref="L1023:N1023" si="1736">E1023+E1059</f>
        <v>0</v>
      </c>
      <c r="M1023">
        <f t="shared" si="1736"/>
        <v>0</v>
      </c>
      <c r="N1023">
        <f t="shared" si="1736"/>
        <v>0</v>
      </c>
      <c r="P1023" t="str">
        <f t="shared" si="1668"/>
        <v>0, 0, 0, 0</v>
      </c>
    </row>
    <row r="1024" spans="1:16" ht="16" customHeight="1" x14ac:dyDescent="0.2">
      <c r="A1024">
        <f t="shared" si="1637"/>
        <v>1022</v>
      </c>
      <c r="B1024" s="1" t="s">
        <v>781</v>
      </c>
      <c r="C1024">
        <v>4</v>
      </c>
      <c r="D1024">
        <v>0</v>
      </c>
      <c r="E1024">
        <v>0</v>
      </c>
      <c r="F1024">
        <v>0</v>
      </c>
      <c r="G1024">
        <v>0</v>
      </c>
      <c r="H1024">
        <f>_xlfn.XLOOKUP(I1024,$B$2:$B$1096,$A$2:$A$1096,65535)</f>
        <v>1016</v>
      </c>
      <c r="I1024" s="1" t="s">
        <v>775</v>
      </c>
      <c r="J1024">
        <f t="shared" ref="J1024:K1024" si="1737">C1024-C1060</f>
        <v>-19</v>
      </c>
      <c r="K1024">
        <f t="shared" si="1737"/>
        <v>0</v>
      </c>
      <c r="L1024">
        <f t="shared" ref="L1024:N1024" si="1738">E1024+E1060</f>
        <v>0</v>
      </c>
      <c r="M1024">
        <f t="shared" si="1738"/>
        <v>0</v>
      </c>
      <c r="N1024">
        <f t="shared" si="1738"/>
        <v>0</v>
      </c>
      <c r="P1024" t="str">
        <f t="shared" si="1668"/>
        <v>0, 0, 0, 0</v>
      </c>
    </row>
    <row r="1025" spans="1:16" ht="16" customHeight="1" x14ac:dyDescent="0.2">
      <c r="A1025">
        <f t="shared" si="1637"/>
        <v>1023</v>
      </c>
      <c r="B1025" s="1" t="s">
        <v>782</v>
      </c>
      <c r="C1025">
        <v>5</v>
      </c>
      <c r="D1025">
        <v>0</v>
      </c>
      <c r="E1025">
        <v>5</v>
      </c>
      <c r="F1025">
        <v>2</v>
      </c>
      <c r="G1025">
        <v>1</v>
      </c>
      <c r="H1025">
        <f>_xlfn.XLOOKUP(I1025,$B$2:$B$1096,$A$2:$A$1096,65535)</f>
        <v>65535</v>
      </c>
      <c r="J1025">
        <f t="shared" ref="J1025:K1025" si="1739">C1025-C1061</f>
        <v>-4</v>
      </c>
      <c r="K1025">
        <f t="shared" si="1739"/>
        <v>0</v>
      </c>
      <c r="L1025">
        <f t="shared" ref="L1025:N1025" si="1740">E1025+E1061</f>
        <v>5</v>
      </c>
      <c r="M1025">
        <f t="shared" si="1740"/>
        <v>2</v>
      </c>
      <c r="N1025">
        <f t="shared" si="1740"/>
        <v>1</v>
      </c>
      <c r="P1025" t="str">
        <f t="shared" si="1668"/>
        <v>0, 5, 2, 1</v>
      </c>
    </row>
    <row r="1026" spans="1:16" ht="16" customHeight="1" x14ac:dyDescent="0.2">
      <c r="A1026">
        <f t="shared" si="1637"/>
        <v>1024</v>
      </c>
      <c r="B1026" s="1" t="s">
        <v>783</v>
      </c>
      <c r="C1026">
        <v>4</v>
      </c>
      <c r="D1026">
        <v>0</v>
      </c>
      <c r="E1026">
        <v>5</v>
      </c>
      <c r="F1026">
        <v>2</v>
      </c>
      <c r="G1026">
        <v>1</v>
      </c>
      <c r="H1026">
        <f>_xlfn.XLOOKUP(I1026,$B$2:$B$1096,$A$2:$A$1096,65535)</f>
        <v>1016</v>
      </c>
      <c r="I1026" s="1" t="s">
        <v>775</v>
      </c>
      <c r="J1026">
        <f t="shared" ref="J1026:K1026" si="1741">C1026-C1062</f>
        <v>-4</v>
      </c>
      <c r="K1026">
        <f t="shared" si="1741"/>
        <v>0</v>
      </c>
      <c r="L1026">
        <f t="shared" ref="L1026:N1026" si="1742">E1026+E1062</f>
        <v>5</v>
      </c>
      <c r="M1026">
        <f t="shared" si="1742"/>
        <v>2</v>
      </c>
      <c r="N1026">
        <f t="shared" si="1742"/>
        <v>1</v>
      </c>
      <c r="P1026" t="str">
        <f t="shared" si="1668"/>
        <v>0, 5, 2, 1</v>
      </c>
    </row>
    <row r="1027" spans="1:16" ht="16" customHeight="1" x14ac:dyDescent="0.2">
      <c r="A1027">
        <f t="shared" si="1637"/>
        <v>1025</v>
      </c>
      <c r="B1027" s="1" t="s">
        <v>784</v>
      </c>
      <c r="C1027">
        <v>5</v>
      </c>
      <c r="D1027">
        <v>0</v>
      </c>
      <c r="E1027">
        <v>5</v>
      </c>
      <c r="F1027">
        <v>2</v>
      </c>
      <c r="G1027">
        <v>1</v>
      </c>
      <c r="H1027">
        <f>_xlfn.XLOOKUP(I1027,$B$2:$B$1096,$A$2:$A$1096,65535)</f>
        <v>65535</v>
      </c>
      <c r="J1027">
        <f t="shared" ref="J1027:K1027" si="1743">C1027-C1063</f>
        <v>-3</v>
      </c>
      <c r="K1027">
        <f t="shared" si="1743"/>
        <v>0</v>
      </c>
      <c r="L1027">
        <f t="shared" ref="L1027:N1027" si="1744">E1027+E1063</f>
        <v>5</v>
      </c>
      <c r="M1027">
        <f t="shared" si="1744"/>
        <v>2</v>
      </c>
      <c r="N1027">
        <f t="shared" si="1744"/>
        <v>1</v>
      </c>
      <c r="P1027" t="str">
        <f t="shared" si="1668"/>
        <v>0, 5, 2, 1</v>
      </c>
    </row>
    <row r="1028" spans="1:16" ht="16" customHeight="1" x14ac:dyDescent="0.2">
      <c r="A1028">
        <f t="shared" si="1637"/>
        <v>1026</v>
      </c>
      <c r="B1028" s="1" t="s">
        <v>785</v>
      </c>
      <c r="C1028">
        <v>4</v>
      </c>
      <c r="D1028">
        <v>0</v>
      </c>
      <c r="E1028">
        <v>5</v>
      </c>
      <c r="F1028">
        <v>2</v>
      </c>
      <c r="G1028">
        <v>1</v>
      </c>
      <c r="H1028">
        <f>_xlfn.XLOOKUP(I1028,$B$2:$B$1096,$A$2:$A$1096,65535)</f>
        <v>65535</v>
      </c>
      <c r="J1028">
        <f t="shared" ref="J1028:K1028" si="1745">C1028-C1064</f>
        <v>-4</v>
      </c>
      <c r="K1028">
        <f t="shared" si="1745"/>
        <v>0</v>
      </c>
      <c r="L1028">
        <f t="shared" ref="L1028:N1028" si="1746">E1028+E1064</f>
        <v>5</v>
      </c>
      <c r="M1028">
        <f t="shared" si="1746"/>
        <v>2</v>
      </c>
      <c r="N1028">
        <f t="shared" si="1746"/>
        <v>1</v>
      </c>
      <c r="P1028" t="str">
        <f t="shared" si="1668"/>
        <v>0, 5, 2, 1</v>
      </c>
    </row>
    <row r="1029" spans="1:16" ht="16" customHeight="1" x14ac:dyDescent="0.2">
      <c r="A1029">
        <f t="shared" si="1637"/>
        <v>1027</v>
      </c>
      <c r="B1029" s="1" t="s">
        <v>786</v>
      </c>
      <c r="C1029">
        <v>5</v>
      </c>
      <c r="D1029">
        <v>0</v>
      </c>
      <c r="E1029">
        <v>-5</v>
      </c>
      <c r="F1029">
        <v>-2</v>
      </c>
      <c r="G1029">
        <v>-1</v>
      </c>
      <c r="H1029">
        <f>_xlfn.XLOOKUP(I1029,$B$2:$B$1096,$A$2:$A$1096,65535)</f>
        <v>65535</v>
      </c>
      <c r="J1029">
        <f t="shared" ref="J1029:K1029" si="1747">C1029-C1065</f>
        <v>-3</v>
      </c>
      <c r="K1029">
        <f t="shared" si="1747"/>
        <v>0</v>
      </c>
      <c r="L1029">
        <f t="shared" ref="L1029:N1029" si="1748">E1029+E1065</f>
        <v>-5</v>
      </c>
      <c r="M1029">
        <f t="shared" si="1748"/>
        <v>-2</v>
      </c>
      <c r="N1029">
        <f t="shared" si="1748"/>
        <v>-1</v>
      </c>
      <c r="P1029" t="str">
        <f t="shared" si="1668"/>
        <v>0, -5, -2, -1</v>
      </c>
    </row>
    <row r="1030" spans="1:16" ht="16" customHeight="1" x14ac:dyDescent="0.2">
      <c r="A1030">
        <f t="shared" si="1637"/>
        <v>1028</v>
      </c>
      <c r="B1030" s="1" t="s">
        <v>787</v>
      </c>
      <c r="C1030">
        <v>4</v>
      </c>
      <c r="D1030">
        <v>0</v>
      </c>
      <c r="E1030">
        <v>-5</v>
      </c>
      <c r="F1030">
        <v>-2</v>
      </c>
      <c r="G1030">
        <v>-1</v>
      </c>
      <c r="H1030">
        <f>_xlfn.XLOOKUP(I1030,$B$2:$B$1096,$A$2:$A$1096,65535)</f>
        <v>1016</v>
      </c>
      <c r="I1030" s="1" t="s">
        <v>775</v>
      </c>
      <c r="J1030">
        <f t="shared" ref="J1030:K1030" si="1749">C1030-C1066</f>
        <v>-5</v>
      </c>
      <c r="K1030">
        <f t="shared" si="1749"/>
        <v>0</v>
      </c>
      <c r="L1030">
        <f t="shared" ref="L1030:N1030" si="1750">E1030+E1066</f>
        <v>-5</v>
      </c>
      <c r="M1030">
        <f t="shared" si="1750"/>
        <v>-2</v>
      </c>
      <c r="N1030">
        <f t="shared" si="1750"/>
        <v>-1</v>
      </c>
      <c r="P1030" t="str">
        <f t="shared" si="1668"/>
        <v>0, -5, -2, -1</v>
      </c>
    </row>
    <row r="1031" spans="1:16" ht="16" customHeight="1" x14ac:dyDescent="0.2">
      <c r="A1031">
        <f t="shared" si="1637"/>
        <v>1029</v>
      </c>
      <c r="B1031" s="1" t="s">
        <v>788</v>
      </c>
      <c r="C1031">
        <v>5</v>
      </c>
      <c r="D1031">
        <v>0</v>
      </c>
      <c r="E1031">
        <v>-5</v>
      </c>
      <c r="F1031">
        <v>-2</v>
      </c>
      <c r="G1031">
        <v>-1</v>
      </c>
      <c r="H1031">
        <f>_xlfn.XLOOKUP(I1031,$B$2:$B$1096,$A$2:$A$1096,65535)</f>
        <v>65535</v>
      </c>
      <c r="J1031">
        <f t="shared" ref="J1031:K1031" si="1751">C1031-C1067</f>
        <v>-4</v>
      </c>
      <c r="K1031">
        <f t="shared" si="1751"/>
        <v>0</v>
      </c>
      <c r="L1031">
        <f t="shared" ref="L1031:N1031" si="1752">E1031+E1067</f>
        <v>-5</v>
      </c>
      <c r="M1031">
        <f t="shared" si="1752"/>
        <v>-2</v>
      </c>
      <c r="N1031">
        <f t="shared" si="1752"/>
        <v>-1</v>
      </c>
      <c r="P1031" t="str">
        <f t="shared" si="1668"/>
        <v>0, -5, -2, -1</v>
      </c>
    </row>
    <row r="1032" spans="1:16" ht="16" customHeight="1" x14ac:dyDescent="0.2">
      <c r="A1032">
        <f t="shared" si="1637"/>
        <v>1030</v>
      </c>
      <c r="B1032" s="1" t="s">
        <v>789</v>
      </c>
      <c r="C1032">
        <v>4</v>
      </c>
      <c r="D1032">
        <v>0</v>
      </c>
      <c r="E1032">
        <v>-5</v>
      </c>
      <c r="F1032">
        <v>-2</v>
      </c>
      <c r="G1032">
        <v>-1</v>
      </c>
      <c r="H1032">
        <f>_xlfn.XLOOKUP(I1032,$B$2:$B$1096,$A$2:$A$1096,65535)</f>
        <v>65535</v>
      </c>
      <c r="J1032">
        <f t="shared" ref="J1032:K1032" si="1753">C1032-C1068</f>
        <v>-5</v>
      </c>
      <c r="K1032">
        <f t="shared" si="1753"/>
        <v>0</v>
      </c>
      <c r="L1032">
        <f t="shared" ref="L1032:N1032" si="1754">E1032+E1068</f>
        <v>-5</v>
      </c>
      <c r="M1032">
        <f t="shared" si="1754"/>
        <v>-2</v>
      </c>
      <c r="N1032">
        <f t="shared" si="1754"/>
        <v>-1</v>
      </c>
      <c r="P1032" t="str">
        <f t="shared" si="1668"/>
        <v>0, -5, -2, -1</v>
      </c>
    </row>
    <row r="1033" spans="1:16" ht="16" customHeight="1" x14ac:dyDescent="0.2">
      <c r="A1033">
        <f t="shared" si="1637"/>
        <v>1031</v>
      </c>
      <c r="B1033" s="1" t="s">
        <v>790</v>
      </c>
      <c r="C1033">
        <v>5</v>
      </c>
      <c r="D1033">
        <v>0</v>
      </c>
      <c r="E1033">
        <v>0</v>
      </c>
      <c r="F1033">
        <v>0</v>
      </c>
      <c r="G1033">
        <v>0</v>
      </c>
      <c r="H1033">
        <f>_xlfn.XLOOKUP(I1033,$B$2:$B$1096,$A$2:$A$1096,65535)</f>
        <v>65535</v>
      </c>
      <c r="J1033">
        <f t="shared" ref="J1033:K1033" si="1755">C1033-C1069</f>
        <v>-4</v>
      </c>
      <c r="K1033">
        <f t="shared" si="1755"/>
        <v>0</v>
      </c>
      <c r="L1033">
        <f t="shared" ref="L1033:N1033" si="1756">E1033+E1069</f>
        <v>0</v>
      </c>
      <c r="M1033">
        <f t="shared" si="1756"/>
        <v>0</v>
      </c>
      <c r="N1033">
        <f t="shared" si="1756"/>
        <v>0</v>
      </c>
      <c r="P1033" t="str">
        <f t="shared" si="1668"/>
        <v>0, 0, 0, 0</v>
      </c>
    </row>
    <row r="1034" spans="1:16" ht="16" customHeight="1" x14ac:dyDescent="0.2">
      <c r="A1034">
        <f t="shared" si="1637"/>
        <v>1032</v>
      </c>
      <c r="B1034" s="1" t="s">
        <v>791</v>
      </c>
      <c r="C1034">
        <v>4</v>
      </c>
      <c r="D1034">
        <v>3</v>
      </c>
      <c r="E1034">
        <v>0</v>
      </c>
      <c r="F1034">
        <v>0</v>
      </c>
      <c r="G1034">
        <v>0</v>
      </c>
      <c r="H1034">
        <f>_xlfn.XLOOKUP(I1034,$B$2:$B$1096,$A$2:$A$1096,65535)</f>
        <v>65535</v>
      </c>
      <c r="J1034">
        <f t="shared" ref="J1034:K1034" si="1757">C1034-C1070</f>
        <v>-5</v>
      </c>
      <c r="K1034">
        <f t="shared" si="1757"/>
        <v>3</v>
      </c>
      <c r="L1034">
        <f t="shared" ref="L1034:N1034" si="1758">E1034+E1070</f>
        <v>0</v>
      </c>
      <c r="M1034">
        <f t="shared" si="1758"/>
        <v>0</v>
      </c>
      <c r="N1034">
        <f t="shared" si="1758"/>
        <v>0</v>
      </c>
      <c r="P1034" t="str">
        <f t="shared" si="1668"/>
        <v>3, 0, 0, 0</v>
      </c>
    </row>
    <row r="1035" spans="1:16" ht="16" customHeight="1" x14ac:dyDescent="0.2">
      <c r="A1035">
        <f t="shared" si="1637"/>
        <v>1033</v>
      </c>
      <c r="B1035" s="1" t="s">
        <v>792</v>
      </c>
      <c r="C1035">
        <v>4</v>
      </c>
      <c r="D1035">
        <v>2</v>
      </c>
      <c r="E1035">
        <v>0</v>
      </c>
      <c r="F1035">
        <v>0</v>
      </c>
      <c r="G1035">
        <v>0</v>
      </c>
      <c r="H1035">
        <f>_xlfn.XLOOKUP(I1035,$B$2:$B$1096,$A$2:$A$1096,65535)</f>
        <v>65535</v>
      </c>
      <c r="J1035">
        <f t="shared" ref="J1035:K1035" si="1759">C1035-C1071</f>
        <v>-5</v>
      </c>
      <c r="K1035">
        <f t="shared" si="1759"/>
        <v>2</v>
      </c>
      <c r="L1035">
        <f t="shared" ref="L1035:N1035" si="1760">E1035+E1071</f>
        <v>0</v>
      </c>
      <c r="M1035">
        <f t="shared" si="1760"/>
        <v>0</v>
      </c>
      <c r="N1035">
        <f t="shared" si="1760"/>
        <v>0</v>
      </c>
      <c r="P1035" t="str">
        <f t="shared" si="1668"/>
        <v>2, 0, 0, 0</v>
      </c>
    </row>
    <row r="1036" spans="1:16" ht="16" customHeight="1" x14ac:dyDescent="0.2">
      <c r="A1036">
        <f t="shared" si="1637"/>
        <v>1034</v>
      </c>
      <c r="B1036" s="1" t="s">
        <v>793</v>
      </c>
      <c r="C1036">
        <v>4</v>
      </c>
      <c r="D1036">
        <v>1</v>
      </c>
      <c r="E1036">
        <v>0</v>
      </c>
      <c r="F1036">
        <v>0</v>
      </c>
      <c r="G1036">
        <v>0</v>
      </c>
      <c r="H1036">
        <f>_xlfn.XLOOKUP(I1036,$B$2:$B$1096,$A$2:$A$1096,65535)</f>
        <v>65535</v>
      </c>
      <c r="J1036">
        <f t="shared" ref="J1036:K1036" si="1761">C1036-C1072</f>
        <v>-5</v>
      </c>
      <c r="K1036">
        <f t="shared" si="1761"/>
        <v>1</v>
      </c>
      <c r="L1036">
        <f t="shared" ref="L1036:N1036" si="1762">E1036+E1072</f>
        <v>0</v>
      </c>
      <c r="M1036">
        <f t="shared" si="1762"/>
        <v>0</v>
      </c>
      <c r="N1036">
        <f t="shared" si="1762"/>
        <v>0</v>
      </c>
      <c r="P1036" t="str">
        <f t="shared" si="1668"/>
        <v>1, 0, 0, 0</v>
      </c>
    </row>
    <row r="1037" spans="1:16" ht="16" customHeight="1" x14ac:dyDescent="0.2">
      <c r="A1037">
        <f t="shared" si="1637"/>
        <v>1035</v>
      </c>
      <c r="B1037" s="1" t="s">
        <v>794</v>
      </c>
      <c r="C1037">
        <v>4</v>
      </c>
      <c r="D1037">
        <v>-1</v>
      </c>
      <c r="E1037">
        <v>0</v>
      </c>
      <c r="F1037">
        <v>0</v>
      </c>
      <c r="G1037">
        <v>0</v>
      </c>
      <c r="H1037">
        <f>_xlfn.XLOOKUP(I1037,$B$2:$B$1096,$A$2:$A$1096,65535)</f>
        <v>65535</v>
      </c>
      <c r="J1037">
        <f t="shared" ref="J1037:K1037" si="1763">C1037-C1073</f>
        <v>-5</v>
      </c>
      <c r="K1037">
        <f t="shared" si="1763"/>
        <v>-1</v>
      </c>
      <c r="L1037">
        <f t="shared" ref="L1037:N1037" si="1764">E1037+E1073</f>
        <v>0</v>
      </c>
      <c r="M1037">
        <f t="shared" si="1764"/>
        <v>0</v>
      </c>
      <c r="N1037">
        <f t="shared" si="1764"/>
        <v>0</v>
      </c>
      <c r="P1037" t="str">
        <f t="shared" si="1668"/>
        <v>-1, 0, 0, 0</v>
      </c>
    </row>
    <row r="1038" spans="1:16" ht="16" customHeight="1" x14ac:dyDescent="0.2">
      <c r="A1038">
        <f t="shared" si="1637"/>
        <v>1036</v>
      </c>
      <c r="B1038" s="1" t="s">
        <v>795</v>
      </c>
      <c r="C1038">
        <v>5</v>
      </c>
      <c r="D1038">
        <v>-2</v>
      </c>
      <c r="E1038">
        <v>0</v>
      </c>
      <c r="F1038">
        <v>0</v>
      </c>
      <c r="G1038">
        <v>0</v>
      </c>
      <c r="H1038">
        <f>_xlfn.XLOOKUP(I1038,$B$2:$B$1096,$A$2:$A$1096,65535)</f>
        <v>65535</v>
      </c>
      <c r="J1038">
        <f t="shared" ref="J1038:K1038" si="1765">C1038-C1074</f>
        <v>-4</v>
      </c>
      <c r="K1038">
        <f t="shared" si="1765"/>
        <v>-2</v>
      </c>
      <c r="L1038">
        <f t="shared" ref="L1038:N1038" si="1766">E1038+E1074</f>
        <v>0</v>
      </c>
      <c r="M1038">
        <f t="shared" si="1766"/>
        <v>0</v>
      </c>
      <c r="N1038">
        <f t="shared" si="1766"/>
        <v>0</v>
      </c>
      <c r="P1038" t="str">
        <f t="shared" si="1668"/>
        <v>-2, 0, 0, 0</v>
      </c>
    </row>
    <row r="1039" spans="1:16" ht="16" customHeight="1" x14ac:dyDescent="0.2">
      <c r="A1039">
        <f t="shared" ref="A1039:A1102" si="1767">A1038+1</f>
        <v>1037</v>
      </c>
      <c r="B1039" s="1" t="s">
        <v>796</v>
      </c>
      <c r="C1039">
        <v>4</v>
      </c>
      <c r="D1039">
        <v>-3</v>
      </c>
      <c r="E1039">
        <v>0</v>
      </c>
      <c r="F1039">
        <v>0</v>
      </c>
      <c r="G1039">
        <v>0</v>
      </c>
      <c r="H1039">
        <f>_xlfn.XLOOKUP(I1039,$B$2:$B$1096,$A$2:$A$1096,65535)</f>
        <v>1016</v>
      </c>
      <c r="I1039" s="1" t="s">
        <v>775</v>
      </c>
      <c r="J1039">
        <f t="shared" ref="J1039:K1039" si="1768">C1039-C1075</f>
        <v>-8</v>
      </c>
      <c r="K1039">
        <f t="shared" si="1768"/>
        <v>-3</v>
      </c>
      <c r="L1039">
        <f t="shared" ref="L1039:N1039" si="1769">E1039+E1075</f>
        <v>0</v>
      </c>
      <c r="M1039">
        <f t="shared" si="1769"/>
        <v>0</v>
      </c>
      <c r="N1039">
        <f t="shared" si="1769"/>
        <v>0</v>
      </c>
      <c r="P1039" t="str">
        <f t="shared" si="1668"/>
        <v>-3, 0, 0, 0</v>
      </c>
    </row>
    <row r="1040" spans="1:16" ht="38" customHeight="1" x14ac:dyDescent="0.2">
      <c r="A1040">
        <f t="shared" si="1767"/>
        <v>1038</v>
      </c>
      <c r="B1040" s="1" t="s">
        <v>643</v>
      </c>
      <c r="C1040">
        <v>8</v>
      </c>
      <c r="D1040">
        <v>0</v>
      </c>
      <c r="E1040">
        <v>0</v>
      </c>
      <c r="F1040">
        <v>0</v>
      </c>
      <c r="G1040">
        <v>0</v>
      </c>
      <c r="H1040">
        <f>_xlfn.XLOOKUP(I1040,$B$2:$B$1096,$A$2:$A$1096,65535)</f>
        <v>65535</v>
      </c>
      <c r="J1040">
        <f t="shared" ref="J1040:K1040" si="1770">C1040-C1076</f>
        <v>-5</v>
      </c>
      <c r="K1040">
        <f t="shared" si="1770"/>
        <v>0</v>
      </c>
      <c r="L1040">
        <f t="shared" ref="L1040:N1040" si="1771">E1040+E1076</f>
        <v>0</v>
      </c>
      <c r="M1040">
        <f t="shared" si="1771"/>
        <v>0</v>
      </c>
      <c r="N1040">
        <f t="shared" si="1771"/>
        <v>0</v>
      </c>
      <c r="P1040" t="str">
        <f t="shared" si="1668"/>
        <v>0, 0, 0, 0</v>
      </c>
    </row>
    <row r="1041" spans="1:16" ht="16" customHeight="1" x14ac:dyDescent="0.2">
      <c r="A1041">
        <f t="shared" si="1767"/>
        <v>1039</v>
      </c>
      <c r="B1041" s="1" t="s">
        <v>644</v>
      </c>
      <c r="C1041">
        <v>9</v>
      </c>
      <c r="D1041">
        <v>0</v>
      </c>
      <c r="E1041">
        <v>0</v>
      </c>
      <c r="F1041">
        <v>0</v>
      </c>
      <c r="G1041">
        <v>0</v>
      </c>
      <c r="H1041">
        <f>_xlfn.XLOOKUP(I1041,$B$2:$B$1096,$A$2:$A$1096,65535)</f>
        <v>65535</v>
      </c>
      <c r="J1041">
        <f t="shared" ref="J1041:K1041" si="1772">C1041-C1077</f>
        <v>-5</v>
      </c>
      <c r="K1041">
        <f t="shared" si="1772"/>
        <v>0</v>
      </c>
      <c r="L1041">
        <f t="shared" ref="L1041:N1041" si="1773">E1041+E1077</f>
        <v>0</v>
      </c>
      <c r="M1041">
        <f t="shared" si="1773"/>
        <v>0</v>
      </c>
      <c r="N1041">
        <f t="shared" si="1773"/>
        <v>0</v>
      </c>
      <c r="P1041" t="str">
        <f t="shared" si="1668"/>
        <v>0, 0, 0, 0</v>
      </c>
    </row>
    <row r="1042" spans="1:16" ht="16" customHeight="1" x14ac:dyDescent="0.2">
      <c r="A1042">
        <f t="shared" si="1767"/>
        <v>1040</v>
      </c>
      <c r="B1042" s="1" t="s">
        <v>645</v>
      </c>
      <c r="C1042">
        <v>10</v>
      </c>
      <c r="D1042">
        <v>0</v>
      </c>
      <c r="E1042">
        <v>0</v>
      </c>
      <c r="F1042">
        <v>0</v>
      </c>
      <c r="G1042">
        <v>0</v>
      </c>
      <c r="H1042">
        <f>_xlfn.XLOOKUP(I1042,$B$2:$B$1096,$A$2:$A$1096,65535)</f>
        <v>65535</v>
      </c>
      <c r="J1042">
        <f t="shared" ref="J1042:K1042" si="1774">C1042-C1078</f>
        <v>-5</v>
      </c>
      <c r="K1042">
        <f t="shared" si="1774"/>
        <v>0</v>
      </c>
      <c r="L1042">
        <f t="shared" ref="L1042:N1042" si="1775">E1042+E1078</f>
        <v>0</v>
      </c>
      <c r="M1042">
        <f t="shared" si="1775"/>
        <v>0</v>
      </c>
      <c r="N1042">
        <f t="shared" si="1775"/>
        <v>0</v>
      </c>
      <c r="P1042" t="str">
        <f t="shared" si="1668"/>
        <v>0, 0, 0, 0</v>
      </c>
    </row>
    <row r="1043" spans="1:16" ht="16" customHeight="1" x14ac:dyDescent="0.2">
      <c r="A1043">
        <f t="shared" si="1767"/>
        <v>1041</v>
      </c>
      <c r="B1043" s="1" t="s">
        <v>646</v>
      </c>
      <c r="C1043">
        <v>11</v>
      </c>
      <c r="D1043">
        <v>0</v>
      </c>
      <c r="E1043">
        <v>0</v>
      </c>
      <c r="F1043">
        <v>0</v>
      </c>
      <c r="G1043">
        <v>0</v>
      </c>
      <c r="H1043">
        <f>_xlfn.XLOOKUP(I1043,$B$2:$B$1096,$A$2:$A$1096,65535)</f>
        <v>65535</v>
      </c>
      <c r="J1043">
        <f t="shared" ref="J1043:K1043" si="1776">C1043-C1079</f>
        <v>-3</v>
      </c>
      <c r="K1043">
        <f t="shared" si="1776"/>
        <v>0</v>
      </c>
      <c r="L1043">
        <f t="shared" ref="L1043:N1043" si="1777">E1043+E1079</f>
        <v>0</v>
      </c>
      <c r="M1043">
        <f t="shared" si="1777"/>
        <v>0</v>
      </c>
      <c r="N1043">
        <f t="shared" si="1777"/>
        <v>0</v>
      </c>
      <c r="P1043" t="str">
        <f t="shared" si="1668"/>
        <v>0, 0, 0, 0</v>
      </c>
    </row>
    <row r="1044" spans="1:16" ht="16" customHeight="1" x14ac:dyDescent="0.2">
      <c r="A1044">
        <f t="shared" si="1767"/>
        <v>1042</v>
      </c>
      <c r="B1044" s="1" t="s">
        <v>647</v>
      </c>
      <c r="C1044">
        <v>24</v>
      </c>
      <c r="D1044">
        <v>0</v>
      </c>
      <c r="E1044">
        <v>0</v>
      </c>
      <c r="F1044">
        <v>0</v>
      </c>
      <c r="G1044">
        <v>0</v>
      </c>
      <c r="H1044">
        <f>_xlfn.XLOOKUP(I1044,$B$2:$B$1096,$A$2:$A$1096,65535)</f>
        <v>65535</v>
      </c>
      <c r="J1044">
        <f t="shared" ref="J1044:K1044" si="1778">C1044-C1080</f>
        <v>11</v>
      </c>
      <c r="K1044">
        <f t="shared" si="1778"/>
        <v>0</v>
      </c>
      <c r="L1044">
        <f t="shared" ref="L1044:N1044" si="1779">E1044+E1080</f>
        <v>0</v>
      </c>
      <c r="M1044">
        <f t="shared" si="1779"/>
        <v>0</v>
      </c>
      <c r="N1044">
        <f t="shared" si="1779"/>
        <v>0</v>
      </c>
      <c r="P1044" t="str">
        <f t="shared" si="1668"/>
        <v>0, 0, 0, 0</v>
      </c>
    </row>
    <row r="1045" spans="1:16" ht="16" customHeight="1" x14ac:dyDescent="0.2">
      <c r="A1045">
        <f t="shared" si="1767"/>
        <v>1043</v>
      </c>
      <c r="B1045" s="1" t="s">
        <v>648</v>
      </c>
      <c r="C1045">
        <v>25</v>
      </c>
      <c r="D1045">
        <v>0</v>
      </c>
      <c r="E1045">
        <v>0</v>
      </c>
      <c r="F1045">
        <v>0</v>
      </c>
      <c r="G1045">
        <v>0</v>
      </c>
      <c r="H1045">
        <f>_xlfn.XLOOKUP(I1045,$B$2:$B$1096,$A$2:$A$1096,65535)</f>
        <v>65535</v>
      </c>
      <c r="J1045">
        <f t="shared" ref="J1045:K1045" si="1780">C1045-C1081</f>
        <v>13</v>
      </c>
      <c r="K1045">
        <f t="shared" si="1780"/>
        <v>0</v>
      </c>
      <c r="L1045">
        <f t="shared" ref="L1045:N1045" si="1781">E1045+E1081</f>
        <v>0</v>
      </c>
      <c r="M1045">
        <f t="shared" si="1781"/>
        <v>0</v>
      </c>
      <c r="N1045">
        <f t="shared" si="1781"/>
        <v>0</v>
      </c>
      <c r="P1045" t="str">
        <f t="shared" si="1668"/>
        <v>0, 0, 0, 0</v>
      </c>
    </row>
    <row r="1046" spans="1:16" ht="16" customHeight="1" x14ac:dyDescent="0.2">
      <c r="A1046">
        <f t="shared" si="1767"/>
        <v>1044</v>
      </c>
      <c r="B1046" s="1" t="s">
        <v>649</v>
      </c>
      <c r="C1046">
        <v>26</v>
      </c>
      <c r="D1046">
        <v>0</v>
      </c>
      <c r="E1046">
        <v>0</v>
      </c>
      <c r="F1046">
        <v>0</v>
      </c>
      <c r="G1046">
        <v>0</v>
      </c>
      <c r="H1046">
        <f>_xlfn.XLOOKUP(I1046,$B$2:$B$1096,$A$2:$A$1096,65535)</f>
        <v>65535</v>
      </c>
      <c r="J1046">
        <f t="shared" ref="J1046:K1046" si="1782">C1046-C1082</f>
        <v>13</v>
      </c>
      <c r="K1046">
        <f t="shared" si="1782"/>
        <v>0</v>
      </c>
      <c r="L1046">
        <f t="shared" ref="L1046:N1046" si="1783">E1046+E1082</f>
        <v>-5</v>
      </c>
      <c r="M1046">
        <f t="shared" si="1783"/>
        <v>-2</v>
      </c>
      <c r="N1046">
        <f t="shared" si="1783"/>
        <v>-1</v>
      </c>
      <c r="P1046" t="str">
        <f t="shared" si="1668"/>
        <v>0, 0, 0, 0</v>
      </c>
    </row>
    <row r="1047" spans="1:16" ht="16" customHeight="1" x14ac:dyDescent="0.2">
      <c r="A1047">
        <f t="shared" si="1767"/>
        <v>1045</v>
      </c>
      <c r="B1047" s="1" t="s">
        <v>650</v>
      </c>
      <c r="C1047">
        <v>27</v>
      </c>
      <c r="D1047">
        <v>0</v>
      </c>
      <c r="E1047">
        <v>0</v>
      </c>
      <c r="F1047">
        <v>0</v>
      </c>
      <c r="G1047">
        <v>0</v>
      </c>
      <c r="H1047">
        <f>_xlfn.XLOOKUP(I1047,$B$2:$B$1096,$A$2:$A$1096,65535)</f>
        <v>65535</v>
      </c>
      <c r="J1047">
        <f t="shared" ref="J1047:K1047" si="1784">C1047-C1083</f>
        <v>15</v>
      </c>
      <c r="K1047">
        <f t="shared" si="1784"/>
        <v>0</v>
      </c>
      <c r="L1047">
        <f t="shared" ref="L1047:N1047" si="1785">E1047+E1083</f>
        <v>-5</v>
      </c>
      <c r="M1047">
        <f t="shared" si="1785"/>
        <v>-2</v>
      </c>
      <c r="N1047">
        <f t="shared" si="1785"/>
        <v>-1</v>
      </c>
      <c r="P1047" t="str">
        <f t="shared" si="1668"/>
        <v>0, 0, 0, 0</v>
      </c>
    </row>
    <row r="1048" spans="1:16" ht="16" customHeight="1" x14ac:dyDescent="0.2">
      <c r="A1048">
        <f t="shared" si="1767"/>
        <v>1046</v>
      </c>
      <c r="B1048" s="1" t="s">
        <v>651</v>
      </c>
      <c r="C1048">
        <v>23</v>
      </c>
      <c r="D1048">
        <v>0</v>
      </c>
      <c r="E1048">
        <v>0</v>
      </c>
      <c r="F1048">
        <v>0</v>
      </c>
      <c r="G1048">
        <v>0</v>
      </c>
      <c r="H1048">
        <f>_xlfn.XLOOKUP(I1048,$B$2:$B$1096,$A$2:$A$1096,65535)</f>
        <v>65535</v>
      </c>
      <c r="J1048">
        <f t="shared" ref="J1048:K1048" si="1786">C1048-C1084</f>
        <v>10</v>
      </c>
      <c r="K1048">
        <f t="shared" si="1786"/>
        <v>0</v>
      </c>
      <c r="L1048">
        <f t="shared" ref="L1048:N1048" si="1787">E1048+E1084</f>
        <v>-5</v>
      </c>
      <c r="M1048">
        <f t="shared" si="1787"/>
        <v>-2</v>
      </c>
      <c r="N1048">
        <f t="shared" si="1787"/>
        <v>-1</v>
      </c>
      <c r="P1048" t="str">
        <f t="shared" si="1668"/>
        <v>0, 0, 0, 0</v>
      </c>
    </row>
    <row r="1049" spans="1:16" ht="16" customHeight="1" x14ac:dyDescent="0.2">
      <c r="A1049">
        <f t="shared" si="1767"/>
        <v>1047</v>
      </c>
      <c r="B1049" s="1" t="s">
        <v>652</v>
      </c>
      <c r="C1049">
        <v>27</v>
      </c>
      <c r="D1049">
        <v>0</v>
      </c>
      <c r="E1049">
        <v>0</v>
      </c>
      <c r="F1049">
        <v>0</v>
      </c>
      <c r="G1049">
        <v>0</v>
      </c>
      <c r="H1049">
        <f>_xlfn.XLOOKUP(I1049,$B$2:$B$1096,$A$2:$A$1096,65535)</f>
        <v>65535</v>
      </c>
      <c r="J1049">
        <f t="shared" ref="J1049:K1049" si="1788">C1049-C1085</f>
        <v>15</v>
      </c>
      <c r="K1049">
        <f t="shared" si="1788"/>
        <v>0</v>
      </c>
      <c r="L1049">
        <f t="shared" ref="L1049:N1049" si="1789">E1049+E1085</f>
        <v>-5</v>
      </c>
      <c r="M1049">
        <f t="shared" si="1789"/>
        <v>-2</v>
      </c>
      <c r="N1049">
        <f t="shared" si="1789"/>
        <v>-1</v>
      </c>
      <c r="P1049" t="str">
        <f t="shared" si="1668"/>
        <v>0, 0, 0, 0</v>
      </c>
    </row>
    <row r="1050" spans="1:16" ht="16" customHeight="1" x14ac:dyDescent="0.2">
      <c r="A1050">
        <f t="shared" si="1767"/>
        <v>1048</v>
      </c>
      <c r="B1050" s="1" t="s">
        <v>653</v>
      </c>
      <c r="C1050">
        <v>27</v>
      </c>
      <c r="D1050">
        <v>0</v>
      </c>
      <c r="E1050">
        <v>0</v>
      </c>
      <c r="F1050">
        <v>0</v>
      </c>
      <c r="G1050">
        <v>0</v>
      </c>
      <c r="H1050">
        <f>_xlfn.XLOOKUP(I1050,$B$2:$B$1096,$A$2:$A$1096,65535)</f>
        <v>65535</v>
      </c>
      <c r="J1050">
        <f t="shared" ref="J1050:K1050" si="1790">C1050-C1086</f>
        <v>14</v>
      </c>
      <c r="K1050">
        <f t="shared" si="1790"/>
        <v>0</v>
      </c>
      <c r="L1050">
        <f t="shared" ref="L1050:N1050" si="1791">E1050+E1086</f>
        <v>5</v>
      </c>
      <c r="M1050">
        <f t="shared" si="1791"/>
        <v>2</v>
      </c>
      <c r="N1050">
        <f t="shared" si="1791"/>
        <v>1</v>
      </c>
      <c r="P1050" t="str">
        <f t="shared" si="1668"/>
        <v>0, 0, 0, 0</v>
      </c>
    </row>
    <row r="1051" spans="1:16" ht="16" customHeight="1" x14ac:dyDescent="0.2">
      <c r="A1051">
        <f t="shared" si="1767"/>
        <v>1049</v>
      </c>
      <c r="B1051" s="1" t="s">
        <v>654</v>
      </c>
      <c r="C1051">
        <v>28</v>
      </c>
      <c r="D1051">
        <v>0</v>
      </c>
      <c r="E1051">
        <v>0</v>
      </c>
      <c r="F1051">
        <v>0</v>
      </c>
      <c r="G1051">
        <v>0</v>
      </c>
      <c r="H1051">
        <f>_xlfn.XLOOKUP(I1051,$B$2:$B$1096,$A$2:$A$1096,65535)</f>
        <v>65535</v>
      </c>
      <c r="J1051">
        <f t="shared" ref="J1051:K1051" si="1792">C1051-C1087</f>
        <v>16</v>
      </c>
      <c r="K1051">
        <f t="shared" si="1792"/>
        <v>0</v>
      </c>
      <c r="L1051">
        <f t="shared" ref="L1051:N1051" si="1793">E1051+E1087</f>
        <v>5</v>
      </c>
      <c r="M1051">
        <f t="shared" si="1793"/>
        <v>2</v>
      </c>
      <c r="N1051">
        <f t="shared" si="1793"/>
        <v>1</v>
      </c>
      <c r="P1051" t="str">
        <f t="shared" si="1668"/>
        <v>0, 0, 0, 0</v>
      </c>
    </row>
    <row r="1052" spans="1:16" ht="16" customHeight="1" x14ac:dyDescent="0.2">
      <c r="A1052">
        <f t="shared" si="1767"/>
        <v>1050</v>
      </c>
      <c r="B1052" s="1" t="s">
        <v>655</v>
      </c>
      <c r="C1052">
        <v>29</v>
      </c>
      <c r="D1052">
        <v>0</v>
      </c>
      <c r="E1052">
        <v>0</v>
      </c>
      <c r="F1052">
        <v>0</v>
      </c>
      <c r="G1052">
        <v>0</v>
      </c>
      <c r="H1052">
        <f>_xlfn.XLOOKUP(I1052,$B$2:$B$1096,$A$2:$A$1096,65535)</f>
        <v>65535</v>
      </c>
      <c r="J1052">
        <f t="shared" ref="J1052:K1052" si="1794">C1052-C1088</f>
        <v>16</v>
      </c>
      <c r="K1052">
        <f t="shared" si="1794"/>
        <v>0</v>
      </c>
      <c r="L1052">
        <f t="shared" ref="L1052:N1052" si="1795">E1052+E1088</f>
        <v>5</v>
      </c>
      <c r="M1052">
        <f t="shared" si="1795"/>
        <v>2</v>
      </c>
      <c r="N1052">
        <f t="shared" si="1795"/>
        <v>1</v>
      </c>
      <c r="P1052" t="str">
        <f t="shared" si="1668"/>
        <v>0, 0, 0, 0</v>
      </c>
    </row>
    <row r="1053" spans="1:16" ht="16" customHeight="1" x14ac:dyDescent="0.2">
      <c r="A1053">
        <f t="shared" si="1767"/>
        <v>1051</v>
      </c>
      <c r="B1053" s="1" t="s">
        <v>656</v>
      </c>
      <c r="C1053">
        <v>29</v>
      </c>
      <c r="D1053">
        <v>0</v>
      </c>
      <c r="E1053">
        <v>0</v>
      </c>
      <c r="F1053">
        <v>0</v>
      </c>
      <c r="G1053">
        <v>0</v>
      </c>
      <c r="H1053">
        <f>_xlfn.XLOOKUP(I1053,$B$2:$B$1096,$A$2:$A$1096,65535)</f>
        <v>65535</v>
      </c>
      <c r="J1053">
        <f t="shared" ref="J1053:K1053" si="1796">C1053-C1089</f>
        <v>17</v>
      </c>
      <c r="K1053">
        <f t="shared" si="1796"/>
        <v>0</v>
      </c>
      <c r="L1053">
        <f t="shared" ref="L1053:N1053" si="1797">E1053+E1089</f>
        <v>5</v>
      </c>
      <c r="M1053">
        <f t="shared" si="1797"/>
        <v>2</v>
      </c>
      <c r="N1053">
        <f t="shared" si="1797"/>
        <v>-1</v>
      </c>
      <c r="P1053" t="str">
        <f t="shared" ref="P1053:P1116" si="1798">_xlfn.CONCAT(D1053,", ",E1053,", ",F1053,", ",G1053)</f>
        <v>0, 0, 0, 0</v>
      </c>
    </row>
    <row r="1054" spans="1:16" ht="16" customHeight="1" x14ac:dyDescent="0.2">
      <c r="A1054">
        <f t="shared" si="1767"/>
        <v>1052</v>
      </c>
      <c r="B1054" s="1" t="s">
        <v>657</v>
      </c>
      <c r="C1054">
        <v>29</v>
      </c>
      <c r="D1054">
        <v>0</v>
      </c>
      <c r="E1054">
        <v>0</v>
      </c>
      <c r="F1054">
        <v>0</v>
      </c>
      <c r="G1054">
        <v>0</v>
      </c>
      <c r="H1054">
        <f>_xlfn.XLOOKUP(I1054,$B$2:$B$1096,$A$2:$A$1096,65535)</f>
        <v>65535</v>
      </c>
      <c r="J1054">
        <f t="shared" ref="J1054:K1054" si="1799">C1054-C1090</f>
        <v>16</v>
      </c>
      <c r="K1054">
        <f t="shared" si="1799"/>
        <v>0</v>
      </c>
      <c r="L1054">
        <f t="shared" ref="L1054:N1054" si="1800">E1054+E1090</f>
        <v>0</v>
      </c>
      <c r="M1054">
        <f t="shared" si="1800"/>
        <v>0</v>
      </c>
      <c r="N1054">
        <f t="shared" si="1800"/>
        <v>0</v>
      </c>
      <c r="P1054" t="str">
        <f t="shared" si="1798"/>
        <v>0, 0, 0, 0</v>
      </c>
    </row>
    <row r="1055" spans="1:16" ht="16" customHeight="1" x14ac:dyDescent="0.2">
      <c r="A1055">
        <f t="shared" si="1767"/>
        <v>1053</v>
      </c>
      <c r="B1055" s="1" t="s">
        <v>658</v>
      </c>
      <c r="C1055">
        <v>27</v>
      </c>
      <c r="D1055">
        <v>0</v>
      </c>
      <c r="E1055">
        <v>0</v>
      </c>
      <c r="F1055">
        <v>0</v>
      </c>
      <c r="G1055">
        <v>0</v>
      </c>
      <c r="H1055">
        <f>_xlfn.XLOOKUP(I1055,$B$2:$B$1096,$A$2:$A$1096,65535)</f>
        <v>65535</v>
      </c>
      <c r="J1055">
        <f t="shared" ref="J1055:K1055" si="1801">C1055-C1091</f>
        <v>15</v>
      </c>
      <c r="K1055">
        <f t="shared" si="1801"/>
        <v>-3</v>
      </c>
      <c r="L1055">
        <f t="shared" ref="L1055:N1055" si="1802">E1055+E1091</f>
        <v>0</v>
      </c>
      <c r="M1055">
        <f t="shared" si="1802"/>
        <v>0</v>
      </c>
      <c r="N1055">
        <f t="shared" si="1802"/>
        <v>0</v>
      </c>
      <c r="P1055" t="str">
        <f t="shared" si="1798"/>
        <v>0, 0, 0, 0</v>
      </c>
    </row>
    <row r="1056" spans="1:16" ht="16" customHeight="1" x14ac:dyDescent="0.2">
      <c r="A1056">
        <f t="shared" si="1767"/>
        <v>1054</v>
      </c>
      <c r="B1056" s="1" t="s">
        <v>664</v>
      </c>
      <c r="C1056">
        <v>27</v>
      </c>
      <c r="D1056">
        <v>0</v>
      </c>
      <c r="E1056">
        <v>0</v>
      </c>
      <c r="F1056">
        <v>0</v>
      </c>
      <c r="G1056">
        <v>0</v>
      </c>
      <c r="H1056">
        <f>_xlfn.XLOOKUP(I1056,$B$2:$B$1096,$A$2:$A$1096,65535)</f>
        <v>65535</v>
      </c>
      <c r="J1056">
        <f t="shared" ref="J1056:K1056" si="1803">C1056-C1092</f>
        <v>15</v>
      </c>
      <c r="K1056">
        <f t="shared" si="1803"/>
        <v>-2</v>
      </c>
      <c r="L1056">
        <f t="shared" ref="L1056:N1056" si="1804">E1056+E1092</f>
        <v>0</v>
      </c>
      <c r="M1056">
        <f t="shared" si="1804"/>
        <v>0</v>
      </c>
      <c r="N1056">
        <f t="shared" si="1804"/>
        <v>0</v>
      </c>
      <c r="P1056" t="str">
        <f t="shared" si="1798"/>
        <v>0, 0, 0, 0</v>
      </c>
    </row>
    <row r="1057" spans="1:16" ht="16" customHeight="1" x14ac:dyDescent="0.2">
      <c r="A1057">
        <f t="shared" si="1767"/>
        <v>1055</v>
      </c>
      <c r="B1057" s="1" t="s">
        <v>665</v>
      </c>
      <c r="C1057">
        <v>27</v>
      </c>
      <c r="D1057">
        <v>0</v>
      </c>
      <c r="E1057">
        <v>0</v>
      </c>
      <c r="F1057">
        <v>0</v>
      </c>
      <c r="G1057">
        <v>0</v>
      </c>
      <c r="H1057">
        <f>_xlfn.XLOOKUP(I1057,$B$2:$B$1096,$A$2:$A$1096,65535)</f>
        <v>65535</v>
      </c>
      <c r="J1057">
        <f t="shared" ref="J1057:K1057" si="1805">C1057-C1093</f>
        <v>15</v>
      </c>
      <c r="K1057">
        <f t="shared" si="1805"/>
        <v>-1</v>
      </c>
      <c r="L1057">
        <f t="shared" ref="L1057:N1057" si="1806">E1057+E1093</f>
        <v>0</v>
      </c>
      <c r="M1057">
        <f t="shared" si="1806"/>
        <v>0</v>
      </c>
      <c r="N1057">
        <f t="shared" si="1806"/>
        <v>0</v>
      </c>
      <c r="P1057" t="str">
        <f t="shared" si="1798"/>
        <v>0, 0, 0, 0</v>
      </c>
    </row>
    <row r="1058" spans="1:16" ht="16" customHeight="1" x14ac:dyDescent="0.2">
      <c r="A1058">
        <f t="shared" si="1767"/>
        <v>1056</v>
      </c>
      <c r="B1058" s="1" t="s">
        <v>666</v>
      </c>
      <c r="C1058">
        <v>27</v>
      </c>
      <c r="D1058">
        <v>0</v>
      </c>
      <c r="E1058">
        <v>0</v>
      </c>
      <c r="F1058">
        <v>0</v>
      </c>
      <c r="G1058">
        <v>0</v>
      </c>
      <c r="H1058">
        <f>_xlfn.XLOOKUP(I1058,$B$2:$B$1096,$A$2:$A$1096,65535)</f>
        <v>65535</v>
      </c>
      <c r="J1058">
        <f t="shared" ref="J1058:K1058" si="1807">C1058-C1094</f>
        <v>15</v>
      </c>
      <c r="K1058">
        <f t="shared" si="1807"/>
        <v>1</v>
      </c>
      <c r="L1058">
        <f t="shared" ref="L1058:N1058" si="1808">E1058+E1094</f>
        <v>0</v>
      </c>
      <c r="M1058">
        <f t="shared" si="1808"/>
        <v>0</v>
      </c>
      <c r="N1058">
        <f t="shared" si="1808"/>
        <v>0</v>
      </c>
      <c r="P1058" t="str">
        <f t="shared" si="1798"/>
        <v>0, 0, 0, 0</v>
      </c>
    </row>
    <row r="1059" spans="1:16" ht="16" customHeight="1" x14ac:dyDescent="0.2">
      <c r="A1059">
        <f t="shared" si="1767"/>
        <v>1057</v>
      </c>
      <c r="B1059" s="1" t="s">
        <v>667</v>
      </c>
      <c r="C1059">
        <v>27</v>
      </c>
      <c r="D1059">
        <v>0</v>
      </c>
      <c r="E1059">
        <v>0</v>
      </c>
      <c r="F1059">
        <v>0</v>
      </c>
      <c r="G1059">
        <v>0</v>
      </c>
      <c r="H1059">
        <f>_xlfn.XLOOKUP(I1059,$B$2:$B$1096,$A$2:$A$1096,65535)</f>
        <v>65535</v>
      </c>
      <c r="J1059">
        <f t="shared" ref="J1059:K1059" si="1809">C1059-C1095</f>
        <v>14</v>
      </c>
      <c r="K1059">
        <f t="shared" si="1809"/>
        <v>2</v>
      </c>
      <c r="L1059">
        <f t="shared" ref="L1059:N1059" si="1810">E1059+E1095</f>
        <v>0</v>
      </c>
      <c r="M1059">
        <f t="shared" si="1810"/>
        <v>0</v>
      </c>
      <c r="N1059">
        <f t="shared" si="1810"/>
        <v>0</v>
      </c>
      <c r="P1059" t="str">
        <f t="shared" si="1798"/>
        <v>0, 0, 0, 0</v>
      </c>
    </row>
    <row r="1060" spans="1:16" ht="16" customHeight="1" x14ac:dyDescent="0.2">
      <c r="A1060">
        <f t="shared" si="1767"/>
        <v>1058</v>
      </c>
      <c r="B1060" s="1" t="s">
        <v>668</v>
      </c>
      <c r="C1060">
        <v>23</v>
      </c>
      <c r="D1060">
        <v>0</v>
      </c>
      <c r="E1060">
        <v>0</v>
      </c>
      <c r="F1060">
        <v>0</v>
      </c>
      <c r="G1060">
        <v>0</v>
      </c>
      <c r="H1060">
        <f>_xlfn.XLOOKUP(I1060,$B$2:$B$1096,$A$2:$A$1096,65535)</f>
        <v>65535</v>
      </c>
      <c r="J1060">
        <f t="shared" ref="J1060:K1060" si="1811">C1060-C1096</f>
        <v>11</v>
      </c>
      <c r="K1060">
        <f t="shared" si="1811"/>
        <v>3</v>
      </c>
      <c r="L1060">
        <f t="shared" ref="L1060:N1060" si="1812">E1060+E1096</f>
        <v>0</v>
      </c>
      <c r="M1060">
        <f t="shared" si="1812"/>
        <v>0</v>
      </c>
      <c r="N1060">
        <f t="shared" si="1812"/>
        <v>0</v>
      </c>
      <c r="P1060" t="str">
        <f t="shared" si="1798"/>
        <v>0, 0, 0, 0</v>
      </c>
    </row>
    <row r="1061" spans="1:16" ht="16" customHeight="1" x14ac:dyDescent="0.2">
      <c r="A1061">
        <f t="shared" si="1767"/>
        <v>1059</v>
      </c>
      <c r="B1061" s="1" t="s">
        <v>715</v>
      </c>
      <c r="C1061">
        <v>9</v>
      </c>
      <c r="D1061">
        <v>0</v>
      </c>
      <c r="E1061">
        <v>0</v>
      </c>
      <c r="F1061">
        <v>0</v>
      </c>
      <c r="G1061">
        <v>0</v>
      </c>
      <c r="H1061">
        <f>_xlfn.XLOOKUP(I1061,$B$2:$B$1096,$A$2:$A$1096,65535)</f>
        <v>65535</v>
      </c>
      <c r="J1061">
        <f t="shared" ref="J1061:K1061" si="1813">C1061-C1097</f>
        <v>-71</v>
      </c>
      <c r="K1061">
        <f t="shared" si="1813"/>
        <v>0</v>
      </c>
      <c r="L1061">
        <f t="shared" ref="L1061:N1061" si="1814">E1061+E1097</f>
        <v>0</v>
      </c>
      <c r="M1061">
        <f t="shared" si="1814"/>
        <v>0</v>
      </c>
      <c r="N1061">
        <f t="shared" si="1814"/>
        <v>0</v>
      </c>
      <c r="P1061" t="str">
        <f t="shared" si="1798"/>
        <v>0, 0, 0, 0</v>
      </c>
    </row>
    <row r="1062" spans="1:16" ht="16" customHeight="1" x14ac:dyDescent="0.2">
      <c r="A1062">
        <f t="shared" si="1767"/>
        <v>1060</v>
      </c>
      <c r="B1062" s="1" t="s">
        <v>716</v>
      </c>
      <c r="C1062">
        <v>8</v>
      </c>
      <c r="D1062">
        <v>0</v>
      </c>
      <c r="E1062">
        <v>0</v>
      </c>
      <c r="F1062">
        <v>0</v>
      </c>
      <c r="G1062">
        <v>0</v>
      </c>
      <c r="H1062">
        <f>_xlfn.XLOOKUP(I1062,$B$2:$B$1096,$A$2:$A$1096,65535)</f>
        <v>65535</v>
      </c>
      <c r="J1062">
        <f t="shared" ref="J1062:K1062" si="1815">C1062-C1098</f>
        <v>-73</v>
      </c>
      <c r="K1062">
        <f t="shared" si="1815"/>
        <v>0</v>
      </c>
      <c r="L1062">
        <f t="shared" ref="L1062:N1062" si="1816">E1062+E1098</f>
        <v>0</v>
      </c>
      <c r="M1062">
        <f t="shared" si="1816"/>
        <v>0</v>
      </c>
      <c r="N1062">
        <f t="shared" si="1816"/>
        <v>0</v>
      </c>
      <c r="P1062" t="str">
        <f t="shared" si="1798"/>
        <v>0, 0, 0, 0</v>
      </c>
    </row>
    <row r="1063" spans="1:16" ht="16" customHeight="1" x14ac:dyDescent="0.2">
      <c r="A1063">
        <f t="shared" si="1767"/>
        <v>1061</v>
      </c>
      <c r="B1063" s="1" t="s">
        <v>717</v>
      </c>
      <c r="C1063">
        <v>8</v>
      </c>
      <c r="D1063">
        <v>0</v>
      </c>
      <c r="E1063">
        <v>0</v>
      </c>
      <c r="F1063">
        <v>0</v>
      </c>
      <c r="G1063">
        <v>0</v>
      </c>
      <c r="H1063">
        <f>_xlfn.XLOOKUP(I1063,$B$2:$B$1096,$A$2:$A$1096,65535)</f>
        <v>65535</v>
      </c>
      <c r="J1063">
        <f t="shared" ref="J1063:K1063" si="1817">C1063-C1099</f>
        <v>-74</v>
      </c>
      <c r="K1063">
        <f t="shared" si="1817"/>
        <v>0</v>
      </c>
      <c r="L1063">
        <f t="shared" ref="L1063:N1063" si="1818">E1063+E1099</f>
        <v>0</v>
      </c>
      <c r="M1063">
        <f t="shared" si="1818"/>
        <v>0</v>
      </c>
      <c r="N1063">
        <f t="shared" si="1818"/>
        <v>0</v>
      </c>
      <c r="P1063" t="str">
        <f t="shared" si="1798"/>
        <v>0, 0, 0, 0</v>
      </c>
    </row>
    <row r="1064" spans="1:16" ht="16" customHeight="1" x14ac:dyDescent="0.2">
      <c r="A1064">
        <f t="shared" si="1767"/>
        <v>1062</v>
      </c>
      <c r="B1064" s="1" t="s">
        <v>718</v>
      </c>
      <c r="C1064">
        <v>8</v>
      </c>
      <c r="D1064">
        <v>0</v>
      </c>
      <c r="E1064">
        <v>0</v>
      </c>
      <c r="F1064">
        <v>0</v>
      </c>
      <c r="G1064">
        <v>0</v>
      </c>
      <c r="H1064">
        <f>_xlfn.XLOOKUP(I1064,$B$2:$B$1096,$A$2:$A$1096,65535)</f>
        <v>65535</v>
      </c>
      <c r="J1064">
        <f t="shared" ref="J1064:K1064" si="1819">C1064-C1100</f>
        <v>-75</v>
      </c>
      <c r="K1064">
        <f t="shared" si="1819"/>
        <v>0</v>
      </c>
      <c r="L1064">
        <f t="shared" ref="L1064:N1064" si="1820">E1064+E1100</f>
        <v>0</v>
      </c>
      <c r="M1064">
        <f t="shared" si="1820"/>
        <v>0</v>
      </c>
      <c r="N1064">
        <f t="shared" si="1820"/>
        <v>0</v>
      </c>
      <c r="P1064" t="str">
        <f t="shared" si="1798"/>
        <v>0, 0, 0, 0</v>
      </c>
    </row>
    <row r="1065" spans="1:16" ht="16" customHeight="1" x14ac:dyDescent="0.2">
      <c r="A1065">
        <f t="shared" si="1767"/>
        <v>1063</v>
      </c>
      <c r="B1065" s="1" t="s">
        <v>719</v>
      </c>
      <c r="C1065">
        <v>8</v>
      </c>
      <c r="D1065">
        <v>0</v>
      </c>
      <c r="E1065">
        <v>0</v>
      </c>
      <c r="F1065">
        <v>0</v>
      </c>
      <c r="G1065">
        <v>0</v>
      </c>
      <c r="H1065">
        <f>_xlfn.XLOOKUP(I1065,$B$2:$B$1096,$A$2:$A$1096,65535)</f>
        <v>65535</v>
      </c>
      <c r="J1065">
        <f t="shared" ref="J1065:K1065" si="1821">C1065-C1101</f>
        <v>-76</v>
      </c>
      <c r="K1065">
        <f t="shared" si="1821"/>
        <v>0</v>
      </c>
      <c r="L1065">
        <f t="shared" ref="L1065:N1065" si="1822">E1065+E1101</f>
        <v>0</v>
      </c>
      <c r="M1065">
        <f t="shared" si="1822"/>
        <v>0</v>
      </c>
      <c r="N1065">
        <f t="shared" si="1822"/>
        <v>0</v>
      </c>
      <c r="P1065" t="str">
        <f t="shared" si="1798"/>
        <v>0, 0, 0, 0</v>
      </c>
    </row>
    <row r="1066" spans="1:16" ht="16" customHeight="1" x14ac:dyDescent="0.2">
      <c r="A1066">
        <f t="shared" si="1767"/>
        <v>1064</v>
      </c>
      <c r="B1066" s="1" t="s">
        <v>720</v>
      </c>
      <c r="C1066">
        <v>9</v>
      </c>
      <c r="D1066">
        <v>0</v>
      </c>
      <c r="E1066">
        <v>0</v>
      </c>
      <c r="F1066">
        <v>0</v>
      </c>
      <c r="G1066">
        <v>0</v>
      </c>
      <c r="H1066">
        <f>_xlfn.XLOOKUP(I1066,$B$2:$B$1096,$A$2:$A$1096,65535)</f>
        <v>65535</v>
      </c>
      <c r="J1066">
        <f t="shared" ref="J1066:K1066" si="1823">C1066-C1102</f>
        <v>-76</v>
      </c>
      <c r="K1066">
        <f t="shared" si="1823"/>
        <v>0</v>
      </c>
      <c r="L1066">
        <f t="shared" ref="L1066:N1066" si="1824">E1066+E1102</f>
        <v>0</v>
      </c>
      <c r="M1066">
        <f t="shared" si="1824"/>
        <v>0</v>
      </c>
      <c r="N1066">
        <f t="shared" si="1824"/>
        <v>0</v>
      </c>
      <c r="P1066" t="str">
        <f t="shared" si="1798"/>
        <v>0, 0, 0, 0</v>
      </c>
    </row>
    <row r="1067" spans="1:16" ht="16" customHeight="1" x14ac:dyDescent="0.2">
      <c r="A1067">
        <f t="shared" si="1767"/>
        <v>1065</v>
      </c>
      <c r="B1067" s="1" t="s">
        <v>721</v>
      </c>
      <c r="C1067">
        <v>9</v>
      </c>
      <c r="D1067">
        <v>0</v>
      </c>
      <c r="E1067">
        <v>0</v>
      </c>
      <c r="F1067">
        <v>0</v>
      </c>
      <c r="G1067">
        <v>0</v>
      </c>
      <c r="H1067">
        <f>_xlfn.XLOOKUP(I1067,$B$2:$B$1096,$A$2:$A$1096,65535)</f>
        <v>65535</v>
      </c>
      <c r="J1067">
        <f t="shared" ref="J1067:K1067" si="1825">C1067-C1103</f>
        <v>-77</v>
      </c>
      <c r="K1067">
        <f t="shared" si="1825"/>
        <v>0</v>
      </c>
      <c r="L1067">
        <f t="shared" ref="L1067:N1067" si="1826">E1067+E1103</f>
        <v>0</v>
      </c>
      <c r="M1067">
        <f t="shared" si="1826"/>
        <v>0</v>
      </c>
      <c r="N1067">
        <f t="shared" si="1826"/>
        <v>0</v>
      </c>
      <c r="P1067" t="str">
        <f t="shared" si="1798"/>
        <v>0, 0, 0, 0</v>
      </c>
    </row>
    <row r="1068" spans="1:16" ht="16" customHeight="1" x14ac:dyDescent="0.2">
      <c r="A1068">
        <f t="shared" si="1767"/>
        <v>1066</v>
      </c>
      <c r="B1068" s="1" t="s">
        <v>722</v>
      </c>
      <c r="C1068">
        <v>9</v>
      </c>
      <c r="D1068">
        <v>0</v>
      </c>
      <c r="E1068">
        <v>0</v>
      </c>
      <c r="F1068">
        <v>0</v>
      </c>
      <c r="G1068">
        <v>0</v>
      </c>
      <c r="H1068">
        <f>_xlfn.XLOOKUP(I1068,$B$2:$B$1096,$A$2:$A$1096,65535)</f>
        <v>65535</v>
      </c>
      <c r="J1068">
        <f t="shared" ref="J1068:K1068" si="1827">C1068-C1104</f>
        <v>-78</v>
      </c>
      <c r="K1068">
        <f t="shared" si="1827"/>
        <v>0</v>
      </c>
      <c r="L1068">
        <f t="shared" ref="L1068:N1068" si="1828">E1068+E1104</f>
        <v>0</v>
      </c>
      <c r="M1068">
        <f t="shared" si="1828"/>
        <v>0</v>
      </c>
      <c r="N1068">
        <f t="shared" si="1828"/>
        <v>0</v>
      </c>
      <c r="P1068" t="str">
        <f t="shared" si="1798"/>
        <v>0, 0, 0, 0</v>
      </c>
    </row>
    <row r="1069" spans="1:16" ht="16" customHeight="1" x14ac:dyDescent="0.2">
      <c r="A1069">
        <f t="shared" si="1767"/>
        <v>1067</v>
      </c>
      <c r="B1069" s="1" t="s">
        <v>723</v>
      </c>
      <c r="C1069">
        <v>9</v>
      </c>
      <c r="D1069">
        <v>0</v>
      </c>
      <c r="E1069">
        <v>0</v>
      </c>
      <c r="F1069">
        <v>0</v>
      </c>
      <c r="G1069">
        <v>0</v>
      </c>
      <c r="H1069">
        <f>_xlfn.XLOOKUP(I1069,$B$2:$B$1096,$A$2:$A$1096,65535)</f>
        <v>65535</v>
      </c>
      <c r="J1069">
        <f t="shared" ref="J1069:K1069" si="1829">C1069-C1105</f>
        <v>-79</v>
      </c>
      <c r="K1069">
        <f t="shared" si="1829"/>
        <v>0</v>
      </c>
      <c r="L1069">
        <f t="shared" ref="L1069:N1069" si="1830">E1069+E1105</f>
        <v>0</v>
      </c>
      <c r="M1069">
        <f t="shared" si="1830"/>
        <v>0</v>
      </c>
      <c r="N1069">
        <f t="shared" si="1830"/>
        <v>0</v>
      </c>
      <c r="P1069" t="str">
        <f t="shared" si="1798"/>
        <v>0, 0, 0, 0</v>
      </c>
    </row>
    <row r="1070" spans="1:16" ht="16" customHeight="1" x14ac:dyDescent="0.2">
      <c r="A1070">
        <f t="shared" si="1767"/>
        <v>1068</v>
      </c>
      <c r="B1070" s="1" t="s">
        <v>724</v>
      </c>
      <c r="C1070">
        <v>9</v>
      </c>
      <c r="D1070">
        <v>0</v>
      </c>
      <c r="E1070">
        <v>0</v>
      </c>
      <c r="F1070">
        <v>0</v>
      </c>
      <c r="G1070">
        <v>0</v>
      </c>
      <c r="H1070">
        <f>_xlfn.XLOOKUP(I1070,$B$2:$B$1096,$A$2:$A$1096,65535)</f>
        <v>65535</v>
      </c>
      <c r="J1070">
        <f t="shared" ref="J1070:K1070" si="1831">C1070-C1106</f>
        <v>-80</v>
      </c>
      <c r="K1070">
        <f t="shared" si="1831"/>
        <v>0</v>
      </c>
      <c r="L1070">
        <f t="shared" ref="L1070:N1070" si="1832">E1070+E1106</f>
        <v>0</v>
      </c>
      <c r="M1070">
        <f t="shared" si="1832"/>
        <v>0</v>
      </c>
      <c r="N1070">
        <f t="shared" si="1832"/>
        <v>0</v>
      </c>
      <c r="P1070" t="str">
        <f t="shared" si="1798"/>
        <v>0, 0, 0, 0</v>
      </c>
    </row>
    <row r="1071" spans="1:16" ht="16" customHeight="1" x14ac:dyDescent="0.2">
      <c r="A1071">
        <f t="shared" si="1767"/>
        <v>1069</v>
      </c>
      <c r="B1071" s="1" t="s">
        <v>725</v>
      </c>
      <c r="C1071">
        <v>9</v>
      </c>
      <c r="D1071">
        <v>0</v>
      </c>
      <c r="E1071">
        <v>0</v>
      </c>
      <c r="F1071">
        <v>0</v>
      </c>
      <c r="G1071">
        <v>0</v>
      </c>
      <c r="H1071">
        <f>_xlfn.XLOOKUP(I1071,$B$2:$B$1096,$A$2:$A$1096,65535)</f>
        <v>65535</v>
      </c>
      <c r="J1071">
        <f t="shared" ref="J1071:K1071" si="1833">C1071-C1107</f>
        <v>-81</v>
      </c>
      <c r="K1071">
        <f t="shared" si="1833"/>
        <v>0</v>
      </c>
      <c r="L1071">
        <f t="shared" ref="L1071:N1071" si="1834">E1071+E1107</f>
        <v>0</v>
      </c>
      <c r="M1071">
        <f t="shared" si="1834"/>
        <v>0</v>
      </c>
      <c r="N1071">
        <f t="shared" si="1834"/>
        <v>0</v>
      </c>
      <c r="P1071" t="str">
        <f t="shared" si="1798"/>
        <v>0, 0, 0, 0</v>
      </c>
    </row>
    <row r="1072" spans="1:16" ht="16" customHeight="1" x14ac:dyDescent="0.2">
      <c r="A1072">
        <f t="shared" si="1767"/>
        <v>1070</v>
      </c>
      <c r="B1072" s="1" t="s">
        <v>726</v>
      </c>
      <c r="C1072">
        <v>9</v>
      </c>
      <c r="D1072">
        <v>0</v>
      </c>
      <c r="E1072">
        <v>0</v>
      </c>
      <c r="F1072">
        <v>0</v>
      </c>
      <c r="G1072">
        <v>0</v>
      </c>
      <c r="H1072">
        <f>_xlfn.XLOOKUP(I1072,$B$2:$B$1096,$A$2:$A$1096,65535)</f>
        <v>65535</v>
      </c>
      <c r="J1072">
        <f t="shared" ref="J1072:K1072" si="1835">C1072-C1108</f>
        <v>-82</v>
      </c>
      <c r="K1072">
        <f t="shared" si="1835"/>
        <v>0</v>
      </c>
      <c r="L1072">
        <f t="shared" ref="L1072:N1072" si="1836">E1072+E1108</f>
        <v>0</v>
      </c>
      <c r="M1072">
        <f t="shared" si="1836"/>
        <v>0</v>
      </c>
      <c r="N1072">
        <f t="shared" si="1836"/>
        <v>0</v>
      </c>
      <c r="P1072" t="str">
        <f t="shared" si="1798"/>
        <v>0, 0, 0, 0</v>
      </c>
    </row>
    <row r="1073" spans="1:16" ht="16" customHeight="1" x14ac:dyDescent="0.2">
      <c r="A1073">
        <f t="shared" si="1767"/>
        <v>1071</v>
      </c>
      <c r="B1073" s="1" t="s">
        <v>727</v>
      </c>
      <c r="C1073">
        <v>9</v>
      </c>
      <c r="D1073">
        <v>0</v>
      </c>
      <c r="E1073">
        <v>0</v>
      </c>
      <c r="F1073">
        <v>0</v>
      </c>
      <c r="G1073">
        <v>0</v>
      </c>
      <c r="H1073">
        <f>_xlfn.XLOOKUP(I1073,$B$2:$B$1096,$A$2:$A$1096,65535)</f>
        <v>65535</v>
      </c>
      <c r="J1073">
        <f t="shared" ref="J1073:K1073" si="1837">C1073-C1109</f>
        <v>-83</v>
      </c>
      <c r="K1073">
        <f t="shared" si="1837"/>
        <v>0</v>
      </c>
      <c r="L1073">
        <f t="shared" ref="L1073:N1073" si="1838">E1073+E1109</f>
        <v>0</v>
      </c>
      <c r="M1073">
        <f t="shared" si="1838"/>
        <v>0</v>
      </c>
      <c r="N1073">
        <f t="shared" si="1838"/>
        <v>0</v>
      </c>
      <c r="P1073" t="str">
        <f t="shared" si="1798"/>
        <v>0, 0, 0, 0</v>
      </c>
    </row>
    <row r="1074" spans="1:16" ht="16" customHeight="1" x14ac:dyDescent="0.2">
      <c r="A1074">
        <f t="shared" si="1767"/>
        <v>1072</v>
      </c>
      <c r="B1074" s="1" t="s">
        <v>728</v>
      </c>
      <c r="C1074">
        <v>9</v>
      </c>
      <c r="D1074">
        <v>0</v>
      </c>
      <c r="E1074">
        <v>0</v>
      </c>
      <c r="F1074">
        <v>0</v>
      </c>
      <c r="G1074">
        <v>0</v>
      </c>
      <c r="H1074">
        <f>_xlfn.XLOOKUP(I1074,$B$2:$B$1096,$A$2:$A$1096,65535)</f>
        <v>65535</v>
      </c>
      <c r="J1074">
        <f t="shared" ref="J1074:K1074" si="1839">C1074-C1110</f>
        <v>-23</v>
      </c>
      <c r="K1074">
        <f t="shared" si="1839"/>
        <v>0</v>
      </c>
      <c r="L1074">
        <f t="shared" ref="L1074:N1074" si="1840">E1074+E1110</f>
        <v>0</v>
      </c>
      <c r="M1074">
        <f t="shared" si="1840"/>
        <v>0</v>
      </c>
      <c r="N1074">
        <f t="shared" si="1840"/>
        <v>0</v>
      </c>
      <c r="P1074" t="str">
        <f t="shared" si="1798"/>
        <v>0, 0, 0, 0</v>
      </c>
    </row>
    <row r="1075" spans="1:16" ht="16" customHeight="1" x14ac:dyDescent="0.2">
      <c r="A1075">
        <f t="shared" si="1767"/>
        <v>1073</v>
      </c>
      <c r="B1075" s="1" t="s">
        <v>818</v>
      </c>
      <c r="C1075">
        <v>12</v>
      </c>
      <c r="D1075">
        <v>0</v>
      </c>
      <c r="E1075">
        <v>0</v>
      </c>
      <c r="F1075">
        <v>0</v>
      </c>
      <c r="G1075">
        <v>0</v>
      </c>
      <c r="H1075">
        <f>_xlfn.XLOOKUP(I1075,$B$2:$B$1096,$A$2:$A$1096,65535)</f>
        <v>65535</v>
      </c>
      <c r="J1075">
        <f t="shared" ref="J1075:K1075" si="1841">C1075-C1111</f>
        <v>-21</v>
      </c>
      <c r="K1075">
        <f t="shared" si="1841"/>
        <v>0</v>
      </c>
      <c r="L1075">
        <f t="shared" ref="L1075:N1075" si="1842">E1075+E1111</f>
        <v>0</v>
      </c>
      <c r="M1075">
        <f t="shared" si="1842"/>
        <v>0</v>
      </c>
      <c r="N1075">
        <f t="shared" si="1842"/>
        <v>0</v>
      </c>
      <c r="P1075" t="str">
        <f t="shared" si="1798"/>
        <v>0, 0, 0, 0</v>
      </c>
    </row>
    <row r="1076" spans="1:16" ht="16" customHeight="1" x14ac:dyDescent="0.2">
      <c r="A1076">
        <f t="shared" si="1767"/>
        <v>1074</v>
      </c>
      <c r="B1076" s="1" t="s">
        <v>797</v>
      </c>
      <c r="C1076">
        <v>13</v>
      </c>
      <c r="D1076">
        <v>0</v>
      </c>
      <c r="E1076">
        <v>0</v>
      </c>
      <c r="F1076">
        <v>0</v>
      </c>
      <c r="G1076">
        <v>0</v>
      </c>
      <c r="H1076">
        <f>_xlfn.XLOOKUP(I1076,$B$2:$B$1096,$A$2:$A$1096,65535)</f>
        <v>65535</v>
      </c>
      <c r="J1076">
        <f t="shared" ref="J1076:K1076" si="1843">C1076-C1112</f>
        <v>-21</v>
      </c>
      <c r="K1076">
        <f t="shared" si="1843"/>
        <v>0</v>
      </c>
      <c r="L1076">
        <f t="shared" ref="L1076:N1076" si="1844">E1076+E1112</f>
        <v>0</v>
      </c>
      <c r="M1076">
        <f t="shared" si="1844"/>
        <v>0</v>
      </c>
      <c r="N1076">
        <f t="shared" si="1844"/>
        <v>0</v>
      </c>
      <c r="P1076" t="str">
        <f t="shared" si="1798"/>
        <v>0, 0, 0, 0</v>
      </c>
    </row>
    <row r="1077" spans="1:16" ht="16" customHeight="1" x14ac:dyDescent="0.2">
      <c r="A1077">
        <f t="shared" si="1767"/>
        <v>1075</v>
      </c>
      <c r="B1077" s="1" t="s">
        <v>798</v>
      </c>
      <c r="C1077">
        <v>14</v>
      </c>
      <c r="D1077">
        <v>0</v>
      </c>
      <c r="E1077">
        <v>0</v>
      </c>
      <c r="F1077">
        <v>0</v>
      </c>
      <c r="G1077">
        <v>0</v>
      </c>
      <c r="H1077">
        <f>_xlfn.XLOOKUP(I1077,$B$2:$B$1096,$A$2:$A$1096,65535)</f>
        <v>65535</v>
      </c>
      <c r="J1077">
        <f t="shared" ref="J1077:K1077" si="1845">C1077-C1113</f>
        <v>-21</v>
      </c>
      <c r="K1077">
        <f t="shared" si="1845"/>
        <v>0</v>
      </c>
      <c r="L1077">
        <f t="shared" ref="L1077:N1077" si="1846">E1077+E1113</f>
        <v>0</v>
      </c>
      <c r="M1077">
        <f t="shared" si="1846"/>
        <v>0</v>
      </c>
      <c r="N1077">
        <f t="shared" si="1846"/>
        <v>0</v>
      </c>
      <c r="P1077" t="str">
        <f t="shared" si="1798"/>
        <v>0, 0, 0, 0</v>
      </c>
    </row>
    <row r="1078" spans="1:16" ht="16" customHeight="1" x14ac:dyDescent="0.2">
      <c r="A1078">
        <f t="shared" si="1767"/>
        <v>1076</v>
      </c>
      <c r="B1078" s="1" t="s">
        <v>799</v>
      </c>
      <c r="C1078">
        <v>15</v>
      </c>
      <c r="D1078">
        <v>0</v>
      </c>
      <c r="E1078">
        <v>0</v>
      </c>
      <c r="F1078">
        <v>0</v>
      </c>
      <c r="G1078">
        <v>0</v>
      </c>
      <c r="H1078">
        <f>_xlfn.XLOOKUP(I1078,$B$2:$B$1096,$A$2:$A$1096,65535)</f>
        <v>65535</v>
      </c>
      <c r="J1078">
        <f t="shared" ref="J1078:K1078" si="1847">C1078-C1114</f>
        <v>-21</v>
      </c>
      <c r="K1078">
        <f t="shared" si="1847"/>
        <v>0</v>
      </c>
      <c r="L1078">
        <f t="shared" ref="L1078:N1078" si="1848">E1078+E1114</f>
        <v>0</v>
      </c>
      <c r="M1078">
        <f t="shared" si="1848"/>
        <v>0</v>
      </c>
      <c r="N1078">
        <f t="shared" si="1848"/>
        <v>0</v>
      </c>
      <c r="P1078" t="str">
        <f t="shared" si="1798"/>
        <v>0, 0, 0, 0</v>
      </c>
    </row>
    <row r="1079" spans="1:16" ht="16" customHeight="1" x14ac:dyDescent="0.2">
      <c r="A1079">
        <f t="shared" si="1767"/>
        <v>1077</v>
      </c>
      <c r="B1079" s="1" t="s">
        <v>800</v>
      </c>
      <c r="C1079">
        <v>14</v>
      </c>
      <c r="D1079">
        <v>0</v>
      </c>
      <c r="E1079">
        <v>0</v>
      </c>
      <c r="F1079">
        <v>0</v>
      </c>
      <c r="G1079">
        <v>0</v>
      </c>
      <c r="H1079">
        <f>_xlfn.XLOOKUP(I1079,$B$2:$B$1096,$A$2:$A$1096,65535)</f>
        <v>65535</v>
      </c>
      <c r="J1079">
        <f t="shared" ref="J1079:K1079" si="1849">C1079-C1115</f>
        <v>-23</v>
      </c>
      <c r="K1079">
        <f t="shared" si="1849"/>
        <v>0</v>
      </c>
      <c r="L1079">
        <f t="shared" ref="L1079:N1079" si="1850">E1079+E1115</f>
        <v>0</v>
      </c>
      <c r="M1079">
        <f t="shared" si="1850"/>
        <v>0</v>
      </c>
      <c r="N1079">
        <f t="shared" si="1850"/>
        <v>0</v>
      </c>
      <c r="P1079" t="str">
        <f t="shared" si="1798"/>
        <v>0, 0, 0, 0</v>
      </c>
    </row>
    <row r="1080" spans="1:16" ht="16" customHeight="1" x14ac:dyDescent="0.2">
      <c r="A1080">
        <f t="shared" si="1767"/>
        <v>1078</v>
      </c>
      <c r="B1080" s="1" t="s">
        <v>801</v>
      </c>
      <c r="C1080">
        <v>13</v>
      </c>
      <c r="D1080">
        <v>0</v>
      </c>
      <c r="E1080">
        <v>0</v>
      </c>
      <c r="F1080">
        <v>0</v>
      </c>
      <c r="G1080">
        <v>0</v>
      </c>
      <c r="H1080">
        <f>_xlfn.XLOOKUP(I1080,$B$2:$B$1096,$A$2:$A$1096,65535)</f>
        <v>65535</v>
      </c>
      <c r="J1080">
        <f t="shared" ref="J1080:K1080" si="1851">C1080-C1116</f>
        <v>-25</v>
      </c>
      <c r="K1080">
        <f t="shared" si="1851"/>
        <v>0</v>
      </c>
      <c r="L1080">
        <f t="shared" ref="L1080:N1080" si="1852">E1080+E1116</f>
        <v>0</v>
      </c>
      <c r="M1080">
        <f t="shared" si="1852"/>
        <v>0</v>
      </c>
      <c r="N1080">
        <f t="shared" si="1852"/>
        <v>0</v>
      </c>
      <c r="P1080" t="str">
        <f t="shared" si="1798"/>
        <v>0, 0, 0, 0</v>
      </c>
    </row>
    <row r="1081" spans="1:16" ht="16" customHeight="1" x14ac:dyDescent="0.2">
      <c r="A1081">
        <f t="shared" si="1767"/>
        <v>1079</v>
      </c>
      <c r="B1081" s="1" t="s">
        <v>802</v>
      </c>
      <c r="C1081">
        <v>12</v>
      </c>
      <c r="D1081">
        <v>0</v>
      </c>
      <c r="E1081">
        <v>0</v>
      </c>
      <c r="F1081">
        <v>0</v>
      </c>
      <c r="G1081">
        <v>0</v>
      </c>
      <c r="H1081">
        <f>_xlfn.XLOOKUP(I1081,$B$2:$B$1096,$A$2:$A$1096,65535)</f>
        <v>1073</v>
      </c>
      <c r="I1081" s="1" t="s">
        <v>818</v>
      </c>
      <c r="J1081">
        <f t="shared" ref="J1081:K1081" si="1853">C1081-C1117</f>
        <v>-27</v>
      </c>
      <c r="K1081">
        <f t="shared" si="1853"/>
        <v>0</v>
      </c>
      <c r="L1081">
        <f t="shared" ref="L1081:N1081" si="1854">E1081+E1117</f>
        <v>0</v>
      </c>
      <c r="M1081">
        <f t="shared" si="1854"/>
        <v>0</v>
      </c>
      <c r="N1081">
        <f t="shared" si="1854"/>
        <v>0</v>
      </c>
      <c r="P1081" t="str">
        <f t="shared" si="1798"/>
        <v>0, 0, 0, 0</v>
      </c>
    </row>
    <row r="1082" spans="1:16" ht="16" customHeight="1" x14ac:dyDescent="0.2">
      <c r="A1082">
        <f t="shared" si="1767"/>
        <v>1080</v>
      </c>
      <c r="B1082" s="1" t="s">
        <v>803</v>
      </c>
      <c r="C1082">
        <v>13</v>
      </c>
      <c r="D1082">
        <v>0</v>
      </c>
      <c r="E1082">
        <v>-5</v>
      </c>
      <c r="F1082">
        <v>-2</v>
      </c>
      <c r="G1082">
        <v>-1</v>
      </c>
      <c r="H1082">
        <f>_xlfn.XLOOKUP(I1082,$B$2:$B$1096,$A$2:$A$1096,65535)</f>
        <v>65535</v>
      </c>
      <c r="J1082">
        <f t="shared" ref="J1082:K1082" si="1855">C1082-C1118</f>
        <v>-27</v>
      </c>
      <c r="K1082">
        <f t="shared" si="1855"/>
        <v>0</v>
      </c>
      <c r="L1082">
        <f t="shared" ref="L1082:N1082" si="1856">E1082+E1118</f>
        <v>-5</v>
      </c>
      <c r="M1082">
        <f t="shared" si="1856"/>
        <v>-2</v>
      </c>
      <c r="N1082">
        <f t="shared" si="1856"/>
        <v>-1</v>
      </c>
      <c r="P1082" t="str">
        <f t="shared" si="1798"/>
        <v>0, -5, -2, -1</v>
      </c>
    </row>
    <row r="1083" spans="1:16" ht="16" customHeight="1" x14ac:dyDescent="0.2">
      <c r="A1083">
        <f t="shared" si="1767"/>
        <v>1081</v>
      </c>
      <c r="B1083" s="1" t="s">
        <v>804</v>
      </c>
      <c r="C1083">
        <v>12</v>
      </c>
      <c r="D1083">
        <v>0</v>
      </c>
      <c r="E1083">
        <v>-5</v>
      </c>
      <c r="F1083">
        <v>-2</v>
      </c>
      <c r="G1083">
        <v>-1</v>
      </c>
      <c r="H1083">
        <f>_xlfn.XLOOKUP(I1083,$B$2:$B$1096,$A$2:$A$1096,65535)</f>
        <v>1073</v>
      </c>
      <c r="I1083" s="1" t="s">
        <v>818</v>
      </c>
      <c r="J1083">
        <f t="shared" ref="J1083:K1083" si="1857">C1083-C1119</f>
        <v>-29</v>
      </c>
      <c r="K1083">
        <f t="shared" si="1857"/>
        <v>0</v>
      </c>
      <c r="L1083">
        <f t="shared" ref="L1083:N1083" si="1858">E1083+E1119</f>
        <v>-5</v>
      </c>
      <c r="M1083">
        <f t="shared" si="1858"/>
        <v>-2</v>
      </c>
      <c r="N1083">
        <f t="shared" si="1858"/>
        <v>-1</v>
      </c>
      <c r="P1083" t="str">
        <f t="shared" si="1798"/>
        <v>0, -5, -2, -1</v>
      </c>
    </row>
    <row r="1084" spans="1:16" ht="16" customHeight="1" x14ac:dyDescent="0.2">
      <c r="A1084">
        <f t="shared" si="1767"/>
        <v>1082</v>
      </c>
      <c r="B1084" s="1" t="s">
        <v>805</v>
      </c>
      <c r="C1084">
        <v>13</v>
      </c>
      <c r="D1084">
        <v>0</v>
      </c>
      <c r="E1084">
        <v>-5</v>
      </c>
      <c r="F1084">
        <v>-2</v>
      </c>
      <c r="G1084">
        <v>-1</v>
      </c>
      <c r="H1084">
        <f>_xlfn.XLOOKUP(I1084,$B$2:$B$1096,$A$2:$A$1096,65535)</f>
        <v>65535</v>
      </c>
      <c r="J1084">
        <f t="shared" ref="J1084:K1084" si="1859">C1084-C1120</f>
        <v>-29</v>
      </c>
      <c r="K1084">
        <f t="shared" si="1859"/>
        <v>0</v>
      </c>
      <c r="L1084">
        <f t="shared" ref="L1084:N1084" si="1860">E1084+E1120</f>
        <v>-5</v>
      </c>
      <c r="M1084">
        <f t="shared" si="1860"/>
        <v>-2</v>
      </c>
      <c r="N1084">
        <f t="shared" si="1860"/>
        <v>-1</v>
      </c>
      <c r="P1084" t="str">
        <f t="shared" si="1798"/>
        <v>0, -5, -2, -1</v>
      </c>
    </row>
    <row r="1085" spans="1:16" ht="16" customHeight="1" x14ac:dyDescent="0.2">
      <c r="A1085">
        <f t="shared" si="1767"/>
        <v>1083</v>
      </c>
      <c r="B1085" s="1" t="s">
        <v>806</v>
      </c>
      <c r="C1085">
        <v>12</v>
      </c>
      <c r="D1085">
        <v>0</v>
      </c>
      <c r="E1085">
        <v>-5</v>
      </c>
      <c r="F1085">
        <v>-2</v>
      </c>
      <c r="G1085">
        <v>-1</v>
      </c>
      <c r="H1085">
        <f>_xlfn.XLOOKUP(I1085,$B$2:$B$1096,$A$2:$A$1096,65535)</f>
        <v>65535</v>
      </c>
      <c r="J1085">
        <f t="shared" ref="J1085:K1085" si="1861">C1085-C1121</f>
        <v>-31</v>
      </c>
      <c r="K1085">
        <f t="shared" si="1861"/>
        <v>0</v>
      </c>
      <c r="L1085">
        <f t="shared" ref="L1085:N1085" si="1862">E1085+E1121</f>
        <v>-5</v>
      </c>
      <c r="M1085">
        <f t="shared" si="1862"/>
        <v>-2</v>
      </c>
      <c r="N1085">
        <f t="shared" si="1862"/>
        <v>-1</v>
      </c>
      <c r="P1085" t="str">
        <f t="shared" si="1798"/>
        <v>0, -5, -2, -1</v>
      </c>
    </row>
    <row r="1086" spans="1:16" ht="16" customHeight="1" x14ac:dyDescent="0.2">
      <c r="A1086">
        <f t="shared" si="1767"/>
        <v>1084</v>
      </c>
      <c r="B1086" s="1" t="s">
        <v>807</v>
      </c>
      <c r="C1086">
        <v>13</v>
      </c>
      <c r="D1086">
        <v>0</v>
      </c>
      <c r="E1086">
        <v>5</v>
      </c>
      <c r="F1086">
        <v>2</v>
      </c>
      <c r="G1086">
        <v>1</v>
      </c>
      <c r="H1086">
        <f>_xlfn.XLOOKUP(I1086,$B$2:$B$1096,$A$2:$A$1096,65535)</f>
        <v>65535</v>
      </c>
      <c r="J1086">
        <f t="shared" ref="J1086:K1086" si="1863">C1086-C1122</f>
        <v>-31</v>
      </c>
      <c r="K1086">
        <f t="shared" si="1863"/>
        <v>0</v>
      </c>
      <c r="L1086">
        <f t="shared" ref="L1086:N1086" si="1864">E1086+E1122</f>
        <v>5</v>
      </c>
      <c r="M1086">
        <f t="shared" si="1864"/>
        <v>2</v>
      </c>
      <c r="N1086">
        <f t="shared" si="1864"/>
        <v>1</v>
      </c>
      <c r="P1086" t="str">
        <f t="shared" si="1798"/>
        <v>0, 5, 2, 1</v>
      </c>
    </row>
    <row r="1087" spans="1:16" ht="16" customHeight="1" x14ac:dyDescent="0.2">
      <c r="A1087">
        <f t="shared" si="1767"/>
        <v>1085</v>
      </c>
      <c r="B1087" s="1" t="s">
        <v>808</v>
      </c>
      <c r="C1087">
        <v>12</v>
      </c>
      <c r="D1087">
        <v>0</v>
      </c>
      <c r="E1087">
        <v>5</v>
      </c>
      <c r="F1087">
        <v>2</v>
      </c>
      <c r="G1087">
        <v>1</v>
      </c>
      <c r="H1087">
        <f>_xlfn.XLOOKUP(I1087,$B$2:$B$1096,$A$2:$A$1096,65535)</f>
        <v>1073</v>
      </c>
      <c r="I1087" s="1" t="s">
        <v>818</v>
      </c>
      <c r="J1087">
        <f t="shared" ref="J1087:K1087" si="1865">C1087-C1123</f>
        <v>-52</v>
      </c>
      <c r="K1087">
        <f t="shared" si="1865"/>
        <v>0</v>
      </c>
      <c r="L1087">
        <f t="shared" ref="L1087:N1087" si="1866">E1087+E1123</f>
        <v>5</v>
      </c>
      <c r="M1087">
        <f t="shared" si="1866"/>
        <v>2</v>
      </c>
      <c r="N1087">
        <f t="shared" si="1866"/>
        <v>1</v>
      </c>
      <c r="P1087" t="str">
        <f t="shared" si="1798"/>
        <v>0, 5, 2, 1</v>
      </c>
    </row>
    <row r="1088" spans="1:16" ht="16" customHeight="1" x14ac:dyDescent="0.2">
      <c r="A1088">
        <f t="shared" si="1767"/>
        <v>1086</v>
      </c>
      <c r="B1088" s="1" t="s">
        <v>809</v>
      </c>
      <c r="C1088">
        <v>13</v>
      </c>
      <c r="D1088">
        <v>0</v>
      </c>
      <c r="E1088">
        <v>5</v>
      </c>
      <c r="F1088">
        <v>2</v>
      </c>
      <c r="G1088">
        <v>1</v>
      </c>
      <c r="H1088">
        <f>_xlfn.XLOOKUP(I1088,$B$2:$B$1096,$A$2:$A$1096,65535)</f>
        <v>65535</v>
      </c>
      <c r="J1088">
        <f t="shared" ref="J1088:K1088" si="1867">C1088-C1124</f>
        <v>-52</v>
      </c>
      <c r="K1088">
        <f t="shared" si="1867"/>
        <v>0</v>
      </c>
      <c r="L1088">
        <f t="shared" ref="L1088:N1088" si="1868">E1088+E1124</f>
        <v>5</v>
      </c>
      <c r="M1088">
        <f t="shared" si="1868"/>
        <v>2</v>
      </c>
      <c r="N1088">
        <f t="shared" si="1868"/>
        <v>1</v>
      </c>
      <c r="P1088" t="str">
        <f t="shared" si="1798"/>
        <v>0, 5, 2, 1</v>
      </c>
    </row>
    <row r="1089" spans="1:16" ht="16" customHeight="1" x14ac:dyDescent="0.2">
      <c r="A1089">
        <f t="shared" si="1767"/>
        <v>1087</v>
      </c>
      <c r="B1089" s="1" t="s">
        <v>810</v>
      </c>
      <c r="C1089">
        <v>12</v>
      </c>
      <c r="D1089">
        <v>0</v>
      </c>
      <c r="E1089">
        <v>5</v>
      </c>
      <c r="F1089">
        <v>2</v>
      </c>
      <c r="G1089">
        <v>-1</v>
      </c>
      <c r="H1089">
        <f>_xlfn.XLOOKUP(I1089,$B$2:$B$1096,$A$2:$A$1096,65535)</f>
        <v>65535</v>
      </c>
      <c r="J1089">
        <f t="shared" ref="J1089:K1089" si="1869">C1089-C1125</f>
        <v>-54</v>
      </c>
      <c r="K1089">
        <f t="shared" si="1869"/>
        <v>0</v>
      </c>
      <c r="L1089">
        <f t="shared" ref="L1089:N1089" si="1870">E1089+E1125</f>
        <v>5</v>
      </c>
      <c r="M1089">
        <f t="shared" si="1870"/>
        <v>2</v>
      </c>
      <c r="N1089">
        <f t="shared" si="1870"/>
        <v>-1</v>
      </c>
      <c r="P1089" t="str">
        <f t="shared" si="1798"/>
        <v>0, 5, 2, -1</v>
      </c>
    </row>
    <row r="1090" spans="1:16" ht="16" customHeight="1" x14ac:dyDescent="0.2">
      <c r="A1090">
        <f t="shared" si="1767"/>
        <v>1088</v>
      </c>
      <c r="B1090" s="1" t="s">
        <v>811</v>
      </c>
      <c r="C1090">
        <v>13</v>
      </c>
      <c r="D1090">
        <v>0</v>
      </c>
      <c r="E1090">
        <v>0</v>
      </c>
      <c r="F1090">
        <v>0</v>
      </c>
      <c r="G1090">
        <v>0</v>
      </c>
      <c r="H1090">
        <f>_xlfn.XLOOKUP(I1090,$B$2:$B$1096,$A$2:$A$1096,65535)</f>
        <v>65535</v>
      </c>
      <c r="J1090">
        <f t="shared" ref="J1090:K1090" si="1871">C1090-C1126</f>
        <v>-54</v>
      </c>
      <c r="K1090">
        <f t="shared" si="1871"/>
        <v>0</v>
      </c>
      <c r="L1090">
        <f t="shared" ref="L1090:N1090" si="1872">E1090+E1126</f>
        <v>0</v>
      </c>
      <c r="M1090">
        <f t="shared" si="1872"/>
        <v>0</v>
      </c>
      <c r="N1090">
        <f t="shared" si="1872"/>
        <v>0</v>
      </c>
      <c r="P1090" t="str">
        <f t="shared" si="1798"/>
        <v>0, 0, 0, 0</v>
      </c>
    </row>
    <row r="1091" spans="1:16" ht="16" customHeight="1" x14ac:dyDescent="0.2">
      <c r="A1091">
        <f t="shared" si="1767"/>
        <v>1089</v>
      </c>
      <c r="B1091" s="1" t="s">
        <v>812</v>
      </c>
      <c r="C1091">
        <v>12</v>
      </c>
      <c r="D1091">
        <v>3</v>
      </c>
      <c r="E1091">
        <v>0</v>
      </c>
      <c r="F1091">
        <v>0</v>
      </c>
      <c r="G1091">
        <v>0</v>
      </c>
      <c r="H1091">
        <f>_xlfn.XLOOKUP(I1091,$B$2:$B$1096,$A$2:$A$1096,65535)</f>
        <v>65535</v>
      </c>
      <c r="J1091">
        <f t="shared" ref="J1091:K1091" si="1873">C1091-C1127</f>
        <v>-56</v>
      </c>
      <c r="K1091">
        <f t="shared" si="1873"/>
        <v>3</v>
      </c>
      <c r="L1091">
        <f t="shared" ref="L1091:N1091" si="1874">E1091+E1127</f>
        <v>0</v>
      </c>
      <c r="M1091">
        <f t="shared" si="1874"/>
        <v>0</v>
      </c>
      <c r="N1091">
        <f t="shared" si="1874"/>
        <v>0</v>
      </c>
      <c r="P1091" t="str">
        <f t="shared" si="1798"/>
        <v>3, 0, 0, 0</v>
      </c>
    </row>
    <row r="1092" spans="1:16" ht="16" customHeight="1" x14ac:dyDescent="0.2">
      <c r="A1092">
        <f t="shared" si="1767"/>
        <v>1090</v>
      </c>
      <c r="B1092" s="1" t="s">
        <v>813</v>
      </c>
      <c r="C1092">
        <v>12</v>
      </c>
      <c r="D1092">
        <v>2</v>
      </c>
      <c r="E1092">
        <v>0</v>
      </c>
      <c r="F1092">
        <v>0</v>
      </c>
      <c r="G1092">
        <v>0</v>
      </c>
      <c r="H1092">
        <f>_xlfn.XLOOKUP(I1092,$B$2:$B$1096,$A$2:$A$1096,65535)</f>
        <v>65535</v>
      </c>
      <c r="J1092">
        <f t="shared" ref="J1092:K1092" si="1875">C1092-C1128</f>
        <v>-57</v>
      </c>
      <c r="K1092">
        <f t="shared" si="1875"/>
        <v>2</v>
      </c>
      <c r="L1092">
        <f t="shared" ref="L1092:N1092" si="1876">E1092+E1128</f>
        <v>0</v>
      </c>
      <c r="M1092">
        <f t="shared" si="1876"/>
        <v>0</v>
      </c>
      <c r="N1092">
        <f t="shared" si="1876"/>
        <v>0</v>
      </c>
      <c r="P1092" t="str">
        <f t="shared" si="1798"/>
        <v>2, 0, 0, 0</v>
      </c>
    </row>
    <row r="1093" spans="1:16" ht="16" customHeight="1" x14ac:dyDescent="0.2">
      <c r="A1093">
        <f t="shared" si="1767"/>
        <v>1091</v>
      </c>
      <c r="B1093" s="1" t="s">
        <v>814</v>
      </c>
      <c r="C1093">
        <v>12</v>
      </c>
      <c r="D1093">
        <v>1</v>
      </c>
      <c r="E1093">
        <v>0</v>
      </c>
      <c r="F1093">
        <v>0</v>
      </c>
      <c r="G1093">
        <v>0</v>
      </c>
      <c r="H1093">
        <f>_xlfn.XLOOKUP(I1093,$B$2:$B$1096,$A$2:$A$1096,65535)</f>
        <v>65535</v>
      </c>
      <c r="J1093">
        <f t="shared" ref="J1093:K1093" si="1877">C1093-C1129</f>
        <v>-58</v>
      </c>
      <c r="K1093">
        <f t="shared" si="1877"/>
        <v>1</v>
      </c>
      <c r="L1093">
        <f t="shared" ref="L1093:N1093" si="1878">E1093+E1129</f>
        <v>0</v>
      </c>
      <c r="M1093">
        <f t="shared" si="1878"/>
        <v>0</v>
      </c>
      <c r="N1093">
        <f t="shared" si="1878"/>
        <v>0</v>
      </c>
      <c r="P1093" t="str">
        <f t="shared" si="1798"/>
        <v>1, 0, 0, 0</v>
      </c>
    </row>
    <row r="1094" spans="1:16" ht="16" customHeight="1" x14ac:dyDescent="0.2">
      <c r="A1094">
        <f t="shared" si="1767"/>
        <v>1092</v>
      </c>
      <c r="B1094" s="1" t="s">
        <v>815</v>
      </c>
      <c r="C1094">
        <v>12</v>
      </c>
      <c r="D1094">
        <v>-1</v>
      </c>
      <c r="E1094">
        <v>0</v>
      </c>
      <c r="F1094">
        <v>0</v>
      </c>
      <c r="G1094">
        <v>0</v>
      </c>
      <c r="H1094">
        <f>_xlfn.XLOOKUP(I1094,$B$2:$B$1096,$A$2:$A$1096,65535)</f>
        <v>65535</v>
      </c>
      <c r="J1094">
        <f t="shared" ref="J1094:K1094" si="1879">C1094-C1130</f>
        <v>-59</v>
      </c>
      <c r="K1094">
        <f t="shared" si="1879"/>
        <v>-1</v>
      </c>
      <c r="L1094">
        <f t="shared" ref="L1094:N1094" si="1880">E1094+E1130</f>
        <v>0</v>
      </c>
      <c r="M1094">
        <f t="shared" si="1880"/>
        <v>0</v>
      </c>
      <c r="N1094">
        <f t="shared" si="1880"/>
        <v>0</v>
      </c>
      <c r="P1094" t="str">
        <f t="shared" si="1798"/>
        <v>-1, 0, 0, 0</v>
      </c>
    </row>
    <row r="1095" spans="1:16" ht="16" customHeight="1" x14ac:dyDescent="0.2">
      <c r="A1095">
        <f t="shared" si="1767"/>
        <v>1093</v>
      </c>
      <c r="B1095" s="1" t="s">
        <v>816</v>
      </c>
      <c r="C1095">
        <v>13</v>
      </c>
      <c r="D1095">
        <v>-2</v>
      </c>
      <c r="E1095">
        <v>0</v>
      </c>
      <c r="F1095">
        <v>0</v>
      </c>
      <c r="G1095">
        <v>0</v>
      </c>
      <c r="H1095">
        <f>_xlfn.XLOOKUP(I1095,$B$2:$B$1096,$A$2:$A$1096,65535)</f>
        <v>65535</v>
      </c>
      <c r="J1095">
        <f t="shared" ref="J1095:K1095" si="1881">C1095-C1131</f>
        <v>-59</v>
      </c>
      <c r="K1095">
        <f t="shared" si="1881"/>
        <v>-2</v>
      </c>
      <c r="L1095">
        <f t="shared" ref="L1095:N1095" si="1882">E1095+E1131</f>
        <v>0</v>
      </c>
      <c r="M1095">
        <f t="shared" si="1882"/>
        <v>0</v>
      </c>
      <c r="N1095">
        <f t="shared" si="1882"/>
        <v>0</v>
      </c>
      <c r="P1095" t="str">
        <f t="shared" si="1798"/>
        <v>-2, 0, 0, 0</v>
      </c>
    </row>
    <row r="1096" spans="1:16" ht="16" customHeight="1" x14ac:dyDescent="0.2">
      <c r="A1096">
        <f t="shared" si="1767"/>
        <v>1094</v>
      </c>
      <c r="B1096" s="1" t="s">
        <v>817</v>
      </c>
      <c r="C1096">
        <v>12</v>
      </c>
      <c r="D1096">
        <v>-3</v>
      </c>
      <c r="E1096">
        <v>0</v>
      </c>
      <c r="F1096">
        <v>0</v>
      </c>
      <c r="G1096">
        <v>0</v>
      </c>
      <c r="H1096">
        <f>_xlfn.XLOOKUP(I1096,$B$2:$B$1096,$A$2:$A$1096,65535)</f>
        <v>1073</v>
      </c>
      <c r="I1096" s="1" t="s">
        <v>818</v>
      </c>
      <c r="J1096">
        <f t="shared" ref="J1096:K1096" si="1883">C1096-C1132</f>
        <v>-61</v>
      </c>
      <c r="K1096">
        <f t="shared" si="1883"/>
        <v>-3</v>
      </c>
      <c r="L1096">
        <f t="shared" ref="L1096:N1096" si="1884">E1096+E1132</f>
        <v>0</v>
      </c>
      <c r="M1096">
        <f t="shared" si="1884"/>
        <v>0</v>
      </c>
      <c r="N1096">
        <f t="shared" si="1884"/>
        <v>0</v>
      </c>
      <c r="P1096" t="str">
        <f t="shared" si="1798"/>
        <v>-3, 0, 0, 0</v>
      </c>
    </row>
    <row r="1097" spans="1:16" ht="16" customHeight="1" x14ac:dyDescent="0.2">
      <c r="A1097">
        <f t="shared" si="1767"/>
        <v>1095</v>
      </c>
      <c r="B1097" s="1" t="s">
        <v>849</v>
      </c>
      <c r="C1097">
        <v>80</v>
      </c>
      <c r="D1097">
        <v>0</v>
      </c>
      <c r="E1097">
        <v>0</v>
      </c>
      <c r="F1097">
        <v>0</v>
      </c>
      <c r="G1097">
        <v>0</v>
      </c>
      <c r="H1097">
        <f>_xlfn.XLOOKUP(I1097,$B$2:$B$1096,$A$2:$A$1096,65535)</f>
        <v>65535</v>
      </c>
      <c r="I1097" s="1"/>
      <c r="J1097">
        <f t="shared" ref="J1097:K1097" si="1885">C1097-C1133</f>
        <v>6</v>
      </c>
      <c r="K1097">
        <f t="shared" si="1885"/>
        <v>0</v>
      </c>
      <c r="L1097">
        <f t="shared" ref="L1097:N1097" si="1886">E1097+E1133</f>
        <v>0</v>
      </c>
      <c r="M1097">
        <f t="shared" si="1886"/>
        <v>0</v>
      </c>
      <c r="N1097">
        <f t="shared" si="1886"/>
        <v>0</v>
      </c>
      <c r="P1097" t="str">
        <f t="shared" si="1798"/>
        <v>0, 0, 0, 0</v>
      </c>
    </row>
    <row r="1098" spans="1:16" ht="16" customHeight="1" x14ac:dyDescent="0.2">
      <c r="A1098">
        <f t="shared" si="1767"/>
        <v>1096</v>
      </c>
      <c r="B1098" s="1" t="s">
        <v>850</v>
      </c>
      <c r="C1098">
        <v>81</v>
      </c>
      <c r="D1098">
        <v>0</v>
      </c>
      <c r="E1098">
        <v>0</v>
      </c>
      <c r="F1098">
        <v>0</v>
      </c>
      <c r="G1098">
        <v>0</v>
      </c>
      <c r="H1098">
        <f>_xlfn.XLOOKUP(I1098,$B$2:$B$1096,$A$2:$A$1096,65535)</f>
        <v>65535</v>
      </c>
      <c r="I1098" s="1"/>
      <c r="J1098">
        <f t="shared" ref="J1098:K1098" si="1887">C1098-C1134</f>
        <v>6</v>
      </c>
      <c r="K1098">
        <f t="shared" si="1887"/>
        <v>0</v>
      </c>
      <c r="L1098">
        <f t="shared" ref="L1098:N1098" si="1888">E1098+E1134</f>
        <v>0</v>
      </c>
      <c r="M1098">
        <f t="shared" si="1888"/>
        <v>0</v>
      </c>
      <c r="N1098">
        <f t="shared" si="1888"/>
        <v>0</v>
      </c>
      <c r="P1098" t="str">
        <f t="shared" si="1798"/>
        <v>0, 0, 0, 0</v>
      </c>
    </row>
    <row r="1099" spans="1:16" ht="16" customHeight="1" x14ac:dyDescent="0.2">
      <c r="A1099">
        <f t="shared" si="1767"/>
        <v>1097</v>
      </c>
      <c r="B1099" s="1" t="s">
        <v>851</v>
      </c>
      <c r="C1099">
        <v>82</v>
      </c>
      <c r="D1099">
        <v>0</v>
      </c>
      <c r="E1099">
        <v>0</v>
      </c>
      <c r="F1099">
        <v>0</v>
      </c>
      <c r="G1099">
        <v>0</v>
      </c>
      <c r="H1099">
        <f>_xlfn.XLOOKUP(I1099,$B$2:$B$1096,$A$2:$A$1096,65535)</f>
        <v>65535</v>
      </c>
      <c r="I1099" s="1"/>
      <c r="J1099">
        <f t="shared" ref="J1099:K1099" si="1889">C1099-C1135</f>
        <v>6</v>
      </c>
      <c r="K1099">
        <f t="shared" si="1889"/>
        <v>0</v>
      </c>
      <c r="L1099">
        <f t="shared" ref="L1099:N1099" si="1890">E1099+E1135</f>
        <v>0</v>
      </c>
      <c r="M1099">
        <f t="shared" si="1890"/>
        <v>0</v>
      </c>
      <c r="N1099">
        <f t="shared" si="1890"/>
        <v>0</v>
      </c>
      <c r="P1099" t="str">
        <f t="shared" si="1798"/>
        <v>0, 0, 0, 0</v>
      </c>
    </row>
    <row r="1100" spans="1:16" ht="16" customHeight="1" x14ac:dyDescent="0.2">
      <c r="A1100">
        <f t="shared" si="1767"/>
        <v>1098</v>
      </c>
      <c r="B1100" s="1" t="s">
        <v>852</v>
      </c>
      <c r="C1100">
        <v>83</v>
      </c>
      <c r="D1100">
        <v>0</v>
      </c>
      <c r="E1100">
        <v>0</v>
      </c>
      <c r="F1100">
        <v>0</v>
      </c>
      <c r="G1100">
        <v>0</v>
      </c>
      <c r="H1100">
        <f>_xlfn.XLOOKUP(I1100,$B$2:$B$1096,$A$2:$A$1096,65535)</f>
        <v>65535</v>
      </c>
      <c r="I1100" s="1"/>
      <c r="J1100">
        <f t="shared" ref="J1100:K1100" si="1891">C1100-C1136</f>
        <v>35</v>
      </c>
      <c r="K1100">
        <f t="shared" si="1891"/>
        <v>0</v>
      </c>
      <c r="L1100">
        <f t="shared" ref="L1100:N1100" si="1892">E1100+E1136</f>
        <v>0</v>
      </c>
      <c r="M1100">
        <f t="shared" si="1892"/>
        <v>0</v>
      </c>
      <c r="N1100">
        <f t="shared" si="1892"/>
        <v>0</v>
      </c>
      <c r="P1100" t="str">
        <f t="shared" si="1798"/>
        <v>0, 0, 0, 0</v>
      </c>
    </row>
    <row r="1101" spans="1:16" ht="16" customHeight="1" x14ac:dyDescent="0.2">
      <c r="A1101">
        <f t="shared" si="1767"/>
        <v>1099</v>
      </c>
      <c r="B1101" s="1" t="s">
        <v>873</v>
      </c>
      <c r="C1101">
        <v>84</v>
      </c>
      <c r="D1101">
        <v>0</v>
      </c>
      <c r="E1101">
        <v>0</v>
      </c>
      <c r="F1101">
        <v>0</v>
      </c>
      <c r="G1101">
        <v>0</v>
      </c>
      <c r="H1101">
        <f>_xlfn.XLOOKUP(I1101,$B$2:$B$1096,$A$2:$A$1096,65535)</f>
        <v>65535</v>
      </c>
      <c r="I1101" s="1"/>
      <c r="J1101">
        <f t="shared" ref="J1101:K1101" si="1893">C1101-C1137</f>
        <v>35</v>
      </c>
      <c r="K1101">
        <f t="shared" si="1893"/>
        <v>0</v>
      </c>
      <c r="L1101">
        <f t="shared" ref="L1101:N1101" si="1894">E1101+E1137</f>
        <v>0</v>
      </c>
      <c r="M1101">
        <f t="shared" si="1894"/>
        <v>0</v>
      </c>
      <c r="N1101">
        <f t="shared" si="1894"/>
        <v>0</v>
      </c>
      <c r="P1101" t="str">
        <f t="shared" si="1798"/>
        <v>0, 0, 0, 0</v>
      </c>
    </row>
    <row r="1102" spans="1:16" ht="16" customHeight="1" x14ac:dyDescent="0.2">
      <c r="A1102">
        <f t="shared" si="1767"/>
        <v>1100</v>
      </c>
      <c r="B1102" s="1" t="s">
        <v>874</v>
      </c>
      <c r="C1102">
        <v>85</v>
      </c>
      <c r="D1102">
        <v>0</v>
      </c>
      <c r="E1102">
        <v>0</v>
      </c>
      <c r="F1102">
        <v>0</v>
      </c>
      <c r="G1102">
        <v>0</v>
      </c>
      <c r="H1102">
        <f>_xlfn.XLOOKUP(I1102,$B$2:$B$1096,$A$2:$A$1096,65535)</f>
        <v>65535</v>
      </c>
      <c r="I1102" s="1"/>
      <c r="J1102">
        <f t="shared" ref="J1102:K1102" si="1895">C1102-C1138</f>
        <v>35</v>
      </c>
      <c r="K1102">
        <f t="shared" si="1895"/>
        <v>0</v>
      </c>
      <c r="L1102">
        <f t="shared" ref="L1102:N1102" si="1896">E1102+E1138</f>
        <v>0</v>
      </c>
      <c r="M1102">
        <f t="shared" si="1896"/>
        <v>0</v>
      </c>
      <c r="N1102">
        <f t="shared" si="1896"/>
        <v>0</v>
      </c>
      <c r="P1102" t="str">
        <f t="shared" si="1798"/>
        <v>0, 0, 0, 0</v>
      </c>
    </row>
    <row r="1103" spans="1:16" ht="16" customHeight="1" x14ac:dyDescent="0.2">
      <c r="A1103">
        <f t="shared" ref="A1103:A1153" si="1897">A1102+1</f>
        <v>1101</v>
      </c>
      <c r="B1103" s="1" t="s">
        <v>875</v>
      </c>
      <c r="C1103">
        <v>86</v>
      </c>
      <c r="D1103">
        <v>0</v>
      </c>
      <c r="E1103">
        <v>0</v>
      </c>
      <c r="F1103">
        <v>0</v>
      </c>
      <c r="G1103">
        <v>0</v>
      </c>
      <c r="H1103">
        <f>_xlfn.XLOOKUP(I1103,$B$2:$B$1096,$A$2:$A$1096,65535)</f>
        <v>65535</v>
      </c>
      <c r="I1103" s="1"/>
      <c r="J1103">
        <f t="shared" ref="J1103:K1103" si="1898">C1103-C1139</f>
        <v>35</v>
      </c>
      <c r="K1103">
        <f t="shared" si="1898"/>
        <v>0</v>
      </c>
      <c r="L1103">
        <f t="shared" ref="L1103:N1103" si="1899">E1103+E1139</f>
        <v>0</v>
      </c>
      <c r="M1103">
        <f t="shared" si="1899"/>
        <v>0</v>
      </c>
      <c r="N1103">
        <f t="shared" si="1899"/>
        <v>0</v>
      </c>
      <c r="P1103" t="str">
        <f t="shared" si="1798"/>
        <v>0, 0, 0, 0</v>
      </c>
    </row>
    <row r="1104" spans="1:16" ht="16" customHeight="1" x14ac:dyDescent="0.2">
      <c r="A1104">
        <f t="shared" si="1897"/>
        <v>1102</v>
      </c>
      <c r="B1104" s="1" t="s">
        <v>876</v>
      </c>
      <c r="C1104">
        <v>87</v>
      </c>
      <c r="D1104">
        <v>0</v>
      </c>
      <c r="E1104">
        <v>0</v>
      </c>
      <c r="F1104">
        <v>0</v>
      </c>
      <c r="G1104">
        <v>0</v>
      </c>
      <c r="H1104">
        <f>_xlfn.XLOOKUP(I1104,$B$2:$B$1096,$A$2:$A$1096,65535)</f>
        <v>65535</v>
      </c>
      <c r="I1104" s="1"/>
      <c r="J1104">
        <f t="shared" ref="J1104:K1104" si="1900">C1104-C1140</f>
        <v>35</v>
      </c>
      <c r="K1104">
        <f t="shared" si="1900"/>
        <v>0</v>
      </c>
      <c r="L1104">
        <f t="shared" ref="L1104:N1104" si="1901">E1104+E1140</f>
        <v>0</v>
      </c>
      <c r="M1104">
        <f t="shared" si="1901"/>
        <v>0</v>
      </c>
      <c r="N1104">
        <f t="shared" si="1901"/>
        <v>0</v>
      </c>
      <c r="P1104" t="str">
        <f t="shared" si="1798"/>
        <v>0, 0, 0, 0</v>
      </c>
    </row>
    <row r="1105" spans="1:16" ht="16" customHeight="1" x14ac:dyDescent="0.2">
      <c r="A1105">
        <f t="shared" si="1897"/>
        <v>1103</v>
      </c>
      <c r="B1105" s="1" t="s">
        <v>881</v>
      </c>
      <c r="C1105">
        <v>88</v>
      </c>
      <c r="D1105">
        <v>0</v>
      </c>
      <c r="E1105">
        <v>0</v>
      </c>
      <c r="F1105">
        <v>0</v>
      </c>
      <c r="G1105">
        <v>0</v>
      </c>
      <c r="H1105">
        <f>_xlfn.XLOOKUP(I1105,$B$2:$B$1096,$A$2:$A$1096,65535)</f>
        <v>65535</v>
      </c>
      <c r="I1105" s="1"/>
      <c r="J1105">
        <f t="shared" ref="J1105:K1105" si="1902">C1105-C1141</f>
        <v>35</v>
      </c>
      <c r="K1105">
        <f t="shared" si="1902"/>
        <v>0</v>
      </c>
      <c r="L1105">
        <f t="shared" ref="L1105:N1105" si="1903">E1105+E1141</f>
        <v>0</v>
      </c>
      <c r="M1105">
        <f t="shared" si="1903"/>
        <v>0</v>
      </c>
      <c r="N1105">
        <f t="shared" si="1903"/>
        <v>0</v>
      </c>
      <c r="P1105" t="str">
        <f t="shared" si="1798"/>
        <v>0, 0, 0, 0</v>
      </c>
    </row>
    <row r="1106" spans="1:16" ht="16" customHeight="1" x14ac:dyDescent="0.2">
      <c r="A1106">
        <f t="shared" si="1897"/>
        <v>1104</v>
      </c>
      <c r="B1106" s="1" t="s">
        <v>882</v>
      </c>
      <c r="C1106">
        <v>89</v>
      </c>
      <c r="D1106">
        <v>0</v>
      </c>
      <c r="E1106">
        <v>0</v>
      </c>
      <c r="F1106">
        <v>0</v>
      </c>
      <c r="G1106">
        <v>0</v>
      </c>
      <c r="H1106">
        <f>_xlfn.XLOOKUP(I1106,$B$2:$B$1096,$A$2:$A$1096,65535)</f>
        <v>65535</v>
      </c>
      <c r="I1106" s="1"/>
      <c r="J1106">
        <f t="shared" ref="J1106:K1106" si="1904">C1106-C1142</f>
        <v>35</v>
      </c>
      <c r="K1106">
        <f t="shared" si="1904"/>
        <v>0</v>
      </c>
      <c r="L1106">
        <f t="shared" ref="L1106:N1106" si="1905">E1106+E1142</f>
        <v>0</v>
      </c>
      <c r="M1106">
        <f t="shared" si="1905"/>
        <v>0</v>
      </c>
      <c r="N1106">
        <f t="shared" si="1905"/>
        <v>0</v>
      </c>
      <c r="P1106" t="str">
        <f t="shared" si="1798"/>
        <v>0, 0, 0, 0</v>
      </c>
    </row>
    <row r="1107" spans="1:16" ht="16" customHeight="1" x14ac:dyDescent="0.2">
      <c r="A1107">
        <f t="shared" si="1897"/>
        <v>1105</v>
      </c>
      <c r="B1107" s="1" t="s">
        <v>883</v>
      </c>
      <c r="C1107">
        <v>90</v>
      </c>
      <c r="D1107">
        <v>0</v>
      </c>
      <c r="E1107">
        <v>0</v>
      </c>
      <c r="F1107">
        <v>0</v>
      </c>
      <c r="G1107">
        <v>0</v>
      </c>
      <c r="H1107">
        <f>_xlfn.XLOOKUP(I1107,$B$2:$B$1096,$A$2:$A$1096,65535)</f>
        <v>65535</v>
      </c>
      <c r="I1107" s="1"/>
      <c r="J1107">
        <f t="shared" ref="J1107:K1107" si="1906">C1107-C1143</f>
        <v>35</v>
      </c>
      <c r="K1107">
        <f t="shared" si="1906"/>
        <v>0</v>
      </c>
      <c r="L1107">
        <f t="shared" ref="L1107:N1107" si="1907">E1107+E1143</f>
        <v>0</v>
      </c>
      <c r="M1107">
        <f t="shared" si="1907"/>
        <v>0</v>
      </c>
      <c r="N1107">
        <f t="shared" si="1907"/>
        <v>0</v>
      </c>
      <c r="P1107" t="str">
        <f t="shared" si="1798"/>
        <v>0, 0, 0, 0</v>
      </c>
    </row>
    <row r="1108" spans="1:16" ht="16" customHeight="1" x14ac:dyDescent="0.2">
      <c r="A1108">
        <f t="shared" si="1897"/>
        <v>1106</v>
      </c>
      <c r="B1108" s="1" t="s">
        <v>884</v>
      </c>
      <c r="C1108">
        <v>91</v>
      </c>
      <c r="D1108">
        <v>0</v>
      </c>
      <c r="E1108">
        <v>0</v>
      </c>
      <c r="F1108">
        <v>0</v>
      </c>
      <c r="G1108">
        <v>0</v>
      </c>
      <c r="H1108">
        <f>_xlfn.XLOOKUP(I1108,$B$2:$B$1096,$A$2:$A$1096,65535)</f>
        <v>65535</v>
      </c>
      <c r="I1108" s="1"/>
      <c r="J1108">
        <f t="shared" ref="J1108:K1108" si="1908">C1108-C1144</f>
        <v>35</v>
      </c>
      <c r="K1108">
        <f t="shared" si="1908"/>
        <v>0</v>
      </c>
      <c r="L1108">
        <f t="shared" ref="L1108:N1108" si="1909">E1108+E1144</f>
        <v>0</v>
      </c>
      <c r="M1108">
        <f t="shared" si="1909"/>
        <v>0</v>
      </c>
      <c r="N1108">
        <f t="shared" si="1909"/>
        <v>0</v>
      </c>
      <c r="P1108" t="str">
        <f t="shared" si="1798"/>
        <v>0, 0, 0, 0</v>
      </c>
    </row>
    <row r="1109" spans="1:16" ht="16" customHeight="1" x14ac:dyDescent="0.2">
      <c r="A1109">
        <f t="shared" si="1897"/>
        <v>1107</v>
      </c>
      <c r="B1109" s="1" t="s">
        <v>885</v>
      </c>
      <c r="C1109">
        <v>92</v>
      </c>
      <c r="D1109">
        <v>0</v>
      </c>
      <c r="E1109">
        <v>0</v>
      </c>
      <c r="F1109">
        <v>0</v>
      </c>
      <c r="G1109">
        <v>0</v>
      </c>
      <c r="H1109">
        <f>_xlfn.XLOOKUP(I1109,$B$2:$B$1096,$A$2:$A$1096,65535)</f>
        <v>65535</v>
      </c>
      <c r="I1109" s="1"/>
      <c r="J1109">
        <f t="shared" ref="J1109:K1109" si="1910">C1109-C1145</f>
        <v>35</v>
      </c>
      <c r="K1109">
        <f t="shared" si="1910"/>
        <v>0</v>
      </c>
      <c r="L1109">
        <f t="shared" ref="L1109:N1109" si="1911">E1109+E1145</f>
        <v>0</v>
      </c>
      <c r="M1109">
        <f t="shared" si="1911"/>
        <v>0</v>
      </c>
      <c r="N1109">
        <f t="shared" si="1911"/>
        <v>0</v>
      </c>
      <c r="P1109" t="str">
        <f t="shared" si="1798"/>
        <v>0, 0, 0, 0</v>
      </c>
    </row>
    <row r="1110" spans="1:16" ht="16" customHeight="1" x14ac:dyDescent="0.2">
      <c r="A1110">
        <f t="shared" si="1897"/>
        <v>1108</v>
      </c>
      <c r="B1110" s="1" t="s">
        <v>853</v>
      </c>
      <c r="C1110">
        <v>32</v>
      </c>
      <c r="D1110">
        <v>0</v>
      </c>
      <c r="E1110">
        <v>0</v>
      </c>
      <c r="F1110">
        <v>0</v>
      </c>
      <c r="G1110">
        <v>0</v>
      </c>
      <c r="H1110">
        <f>_xlfn.XLOOKUP(I1110,$B$2:$B$1096,$A$2:$A$1096,65535)</f>
        <v>65535</v>
      </c>
      <c r="I1110" s="1"/>
      <c r="J1110">
        <f t="shared" ref="J1110:K1110" si="1912">C1110-C1146</f>
        <v>-26</v>
      </c>
      <c r="K1110">
        <f t="shared" si="1912"/>
        <v>0</v>
      </c>
      <c r="L1110">
        <f t="shared" ref="L1110:N1110" si="1913">E1110+E1146</f>
        <v>0</v>
      </c>
      <c r="M1110">
        <f t="shared" si="1913"/>
        <v>0</v>
      </c>
      <c r="N1110">
        <f t="shared" si="1913"/>
        <v>0</v>
      </c>
      <c r="P1110" t="str">
        <f t="shared" si="1798"/>
        <v>0, 0, 0, 0</v>
      </c>
    </row>
    <row r="1111" spans="1:16" ht="16" customHeight="1" x14ac:dyDescent="0.2">
      <c r="A1111">
        <f t="shared" si="1897"/>
        <v>1109</v>
      </c>
      <c r="B1111" s="1" t="s">
        <v>854</v>
      </c>
      <c r="C1111">
        <v>33</v>
      </c>
      <c r="D1111">
        <v>0</v>
      </c>
      <c r="E1111">
        <v>0</v>
      </c>
      <c r="F1111">
        <v>0</v>
      </c>
      <c r="G1111">
        <v>0</v>
      </c>
      <c r="H1111">
        <f>_xlfn.XLOOKUP(I1111,$B$2:$B$1096,$A$2:$A$1096,65535)</f>
        <v>65535</v>
      </c>
      <c r="I1111" s="1"/>
      <c r="J1111">
        <f t="shared" ref="J1111:K1111" si="1914">C1111-C1147</f>
        <v>-26</v>
      </c>
      <c r="K1111">
        <f t="shared" si="1914"/>
        <v>0</v>
      </c>
      <c r="L1111">
        <f t="shared" ref="L1111:N1111" si="1915">E1111+E1147</f>
        <v>0</v>
      </c>
      <c r="M1111">
        <f t="shared" si="1915"/>
        <v>0</v>
      </c>
      <c r="N1111">
        <f t="shared" si="1915"/>
        <v>0</v>
      </c>
      <c r="P1111" t="str">
        <f t="shared" si="1798"/>
        <v>0, 0, 0, 0</v>
      </c>
    </row>
    <row r="1112" spans="1:16" ht="16" customHeight="1" x14ac:dyDescent="0.2">
      <c r="A1112">
        <f t="shared" si="1897"/>
        <v>1110</v>
      </c>
      <c r="B1112" s="1" t="s">
        <v>855</v>
      </c>
      <c r="C1112">
        <v>34</v>
      </c>
      <c r="D1112">
        <v>0</v>
      </c>
      <c r="E1112">
        <v>0</v>
      </c>
      <c r="F1112">
        <v>0</v>
      </c>
      <c r="G1112">
        <v>0</v>
      </c>
      <c r="H1112">
        <f>_xlfn.XLOOKUP(I1112,$B$2:$B$1096,$A$2:$A$1096,65535)</f>
        <v>65535</v>
      </c>
      <c r="I1112" s="1"/>
      <c r="J1112">
        <f t="shared" ref="J1112:K1112" si="1916">C1112-C1148</f>
        <v>-26</v>
      </c>
      <c r="K1112">
        <f t="shared" si="1916"/>
        <v>0</v>
      </c>
      <c r="L1112">
        <f t="shared" ref="L1112:N1112" si="1917">E1112+E1148</f>
        <v>0</v>
      </c>
      <c r="M1112">
        <f t="shared" si="1917"/>
        <v>0</v>
      </c>
      <c r="N1112">
        <f t="shared" si="1917"/>
        <v>0</v>
      </c>
      <c r="P1112" t="str">
        <f t="shared" si="1798"/>
        <v>0, 0, 0, 0</v>
      </c>
    </row>
    <row r="1113" spans="1:16" ht="16" customHeight="1" x14ac:dyDescent="0.2">
      <c r="A1113">
        <f t="shared" si="1897"/>
        <v>1111</v>
      </c>
      <c r="B1113" s="1" t="s">
        <v>856</v>
      </c>
      <c r="C1113">
        <v>35</v>
      </c>
      <c r="D1113">
        <v>0</v>
      </c>
      <c r="E1113">
        <v>0</v>
      </c>
      <c r="F1113">
        <v>0</v>
      </c>
      <c r="G1113">
        <v>0</v>
      </c>
      <c r="H1113">
        <f>_xlfn.XLOOKUP(I1113,$B$2:$B$1096,$A$2:$A$1096,65535)</f>
        <v>65535</v>
      </c>
      <c r="I1113" s="1"/>
      <c r="J1113">
        <f t="shared" ref="J1113:K1113" si="1918">C1113-C1153</f>
        <v>28</v>
      </c>
      <c r="K1113">
        <f t="shared" si="1918"/>
        <v>-15</v>
      </c>
      <c r="L1113">
        <f t="shared" ref="L1113:N1113" si="1919">E1113+E1153</f>
        <v>0</v>
      </c>
      <c r="M1113">
        <f t="shared" si="1919"/>
        <v>0</v>
      </c>
      <c r="N1113">
        <f t="shared" si="1919"/>
        <v>0</v>
      </c>
      <c r="P1113" t="str">
        <f t="shared" si="1798"/>
        <v>0, 0, 0, 0</v>
      </c>
    </row>
    <row r="1114" spans="1:16" ht="16" customHeight="1" x14ac:dyDescent="0.2">
      <c r="A1114">
        <f t="shared" si="1897"/>
        <v>1112</v>
      </c>
      <c r="B1114" s="1" t="s">
        <v>877</v>
      </c>
      <c r="C1114">
        <v>36</v>
      </c>
      <c r="D1114">
        <v>0</v>
      </c>
      <c r="E1114">
        <v>0</v>
      </c>
      <c r="F1114">
        <v>0</v>
      </c>
      <c r="G1114">
        <v>0</v>
      </c>
      <c r="H1114">
        <f>_xlfn.XLOOKUP(I1114,$B$2:$B$1096,$A$2:$A$1096,65535)</f>
        <v>65535</v>
      </c>
      <c r="I1114" s="1"/>
      <c r="J1114">
        <f t="shared" ref="J1114:K1114" si="1920">C1114-C1154</f>
        <v>36</v>
      </c>
      <c r="K1114">
        <f t="shared" si="1920"/>
        <v>0</v>
      </c>
      <c r="L1114">
        <f t="shared" ref="L1114:N1114" si="1921">E1114+E1154</f>
        <v>0</v>
      </c>
      <c r="M1114">
        <f t="shared" si="1921"/>
        <v>0</v>
      </c>
      <c r="N1114">
        <f t="shared" si="1921"/>
        <v>0</v>
      </c>
      <c r="P1114" t="str">
        <f t="shared" si="1798"/>
        <v>0, 0, 0, 0</v>
      </c>
    </row>
    <row r="1115" spans="1:16" ht="16" customHeight="1" x14ac:dyDescent="0.2">
      <c r="A1115">
        <f t="shared" si="1897"/>
        <v>1113</v>
      </c>
      <c r="B1115" s="1" t="s">
        <v>878</v>
      </c>
      <c r="C1115">
        <v>37</v>
      </c>
      <c r="D1115">
        <v>0</v>
      </c>
      <c r="E1115">
        <v>0</v>
      </c>
      <c r="F1115">
        <v>0</v>
      </c>
      <c r="G1115">
        <v>0</v>
      </c>
      <c r="H1115">
        <f>_xlfn.XLOOKUP(I1115,$B$2:$B$1096,$A$2:$A$1096,65535)</f>
        <v>65535</v>
      </c>
      <c r="I1115" s="1"/>
      <c r="J1115" t="e">
        <f t="shared" ref="J1115:K1115" si="1922">C1115-C1155</f>
        <v>#VALUE!</v>
      </c>
      <c r="K1115">
        <f t="shared" si="1922"/>
        <v>0</v>
      </c>
      <c r="L1115">
        <f t="shared" ref="L1115:N1115" si="1923">E1115+E1155</f>
        <v>0</v>
      </c>
      <c r="M1115">
        <f t="shared" si="1923"/>
        <v>0</v>
      </c>
      <c r="N1115">
        <f t="shared" si="1923"/>
        <v>0</v>
      </c>
      <c r="P1115" t="str">
        <f t="shared" si="1798"/>
        <v>0, 0, 0, 0</v>
      </c>
    </row>
    <row r="1116" spans="1:16" ht="16" customHeight="1" x14ac:dyDescent="0.2">
      <c r="A1116">
        <f t="shared" si="1897"/>
        <v>1114</v>
      </c>
      <c r="B1116" s="1" t="s">
        <v>879</v>
      </c>
      <c r="C1116">
        <v>38</v>
      </c>
      <c r="D1116">
        <v>0</v>
      </c>
      <c r="E1116">
        <v>0</v>
      </c>
      <c r="F1116">
        <v>0</v>
      </c>
      <c r="G1116">
        <v>0</v>
      </c>
      <c r="H1116">
        <f>_xlfn.XLOOKUP(I1116,$B$2:$B$1096,$A$2:$A$1096,65535)</f>
        <v>65535</v>
      </c>
      <c r="I1116" s="1"/>
      <c r="J1116" t="e">
        <f>C1116-#REF!</f>
        <v>#REF!</v>
      </c>
      <c r="K1116" t="e">
        <f>D1116-#REF!</f>
        <v>#REF!</v>
      </c>
      <c r="L1116" t="e">
        <f>E1116+#REF!</f>
        <v>#REF!</v>
      </c>
      <c r="M1116" t="e">
        <f>F1116+#REF!</f>
        <v>#REF!</v>
      </c>
      <c r="N1116" t="e">
        <f>G1116+#REF!</f>
        <v>#REF!</v>
      </c>
      <c r="P1116" t="str">
        <f t="shared" si="1798"/>
        <v>0, 0, 0, 0</v>
      </c>
    </row>
    <row r="1117" spans="1:16" ht="16" customHeight="1" x14ac:dyDescent="0.2">
      <c r="A1117">
        <f t="shared" si="1897"/>
        <v>1115</v>
      </c>
      <c r="B1117" s="1" t="s">
        <v>880</v>
      </c>
      <c r="C1117">
        <v>39</v>
      </c>
      <c r="D1117">
        <v>0</v>
      </c>
      <c r="E1117">
        <v>0</v>
      </c>
      <c r="F1117">
        <v>0</v>
      </c>
      <c r="G1117">
        <v>0</v>
      </c>
      <c r="H1117">
        <f>_xlfn.XLOOKUP(I1117,$B$2:$B$1096,$A$2:$A$1096,65535)</f>
        <v>65535</v>
      </c>
      <c r="I1117" s="1"/>
      <c r="J1117" t="e">
        <f>C1117-#REF!</f>
        <v>#REF!</v>
      </c>
      <c r="K1117" t="e">
        <f>D1117-#REF!</f>
        <v>#REF!</v>
      </c>
      <c r="L1117" t="e">
        <f>E1117+#REF!</f>
        <v>#REF!</v>
      </c>
      <c r="M1117" t="e">
        <f>F1117+#REF!</f>
        <v>#REF!</v>
      </c>
      <c r="N1117" t="e">
        <f>G1117+#REF!</f>
        <v>#REF!</v>
      </c>
      <c r="P1117" t="str">
        <f t="shared" ref="P1117:P1153" si="1924">_xlfn.CONCAT(D1117,", ",E1117,", ",F1117,", ",G1117)</f>
        <v>0, 0, 0, 0</v>
      </c>
    </row>
    <row r="1118" spans="1:16" ht="16" customHeight="1" x14ac:dyDescent="0.2">
      <c r="A1118">
        <f t="shared" si="1897"/>
        <v>1116</v>
      </c>
      <c r="B1118" s="1" t="s">
        <v>886</v>
      </c>
      <c r="C1118">
        <v>40</v>
      </c>
      <c r="D1118">
        <v>0</v>
      </c>
      <c r="E1118">
        <v>0</v>
      </c>
      <c r="F1118">
        <v>0</v>
      </c>
      <c r="G1118">
        <v>0</v>
      </c>
      <c r="H1118">
        <f>_xlfn.XLOOKUP(I1118,$B$2:$B$1096,$A$2:$A$1096,65535)</f>
        <v>65535</v>
      </c>
      <c r="I1118" s="1"/>
      <c r="J1118" t="e">
        <f>C1118-#REF!</f>
        <v>#REF!</v>
      </c>
      <c r="K1118" t="e">
        <f>D1118-#REF!</f>
        <v>#REF!</v>
      </c>
      <c r="L1118" t="e">
        <f>E1118+#REF!</f>
        <v>#REF!</v>
      </c>
      <c r="M1118" t="e">
        <f>F1118+#REF!</f>
        <v>#REF!</v>
      </c>
      <c r="N1118" t="e">
        <f>G1118+#REF!</f>
        <v>#REF!</v>
      </c>
      <c r="P1118" t="str">
        <f t="shared" si="1924"/>
        <v>0, 0, 0, 0</v>
      </c>
    </row>
    <row r="1119" spans="1:16" ht="16" customHeight="1" x14ac:dyDescent="0.2">
      <c r="A1119">
        <f t="shared" si="1897"/>
        <v>1117</v>
      </c>
      <c r="B1119" s="1" t="s">
        <v>887</v>
      </c>
      <c r="C1119">
        <v>41</v>
      </c>
      <c r="D1119">
        <v>0</v>
      </c>
      <c r="E1119">
        <v>0</v>
      </c>
      <c r="F1119">
        <v>0</v>
      </c>
      <c r="G1119">
        <v>0</v>
      </c>
      <c r="H1119">
        <f>_xlfn.XLOOKUP(I1119,$B$2:$B$1096,$A$2:$A$1096,65535)</f>
        <v>65535</v>
      </c>
      <c r="I1119" s="1"/>
      <c r="J1119" t="e">
        <f>C1119-#REF!</f>
        <v>#REF!</v>
      </c>
      <c r="K1119" t="e">
        <f>D1119-#REF!</f>
        <v>#REF!</v>
      </c>
      <c r="L1119" t="e">
        <f>E1119+#REF!</f>
        <v>#REF!</v>
      </c>
      <c r="M1119" t="e">
        <f>F1119+#REF!</f>
        <v>#REF!</v>
      </c>
      <c r="N1119" t="e">
        <f>G1119+#REF!</f>
        <v>#REF!</v>
      </c>
      <c r="P1119" t="str">
        <f t="shared" si="1924"/>
        <v>0, 0, 0, 0</v>
      </c>
    </row>
    <row r="1120" spans="1:16" ht="16" customHeight="1" x14ac:dyDescent="0.2">
      <c r="A1120">
        <f t="shared" si="1897"/>
        <v>1118</v>
      </c>
      <c r="B1120" s="1" t="s">
        <v>888</v>
      </c>
      <c r="C1120">
        <v>42</v>
      </c>
      <c r="D1120">
        <v>0</v>
      </c>
      <c r="E1120">
        <v>0</v>
      </c>
      <c r="F1120">
        <v>0</v>
      </c>
      <c r="G1120">
        <v>0</v>
      </c>
      <c r="H1120">
        <f>_xlfn.XLOOKUP(I1120,$B$2:$B$1096,$A$2:$A$1096,65535)</f>
        <v>65535</v>
      </c>
      <c r="I1120" s="1"/>
      <c r="J1120" t="e">
        <f>C1120-C1156</f>
        <v>#VALUE!</v>
      </c>
      <c r="K1120">
        <f>D1120-D1156</f>
        <v>0</v>
      </c>
      <c r="L1120">
        <f>E1120+E1156</f>
        <v>0</v>
      </c>
      <c r="M1120">
        <f>F1120+F1156</f>
        <v>0</v>
      </c>
      <c r="N1120">
        <f>G1120+G1156</f>
        <v>0</v>
      </c>
      <c r="P1120" t="str">
        <f t="shared" si="1924"/>
        <v>0, 0, 0, 0</v>
      </c>
    </row>
    <row r="1121" spans="1:16" ht="16" customHeight="1" x14ac:dyDescent="0.2">
      <c r="A1121">
        <f t="shared" si="1897"/>
        <v>1119</v>
      </c>
      <c r="B1121" s="1" t="s">
        <v>889</v>
      </c>
      <c r="C1121">
        <v>43</v>
      </c>
      <c r="D1121">
        <v>0</v>
      </c>
      <c r="E1121">
        <v>0</v>
      </c>
      <c r="F1121">
        <v>0</v>
      </c>
      <c r="G1121">
        <v>0</v>
      </c>
      <c r="H1121">
        <f>_xlfn.XLOOKUP(I1121,$B$2:$B$1096,$A$2:$A$1096,65535)</f>
        <v>65535</v>
      </c>
      <c r="I1121" s="1"/>
      <c r="J1121" t="e">
        <f>C1121-#REF!</f>
        <v>#REF!</v>
      </c>
      <c r="K1121" t="e">
        <f>D1121-#REF!</f>
        <v>#REF!</v>
      </c>
      <c r="L1121" t="e">
        <f>E1121+#REF!</f>
        <v>#REF!</v>
      </c>
      <c r="M1121" t="e">
        <f>F1121+#REF!</f>
        <v>#REF!</v>
      </c>
      <c r="N1121" t="e">
        <f>G1121+#REF!</f>
        <v>#REF!</v>
      </c>
      <c r="P1121" t="str">
        <f t="shared" si="1924"/>
        <v>0, 0, 0, 0</v>
      </c>
    </row>
    <row r="1122" spans="1:16" ht="16" customHeight="1" x14ac:dyDescent="0.2">
      <c r="A1122">
        <f t="shared" si="1897"/>
        <v>1120</v>
      </c>
      <c r="B1122" s="1" t="s">
        <v>890</v>
      </c>
      <c r="C1122">
        <v>44</v>
      </c>
      <c r="D1122">
        <v>0</v>
      </c>
      <c r="E1122">
        <v>0</v>
      </c>
      <c r="F1122">
        <v>0</v>
      </c>
      <c r="G1122">
        <v>0</v>
      </c>
      <c r="H1122">
        <f>_xlfn.XLOOKUP(I1122,$B$2:$B$1096,$A$2:$A$1096,65535)</f>
        <v>65535</v>
      </c>
      <c r="I1122" s="1"/>
      <c r="J1122" t="e">
        <f t="shared" ref="J1122:J1152" si="1925">C1122-C1157</f>
        <v>#VALUE!</v>
      </c>
      <c r="K1122">
        <f t="shared" ref="K1122:K1152" si="1926">D1122-D1157</f>
        <v>0</v>
      </c>
      <c r="L1122">
        <f t="shared" ref="L1122:L1152" si="1927">E1122+E1157</f>
        <v>0</v>
      </c>
      <c r="M1122">
        <f t="shared" ref="M1122:M1152" si="1928">F1122+F1157</f>
        <v>0</v>
      </c>
      <c r="N1122">
        <f t="shared" ref="N1122:N1152" si="1929">G1122+G1157</f>
        <v>0</v>
      </c>
      <c r="P1122" t="str">
        <f t="shared" si="1924"/>
        <v>0, 0, 0, 0</v>
      </c>
    </row>
    <row r="1123" spans="1:16" ht="16" customHeight="1" x14ac:dyDescent="0.2">
      <c r="A1123">
        <f t="shared" si="1897"/>
        <v>1121</v>
      </c>
      <c r="B1123" s="1" t="s">
        <v>857</v>
      </c>
      <c r="C1123">
        <v>64</v>
      </c>
      <c r="D1123">
        <v>0</v>
      </c>
      <c r="E1123">
        <v>0</v>
      </c>
      <c r="F1123">
        <v>0</v>
      </c>
      <c r="G1123">
        <v>0</v>
      </c>
      <c r="H1123">
        <f>_xlfn.XLOOKUP(I1123,$B$2:$B$1096,$A$2:$A$1096,65535)</f>
        <v>65535</v>
      </c>
      <c r="I1123" s="1"/>
      <c r="J1123">
        <f t="shared" si="1925"/>
        <v>64</v>
      </c>
      <c r="K1123">
        <f t="shared" si="1926"/>
        <v>0</v>
      </c>
      <c r="L1123">
        <f t="shared" si="1927"/>
        <v>0</v>
      </c>
      <c r="M1123">
        <f t="shared" si="1928"/>
        <v>0</v>
      </c>
      <c r="N1123">
        <f t="shared" si="1929"/>
        <v>0</v>
      </c>
      <c r="P1123" t="str">
        <f t="shared" si="1924"/>
        <v>0, 0, 0, 0</v>
      </c>
    </row>
    <row r="1124" spans="1:16" ht="16" customHeight="1" x14ac:dyDescent="0.2">
      <c r="A1124">
        <f t="shared" si="1897"/>
        <v>1122</v>
      </c>
      <c r="B1124" s="1" t="s">
        <v>858</v>
      </c>
      <c r="C1124">
        <v>65</v>
      </c>
      <c r="D1124">
        <v>0</v>
      </c>
      <c r="E1124">
        <v>0</v>
      </c>
      <c r="F1124">
        <v>0</v>
      </c>
      <c r="G1124">
        <v>0</v>
      </c>
      <c r="H1124">
        <f>_xlfn.XLOOKUP(I1124,$B$2:$B$1096,$A$2:$A$1096,65535)</f>
        <v>65535</v>
      </c>
      <c r="I1124" s="1"/>
      <c r="J1124">
        <f t="shared" si="1925"/>
        <v>65</v>
      </c>
      <c r="K1124">
        <f t="shared" si="1926"/>
        <v>0</v>
      </c>
      <c r="L1124">
        <f t="shared" si="1927"/>
        <v>0</v>
      </c>
      <c r="M1124">
        <f t="shared" si="1928"/>
        <v>0</v>
      </c>
      <c r="N1124">
        <f t="shared" si="1929"/>
        <v>0</v>
      </c>
      <c r="P1124" t="str">
        <f t="shared" si="1924"/>
        <v>0, 0, 0, 0</v>
      </c>
    </row>
    <row r="1125" spans="1:16" ht="16" customHeight="1" x14ac:dyDescent="0.2">
      <c r="A1125">
        <f t="shared" si="1897"/>
        <v>1123</v>
      </c>
      <c r="B1125" s="1" t="s">
        <v>859</v>
      </c>
      <c r="C1125">
        <v>66</v>
      </c>
      <c r="D1125">
        <v>0</v>
      </c>
      <c r="E1125">
        <v>0</v>
      </c>
      <c r="F1125">
        <v>0</v>
      </c>
      <c r="G1125">
        <v>0</v>
      </c>
      <c r="H1125">
        <f>_xlfn.XLOOKUP(I1125,$B$2:$B$1096,$A$2:$A$1096,65535)</f>
        <v>65535</v>
      </c>
      <c r="I1125" s="1"/>
      <c r="J1125">
        <f t="shared" si="1925"/>
        <v>66</v>
      </c>
      <c r="K1125">
        <f t="shared" si="1926"/>
        <v>0</v>
      </c>
      <c r="L1125">
        <f t="shared" si="1927"/>
        <v>0</v>
      </c>
      <c r="M1125">
        <f t="shared" si="1928"/>
        <v>0</v>
      </c>
      <c r="N1125">
        <f t="shared" si="1929"/>
        <v>0</v>
      </c>
      <c r="P1125" t="str">
        <f t="shared" si="1924"/>
        <v>0, 0, 0, 0</v>
      </c>
    </row>
    <row r="1126" spans="1:16" ht="16" customHeight="1" x14ac:dyDescent="0.2">
      <c r="A1126">
        <f t="shared" si="1897"/>
        <v>1124</v>
      </c>
      <c r="B1126" s="1" t="s">
        <v>860</v>
      </c>
      <c r="C1126">
        <v>67</v>
      </c>
      <c r="D1126">
        <v>0</v>
      </c>
      <c r="E1126">
        <v>0</v>
      </c>
      <c r="F1126">
        <v>0</v>
      </c>
      <c r="G1126">
        <v>0</v>
      </c>
      <c r="H1126">
        <f>_xlfn.XLOOKUP(I1126,$B$2:$B$1096,$A$2:$A$1096,65535)</f>
        <v>65535</v>
      </c>
      <c r="I1126" s="1"/>
      <c r="J1126">
        <f t="shared" si="1925"/>
        <v>67</v>
      </c>
      <c r="K1126">
        <f t="shared" si="1926"/>
        <v>0</v>
      </c>
      <c r="L1126">
        <f t="shared" si="1927"/>
        <v>0</v>
      </c>
      <c r="M1126">
        <f t="shared" si="1928"/>
        <v>0</v>
      </c>
      <c r="N1126">
        <f t="shared" si="1929"/>
        <v>0</v>
      </c>
      <c r="P1126" t="str">
        <f t="shared" si="1924"/>
        <v>0, 0, 0, 0</v>
      </c>
    </row>
    <row r="1127" spans="1:16" ht="16" customHeight="1" x14ac:dyDescent="0.2">
      <c r="A1127">
        <f t="shared" si="1897"/>
        <v>1125</v>
      </c>
      <c r="B1127" s="1" t="s">
        <v>865</v>
      </c>
      <c r="C1127">
        <v>68</v>
      </c>
      <c r="D1127">
        <v>0</v>
      </c>
      <c r="E1127">
        <v>0</v>
      </c>
      <c r="F1127">
        <v>0</v>
      </c>
      <c r="G1127">
        <v>0</v>
      </c>
      <c r="H1127">
        <f>_xlfn.XLOOKUP(I1127,$B$2:$B$1096,$A$2:$A$1096,65535)</f>
        <v>65535</v>
      </c>
      <c r="I1127" s="1"/>
      <c r="J1127">
        <f t="shared" si="1925"/>
        <v>68</v>
      </c>
      <c r="K1127">
        <f t="shared" si="1926"/>
        <v>0</v>
      </c>
      <c r="L1127">
        <f t="shared" si="1927"/>
        <v>0</v>
      </c>
      <c r="M1127">
        <f t="shared" si="1928"/>
        <v>0</v>
      </c>
      <c r="N1127">
        <f t="shared" si="1929"/>
        <v>0</v>
      </c>
      <c r="P1127" t="str">
        <f t="shared" si="1924"/>
        <v>0, 0, 0, 0</v>
      </c>
    </row>
    <row r="1128" spans="1:16" ht="16" customHeight="1" x14ac:dyDescent="0.2">
      <c r="A1128">
        <f t="shared" si="1897"/>
        <v>1126</v>
      </c>
      <c r="B1128" s="1" t="s">
        <v>866</v>
      </c>
      <c r="C1128">
        <v>69</v>
      </c>
      <c r="D1128">
        <v>0</v>
      </c>
      <c r="E1128">
        <v>0</v>
      </c>
      <c r="F1128">
        <v>0</v>
      </c>
      <c r="G1128">
        <v>0</v>
      </c>
      <c r="H1128">
        <f>_xlfn.XLOOKUP(I1128,$B$2:$B$1096,$A$2:$A$1096,65535)</f>
        <v>65535</v>
      </c>
      <c r="I1128" s="1"/>
      <c r="J1128">
        <f t="shared" si="1925"/>
        <v>69</v>
      </c>
      <c r="K1128">
        <f t="shared" si="1926"/>
        <v>0</v>
      </c>
      <c r="L1128">
        <f t="shared" si="1927"/>
        <v>0</v>
      </c>
      <c r="M1128">
        <f t="shared" si="1928"/>
        <v>0</v>
      </c>
      <c r="N1128">
        <f t="shared" si="1929"/>
        <v>0</v>
      </c>
      <c r="P1128" t="str">
        <f t="shared" si="1924"/>
        <v>0, 0, 0, 0</v>
      </c>
    </row>
    <row r="1129" spans="1:16" ht="16" customHeight="1" x14ac:dyDescent="0.2">
      <c r="A1129">
        <f t="shared" si="1897"/>
        <v>1127</v>
      </c>
      <c r="B1129" s="1" t="s">
        <v>867</v>
      </c>
      <c r="C1129">
        <v>70</v>
      </c>
      <c r="D1129">
        <v>0</v>
      </c>
      <c r="E1129">
        <v>0</v>
      </c>
      <c r="F1129">
        <v>0</v>
      </c>
      <c r="G1129">
        <v>0</v>
      </c>
      <c r="H1129">
        <f>_xlfn.XLOOKUP(I1129,$B$2:$B$1096,$A$2:$A$1096,65535)</f>
        <v>65535</v>
      </c>
      <c r="I1129" s="1"/>
      <c r="J1129">
        <f t="shared" si="1925"/>
        <v>70</v>
      </c>
      <c r="K1129">
        <f t="shared" si="1926"/>
        <v>0</v>
      </c>
      <c r="L1129">
        <f t="shared" si="1927"/>
        <v>0</v>
      </c>
      <c r="M1129">
        <f t="shared" si="1928"/>
        <v>0</v>
      </c>
      <c r="N1129">
        <f t="shared" si="1929"/>
        <v>0</v>
      </c>
      <c r="P1129" t="str">
        <f t="shared" si="1924"/>
        <v>0, 0, 0, 0</v>
      </c>
    </row>
    <row r="1130" spans="1:16" ht="16" customHeight="1" x14ac:dyDescent="0.2">
      <c r="A1130">
        <f t="shared" si="1897"/>
        <v>1128</v>
      </c>
      <c r="B1130" s="1" t="s">
        <v>868</v>
      </c>
      <c r="C1130">
        <v>71</v>
      </c>
      <c r="D1130">
        <v>0</v>
      </c>
      <c r="E1130">
        <v>0</v>
      </c>
      <c r="F1130">
        <v>0</v>
      </c>
      <c r="G1130">
        <v>0</v>
      </c>
      <c r="H1130">
        <f>_xlfn.XLOOKUP(I1130,$B$2:$B$1096,$A$2:$A$1096,65535)</f>
        <v>65535</v>
      </c>
      <c r="I1130" s="1"/>
      <c r="J1130">
        <f t="shared" si="1925"/>
        <v>71</v>
      </c>
      <c r="K1130">
        <f t="shared" si="1926"/>
        <v>0</v>
      </c>
      <c r="L1130">
        <f t="shared" si="1927"/>
        <v>0</v>
      </c>
      <c r="M1130">
        <f t="shared" si="1928"/>
        <v>0</v>
      </c>
      <c r="N1130">
        <f t="shared" si="1929"/>
        <v>0</v>
      </c>
      <c r="P1130" t="str">
        <f t="shared" si="1924"/>
        <v>0, 0, 0, 0</v>
      </c>
    </row>
    <row r="1131" spans="1:16" ht="16" customHeight="1" x14ac:dyDescent="0.2">
      <c r="A1131">
        <f t="shared" si="1897"/>
        <v>1129</v>
      </c>
      <c r="B1131" s="1" t="s">
        <v>891</v>
      </c>
      <c r="C1131">
        <v>72</v>
      </c>
      <c r="D1131">
        <v>0</v>
      </c>
      <c r="E1131">
        <v>0</v>
      </c>
      <c r="F1131">
        <v>0</v>
      </c>
      <c r="G1131">
        <v>0</v>
      </c>
      <c r="H1131">
        <f>_xlfn.XLOOKUP(I1131,$B$2:$B$1096,$A$2:$A$1096,65535)</f>
        <v>65535</v>
      </c>
      <c r="I1131" s="1"/>
      <c r="J1131">
        <f t="shared" si="1925"/>
        <v>72</v>
      </c>
      <c r="K1131">
        <f t="shared" si="1926"/>
        <v>0</v>
      </c>
      <c r="L1131">
        <f t="shared" si="1927"/>
        <v>0</v>
      </c>
      <c r="M1131">
        <f t="shared" si="1928"/>
        <v>0</v>
      </c>
      <c r="N1131">
        <f t="shared" si="1929"/>
        <v>0</v>
      </c>
      <c r="P1131" t="str">
        <f t="shared" si="1924"/>
        <v>0, 0, 0, 0</v>
      </c>
    </row>
    <row r="1132" spans="1:16" ht="16" customHeight="1" x14ac:dyDescent="0.2">
      <c r="A1132">
        <f t="shared" si="1897"/>
        <v>1130</v>
      </c>
      <c r="B1132" s="1" t="s">
        <v>892</v>
      </c>
      <c r="C1132">
        <v>73</v>
      </c>
      <c r="D1132">
        <v>0</v>
      </c>
      <c r="E1132">
        <v>0</v>
      </c>
      <c r="F1132">
        <v>0</v>
      </c>
      <c r="G1132">
        <v>0</v>
      </c>
      <c r="H1132">
        <f>_xlfn.XLOOKUP(I1132,$B$2:$B$1096,$A$2:$A$1096,65535)</f>
        <v>65535</v>
      </c>
      <c r="I1132" s="1"/>
      <c r="J1132">
        <f t="shared" si="1925"/>
        <v>73</v>
      </c>
      <c r="K1132">
        <f t="shared" si="1926"/>
        <v>0</v>
      </c>
      <c r="L1132">
        <f t="shared" si="1927"/>
        <v>0</v>
      </c>
      <c r="M1132">
        <f t="shared" si="1928"/>
        <v>0</v>
      </c>
      <c r="N1132">
        <f t="shared" si="1929"/>
        <v>0</v>
      </c>
      <c r="P1132" t="str">
        <f t="shared" si="1924"/>
        <v>0, 0, 0, 0</v>
      </c>
    </row>
    <row r="1133" spans="1:16" ht="16" customHeight="1" x14ac:dyDescent="0.2">
      <c r="A1133">
        <f t="shared" si="1897"/>
        <v>1131</v>
      </c>
      <c r="B1133" s="1" t="s">
        <v>893</v>
      </c>
      <c r="C1133">
        <v>74</v>
      </c>
      <c r="D1133">
        <v>0</v>
      </c>
      <c r="E1133">
        <v>0</v>
      </c>
      <c r="F1133">
        <v>0</v>
      </c>
      <c r="G1133">
        <v>0</v>
      </c>
      <c r="H1133">
        <f>_xlfn.XLOOKUP(I1133,$B$2:$B$1096,$A$2:$A$1096,65535)</f>
        <v>65535</v>
      </c>
      <c r="I1133" s="1"/>
      <c r="J1133">
        <f t="shared" si="1925"/>
        <v>74</v>
      </c>
      <c r="K1133">
        <f t="shared" si="1926"/>
        <v>0</v>
      </c>
      <c r="L1133">
        <f t="shared" si="1927"/>
        <v>0</v>
      </c>
      <c r="M1133">
        <f t="shared" si="1928"/>
        <v>0</v>
      </c>
      <c r="N1133">
        <f t="shared" si="1929"/>
        <v>0</v>
      </c>
      <c r="P1133" t="str">
        <f t="shared" si="1924"/>
        <v>0, 0, 0, 0</v>
      </c>
    </row>
    <row r="1134" spans="1:16" ht="16" customHeight="1" x14ac:dyDescent="0.2">
      <c r="A1134">
        <f t="shared" si="1897"/>
        <v>1132</v>
      </c>
      <c r="B1134" s="1" t="s">
        <v>894</v>
      </c>
      <c r="C1134">
        <v>75</v>
      </c>
      <c r="D1134">
        <v>0</v>
      </c>
      <c r="E1134">
        <v>0</v>
      </c>
      <c r="F1134">
        <v>0</v>
      </c>
      <c r="G1134">
        <v>0</v>
      </c>
      <c r="H1134">
        <f>_xlfn.XLOOKUP(I1134,$B$2:$B$1096,$A$2:$A$1096,65535)</f>
        <v>65535</v>
      </c>
      <c r="I1134" s="1"/>
      <c r="J1134">
        <f t="shared" si="1925"/>
        <v>75</v>
      </c>
      <c r="K1134">
        <f t="shared" si="1926"/>
        <v>0</v>
      </c>
      <c r="L1134">
        <f t="shared" si="1927"/>
        <v>0</v>
      </c>
      <c r="M1134">
        <f t="shared" si="1928"/>
        <v>0</v>
      </c>
      <c r="N1134">
        <f t="shared" si="1929"/>
        <v>0</v>
      </c>
      <c r="P1134" t="str">
        <f t="shared" si="1924"/>
        <v>0, 0, 0, 0</v>
      </c>
    </row>
    <row r="1135" spans="1:16" ht="16" customHeight="1" x14ac:dyDescent="0.2">
      <c r="A1135">
        <f t="shared" si="1897"/>
        <v>1133</v>
      </c>
      <c r="B1135" s="1" t="s">
        <v>895</v>
      </c>
      <c r="C1135">
        <v>76</v>
      </c>
      <c r="D1135">
        <v>0</v>
      </c>
      <c r="E1135">
        <v>0</v>
      </c>
      <c r="F1135">
        <v>0</v>
      </c>
      <c r="G1135">
        <v>0</v>
      </c>
      <c r="H1135">
        <f>_xlfn.XLOOKUP(I1135,$B$2:$B$1096,$A$2:$A$1096,65535)</f>
        <v>65535</v>
      </c>
      <c r="I1135" s="1"/>
      <c r="J1135">
        <f t="shared" si="1925"/>
        <v>76</v>
      </c>
      <c r="K1135">
        <f t="shared" si="1926"/>
        <v>0</v>
      </c>
      <c r="L1135">
        <f t="shared" si="1927"/>
        <v>0</v>
      </c>
      <c r="M1135">
        <f t="shared" si="1928"/>
        <v>0</v>
      </c>
      <c r="N1135">
        <f t="shared" si="1929"/>
        <v>0</v>
      </c>
      <c r="P1135" t="str">
        <f t="shared" si="1924"/>
        <v>0, 0, 0, 0</v>
      </c>
    </row>
    <row r="1136" spans="1:16" ht="16" customHeight="1" x14ac:dyDescent="0.2">
      <c r="A1136">
        <f t="shared" si="1897"/>
        <v>1134</v>
      </c>
      <c r="B1136" s="1" t="s">
        <v>861</v>
      </c>
      <c r="C1136">
        <v>48</v>
      </c>
      <c r="D1136">
        <v>0</v>
      </c>
      <c r="E1136">
        <v>0</v>
      </c>
      <c r="F1136">
        <v>0</v>
      </c>
      <c r="G1136">
        <v>0</v>
      </c>
      <c r="H1136">
        <f>_xlfn.XLOOKUP(I1136,$B$2:$B$1096,$A$2:$A$1096,65535)</f>
        <v>65535</v>
      </c>
      <c r="I1136" s="1"/>
      <c r="J1136">
        <f t="shared" si="1925"/>
        <v>48</v>
      </c>
      <c r="K1136">
        <f t="shared" si="1926"/>
        <v>0</v>
      </c>
      <c r="L1136">
        <f t="shared" si="1927"/>
        <v>0</v>
      </c>
      <c r="M1136">
        <f t="shared" si="1928"/>
        <v>0</v>
      </c>
      <c r="N1136">
        <f t="shared" si="1929"/>
        <v>0</v>
      </c>
      <c r="P1136" t="str">
        <f t="shared" si="1924"/>
        <v>0, 0, 0, 0</v>
      </c>
    </row>
    <row r="1137" spans="1:16" ht="16" customHeight="1" x14ac:dyDescent="0.2">
      <c r="A1137">
        <f t="shared" si="1897"/>
        <v>1135</v>
      </c>
      <c r="B1137" s="1" t="s">
        <v>862</v>
      </c>
      <c r="C1137">
        <v>49</v>
      </c>
      <c r="D1137">
        <v>0</v>
      </c>
      <c r="E1137">
        <v>0</v>
      </c>
      <c r="F1137">
        <v>0</v>
      </c>
      <c r="G1137">
        <v>0</v>
      </c>
      <c r="H1137">
        <f>_xlfn.XLOOKUP(I1137,$B$2:$B$1096,$A$2:$A$1096,65535)</f>
        <v>65535</v>
      </c>
      <c r="I1137" s="1"/>
      <c r="J1137">
        <f t="shared" si="1925"/>
        <v>49</v>
      </c>
      <c r="K1137">
        <f t="shared" si="1926"/>
        <v>0</v>
      </c>
      <c r="L1137">
        <f t="shared" si="1927"/>
        <v>0</v>
      </c>
      <c r="M1137">
        <f t="shared" si="1928"/>
        <v>0</v>
      </c>
      <c r="N1137">
        <f t="shared" si="1929"/>
        <v>0</v>
      </c>
      <c r="P1137" t="str">
        <f t="shared" si="1924"/>
        <v>0, 0, 0, 0</v>
      </c>
    </row>
    <row r="1138" spans="1:16" ht="16" customHeight="1" x14ac:dyDescent="0.2">
      <c r="A1138">
        <f t="shared" si="1897"/>
        <v>1136</v>
      </c>
      <c r="B1138" s="1" t="s">
        <v>863</v>
      </c>
      <c r="C1138">
        <v>50</v>
      </c>
      <c r="D1138">
        <v>0</v>
      </c>
      <c r="E1138">
        <v>0</v>
      </c>
      <c r="F1138">
        <v>0</v>
      </c>
      <c r="G1138">
        <v>0</v>
      </c>
      <c r="H1138">
        <f>_xlfn.XLOOKUP(I1138,$B$2:$B$1096,$A$2:$A$1096,65535)</f>
        <v>65535</v>
      </c>
      <c r="I1138" s="1"/>
      <c r="J1138">
        <f t="shared" si="1925"/>
        <v>50</v>
      </c>
      <c r="K1138">
        <f t="shared" si="1926"/>
        <v>0</v>
      </c>
      <c r="L1138">
        <f t="shared" si="1927"/>
        <v>0</v>
      </c>
      <c r="M1138">
        <f t="shared" si="1928"/>
        <v>0</v>
      </c>
      <c r="N1138">
        <f t="shared" si="1929"/>
        <v>0</v>
      </c>
      <c r="P1138" t="str">
        <f t="shared" si="1924"/>
        <v>0, 0, 0, 0</v>
      </c>
    </row>
    <row r="1139" spans="1:16" ht="16" customHeight="1" x14ac:dyDescent="0.2">
      <c r="A1139">
        <f t="shared" si="1897"/>
        <v>1137</v>
      </c>
      <c r="B1139" s="1" t="s">
        <v>864</v>
      </c>
      <c r="C1139">
        <v>51</v>
      </c>
      <c r="D1139">
        <v>0</v>
      </c>
      <c r="E1139">
        <v>0</v>
      </c>
      <c r="F1139">
        <v>0</v>
      </c>
      <c r="G1139">
        <v>0</v>
      </c>
      <c r="H1139">
        <f>_xlfn.XLOOKUP(I1139,$B$2:$B$1096,$A$2:$A$1096,65535)</f>
        <v>65535</v>
      </c>
      <c r="I1139" s="1"/>
      <c r="J1139">
        <f t="shared" si="1925"/>
        <v>51</v>
      </c>
      <c r="K1139">
        <f t="shared" si="1926"/>
        <v>0</v>
      </c>
      <c r="L1139">
        <f t="shared" si="1927"/>
        <v>0</v>
      </c>
      <c r="M1139">
        <f t="shared" si="1928"/>
        <v>0</v>
      </c>
      <c r="N1139">
        <f t="shared" si="1929"/>
        <v>0</v>
      </c>
      <c r="P1139" t="str">
        <f t="shared" si="1924"/>
        <v>0, 0, 0, 0</v>
      </c>
    </row>
    <row r="1140" spans="1:16" ht="16" customHeight="1" x14ac:dyDescent="0.2">
      <c r="A1140">
        <f t="shared" si="1897"/>
        <v>1138</v>
      </c>
      <c r="B1140" s="1" t="s">
        <v>869</v>
      </c>
      <c r="C1140">
        <v>52</v>
      </c>
      <c r="D1140">
        <v>0</v>
      </c>
      <c r="E1140">
        <v>0</v>
      </c>
      <c r="F1140">
        <v>0</v>
      </c>
      <c r="G1140">
        <v>0</v>
      </c>
      <c r="H1140">
        <f>_xlfn.XLOOKUP(I1140,$B$2:$B$1096,$A$2:$A$1096,65535)</f>
        <v>65535</v>
      </c>
      <c r="I1140" s="1"/>
      <c r="J1140">
        <f t="shared" si="1925"/>
        <v>52</v>
      </c>
      <c r="K1140">
        <f t="shared" si="1926"/>
        <v>0</v>
      </c>
      <c r="L1140">
        <f t="shared" si="1927"/>
        <v>0</v>
      </c>
      <c r="M1140">
        <f t="shared" si="1928"/>
        <v>0</v>
      </c>
      <c r="N1140">
        <f t="shared" si="1929"/>
        <v>0</v>
      </c>
      <c r="P1140" t="str">
        <f t="shared" si="1924"/>
        <v>0, 0, 0, 0</v>
      </c>
    </row>
    <row r="1141" spans="1:16" ht="16" customHeight="1" x14ac:dyDescent="0.2">
      <c r="A1141">
        <f t="shared" si="1897"/>
        <v>1139</v>
      </c>
      <c r="B1141" s="1" t="s">
        <v>870</v>
      </c>
      <c r="C1141">
        <v>53</v>
      </c>
      <c r="D1141">
        <v>0</v>
      </c>
      <c r="E1141">
        <v>0</v>
      </c>
      <c r="F1141">
        <v>0</v>
      </c>
      <c r="G1141">
        <v>0</v>
      </c>
      <c r="H1141">
        <f>_xlfn.XLOOKUP(I1141,$B$2:$B$1096,$A$2:$A$1096,65535)</f>
        <v>65535</v>
      </c>
      <c r="I1141" s="1"/>
      <c r="J1141">
        <f t="shared" si="1925"/>
        <v>53</v>
      </c>
      <c r="K1141">
        <f t="shared" si="1926"/>
        <v>0</v>
      </c>
      <c r="L1141">
        <f t="shared" si="1927"/>
        <v>0</v>
      </c>
      <c r="M1141">
        <f t="shared" si="1928"/>
        <v>0</v>
      </c>
      <c r="N1141">
        <f t="shared" si="1929"/>
        <v>0</v>
      </c>
      <c r="P1141" t="str">
        <f t="shared" si="1924"/>
        <v>0, 0, 0, 0</v>
      </c>
    </row>
    <row r="1142" spans="1:16" ht="16" customHeight="1" x14ac:dyDescent="0.2">
      <c r="A1142">
        <f t="shared" si="1897"/>
        <v>1140</v>
      </c>
      <c r="B1142" s="1" t="s">
        <v>871</v>
      </c>
      <c r="C1142">
        <v>54</v>
      </c>
      <c r="D1142">
        <v>0</v>
      </c>
      <c r="E1142">
        <v>0</v>
      </c>
      <c r="F1142">
        <v>0</v>
      </c>
      <c r="G1142">
        <v>0</v>
      </c>
      <c r="H1142">
        <f>_xlfn.XLOOKUP(I1142,$B$2:$B$1096,$A$2:$A$1096,65535)</f>
        <v>65535</v>
      </c>
      <c r="I1142" s="1"/>
      <c r="J1142">
        <f t="shared" si="1925"/>
        <v>54</v>
      </c>
      <c r="K1142">
        <f t="shared" si="1926"/>
        <v>0</v>
      </c>
      <c r="L1142">
        <f t="shared" si="1927"/>
        <v>0</v>
      </c>
      <c r="M1142">
        <f t="shared" si="1928"/>
        <v>0</v>
      </c>
      <c r="N1142">
        <f t="shared" si="1929"/>
        <v>0</v>
      </c>
      <c r="P1142" t="str">
        <f t="shared" si="1924"/>
        <v>0, 0, 0, 0</v>
      </c>
    </row>
    <row r="1143" spans="1:16" ht="16" customHeight="1" x14ac:dyDescent="0.2">
      <c r="A1143">
        <f t="shared" si="1897"/>
        <v>1141</v>
      </c>
      <c r="B1143" s="1" t="s">
        <v>872</v>
      </c>
      <c r="C1143">
        <v>55</v>
      </c>
      <c r="D1143">
        <v>0</v>
      </c>
      <c r="E1143">
        <v>0</v>
      </c>
      <c r="F1143">
        <v>0</v>
      </c>
      <c r="G1143">
        <v>0</v>
      </c>
      <c r="H1143">
        <f>_xlfn.XLOOKUP(I1143,$B$2:$B$1096,$A$2:$A$1096,65535)</f>
        <v>65535</v>
      </c>
      <c r="I1143" s="1"/>
      <c r="J1143">
        <f t="shared" si="1925"/>
        <v>55</v>
      </c>
      <c r="K1143">
        <f t="shared" si="1926"/>
        <v>0</v>
      </c>
      <c r="L1143">
        <f t="shared" si="1927"/>
        <v>0</v>
      </c>
      <c r="M1143">
        <f t="shared" si="1928"/>
        <v>0</v>
      </c>
      <c r="N1143">
        <f t="shared" si="1929"/>
        <v>0</v>
      </c>
      <c r="P1143" t="str">
        <f t="shared" si="1924"/>
        <v>0, 0, 0, 0</v>
      </c>
    </row>
    <row r="1144" spans="1:16" ht="16" customHeight="1" x14ac:dyDescent="0.2">
      <c r="A1144">
        <f t="shared" si="1897"/>
        <v>1142</v>
      </c>
      <c r="B1144" s="1" t="s">
        <v>896</v>
      </c>
      <c r="C1144">
        <v>56</v>
      </c>
      <c r="D1144">
        <v>0</v>
      </c>
      <c r="E1144">
        <v>0</v>
      </c>
      <c r="F1144">
        <v>0</v>
      </c>
      <c r="G1144">
        <v>0</v>
      </c>
      <c r="H1144">
        <f>_xlfn.XLOOKUP(I1144,$B$2:$B$1096,$A$2:$A$1096,65535)</f>
        <v>65535</v>
      </c>
      <c r="I1144" s="1"/>
      <c r="J1144">
        <f t="shared" si="1925"/>
        <v>56</v>
      </c>
      <c r="K1144">
        <f t="shared" si="1926"/>
        <v>0</v>
      </c>
      <c r="L1144">
        <f t="shared" si="1927"/>
        <v>0</v>
      </c>
      <c r="M1144">
        <f t="shared" si="1928"/>
        <v>0</v>
      </c>
      <c r="N1144">
        <f t="shared" si="1929"/>
        <v>0</v>
      </c>
      <c r="P1144" t="str">
        <f t="shared" si="1924"/>
        <v>0, 0, 0, 0</v>
      </c>
    </row>
    <row r="1145" spans="1:16" ht="16" customHeight="1" x14ac:dyDescent="0.2">
      <c r="A1145">
        <f t="shared" si="1897"/>
        <v>1143</v>
      </c>
      <c r="B1145" s="1" t="s">
        <v>897</v>
      </c>
      <c r="C1145">
        <v>57</v>
      </c>
      <c r="D1145">
        <v>0</v>
      </c>
      <c r="E1145">
        <v>0</v>
      </c>
      <c r="F1145">
        <v>0</v>
      </c>
      <c r="G1145">
        <v>0</v>
      </c>
      <c r="H1145">
        <f>_xlfn.XLOOKUP(I1145,$B$2:$B$1096,$A$2:$A$1096,65535)</f>
        <v>65535</v>
      </c>
      <c r="I1145" s="1"/>
      <c r="J1145">
        <f t="shared" si="1925"/>
        <v>57</v>
      </c>
      <c r="K1145">
        <f t="shared" si="1926"/>
        <v>0</v>
      </c>
      <c r="L1145">
        <f t="shared" si="1927"/>
        <v>0</v>
      </c>
      <c r="M1145">
        <f t="shared" si="1928"/>
        <v>0</v>
      </c>
      <c r="N1145">
        <f t="shared" si="1929"/>
        <v>0</v>
      </c>
      <c r="P1145" t="str">
        <f t="shared" si="1924"/>
        <v>0, 0, 0, 0</v>
      </c>
    </row>
    <row r="1146" spans="1:16" ht="16" customHeight="1" x14ac:dyDescent="0.2">
      <c r="A1146">
        <f t="shared" si="1897"/>
        <v>1144</v>
      </c>
      <c r="B1146" s="1" t="s">
        <v>898</v>
      </c>
      <c r="C1146">
        <v>58</v>
      </c>
      <c r="D1146">
        <v>0</v>
      </c>
      <c r="E1146">
        <v>0</v>
      </c>
      <c r="F1146">
        <v>0</v>
      </c>
      <c r="G1146">
        <v>0</v>
      </c>
      <c r="H1146">
        <f>_xlfn.XLOOKUP(I1146,$B$2:$B$1096,$A$2:$A$1096,65535)</f>
        <v>65535</v>
      </c>
      <c r="I1146" s="1"/>
      <c r="J1146">
        <f t="shared" si="1925"/>
        <v>58</v>
      </c>
      <c r="K1146">
        <f t="shared" si="1926"/>
        <v>0</v>
      </c>
      <c r="L1146">
        <f t="shared" si="1927"/>
        <v>0</v>
      </c>
      <c r="M1146">
        <f t="shared" si="1928"/>
        <v>0</v>
      </c>
      <c r="N1146">
        <f t="shared" si="1929"/>
        <v>0</v>
      </c>
      <c r="P1146" t="str">
        <f t="shared" si="1924"/>
        <v>0, 0, 0, 0</v>
      </c>
    </row>
    <row r="1147" spans="1:16" ht="16" customHeight="1" x14ac:dyDescent="0.2">
      <c r="A1147">
        <f t="shared" si="1897"/>
        <v>1145</v>
      </c>
      <c r="B1147" s="1" t="s">
        <v>899</v>
      </c>
      <c r="C1147">
        <v>59</v>
      </c>
      <c r="D1147">
        <v>0</v>
      </c>
      <c r="E1147">
        <v>0</v>
      </c>
      <c r="F1147">
        <v>0</v>
      </c>
      <c r="G1147">
        <v>0</v>
      </c>
      <c r="H1147">
        <f>_xlfn.XLOOKUP(I1147,$B$2:$B$1096,$A$2:$A$1096,65535)</f>
        <v>65535</v>
      </c>
      <c r="I1147" s="1"/>
      <c r="J1147">
        <f t="shared" si="1925"/>
        <v>59</v>
      </c>
      <c r="K1147">
        <f t="shared" si="1926"/>
        <v>0</v>
      </c>
      <c r="L1147">
        <f t="shared" si="1927"/>
        <v>0</v>
      </c>
      <c r="M1147">
        <f t="shared" si="1928"/>
        <v>0</v>
      </c>
      <c r="N1147">
        <f t="shared" si="1929"/>
        <v>0</v>
      </c>
      <c r="P1147" t="str">
        <f t="shared" si="1924"/>
        <v>0, 0, 0, 0</v>
      </c>
    </row>
    <row r="1148" spans="1:16" ht="16" customHeight="1" x14ac:dyDescent="0.2">
      <c r="A1148">
        <f t="shared" si="1897"/>
        <v>1146</v>
      </c>
      <c r="B1148" s="1" t="s">
        <v>900</v>
      </c>
      <c r="C1148">
        <v>60</v>
      </c>
      <c r="D1148">
        <v>0</v>
      </c>
      <c r="E1148">
        <v>0</v>
      </c>
      <c r="F1148">
        <v>0</v>
      </c>
      <c r="G1148">
        <v>0</v>
      </c>
      <c r="H1148">
        <f>_xlfn.XLOOKUP(I1148,$B$2:$B$1096,$A$2:$A$1096,65535)</f>
        <v>65535</v>
      </c>
      <c r="I1148" s="1"/>
      <c r="J1148">
        <f t="shared" si="1925"/>
        <v>60</v>
      </c>
      <c r="K1148">
        <f t="shared" si="1926"/>
        <v>0</v>
      </c>
      <c r="L1148">
        <f t="shared" si="1927"/>
        <v>0</v>
      </c>
      <c r="M1148">
        <f t="shared" si="1928"/>
        <v>0</v>
      </c>
      <c r="N1148">
        <f t="shared" si="1929"/>
        <v>0</v>
      </c>
      <c r="P1148" t="str">
        <f t="shared" si="1924"/>
        <v>0, 0, 0, 0</v>
      </c>
    </row>
    <row r="1149" spans="1:16" ht="16" customHeight="1" x14ac:dyDescent="0.2">
      <c r="A1149">
        <f t="shared" si="1897"/>
        <v>1147</v>
      </c>
      <c r="B1149" s="1" t="s">
        <v>1214</v>
      </c>
      <c r="C1149">
        <v>30</v>
      </c>
      <c r="D1149">
        <v>0</v>
      </c>
      <c r="E1149">
        <v>0</v>
      </c>
      <c r="F1149">
        <v>0</v>
      </c>
      <c r="G1149">
        <v>0</v>
      </c>
      <c r="H1149">
        <f>_xlfn.XLOOKUP(I1149,$B$2:$B$1096,$A$2:$A$1096,65535)</f>
        <v>65535</v>
      </c>
      <c r="I1149" s="1"/>
      <c r="J1149">
        <f t="shared" si="1925"/>
        <v>30</v>
      </c>
      <c r="K1149">
        <f t="shared" si="1926"/>
        <v>0</v>
      </c>
      <c r="L1149">
        <f t="shared" si="1927"/>
        <v>0</v>
      </c>
      <c r="M1149">
        <f t="shared" si="1928"/>
        <v>0</v>
      </c>
      <c r="N1149">
        <f t="shared" si="1929"/>
        <v>0</v>
      </c>
      <c r="P1149" t="str">
        <f t="shared" ref="P1149:P1152" si="1930">_xlfn.CONCAT(D1149,", ",E1149,", ",F1149,", ",G1149)</f>
        <v>0, 0, 0, 0</v>
      </c>
    </row>
    <row r="1150" spans="1:16" ht="16" customHeight="1" x14ac:dyDescent="0.2">
      <c r="A1150">
        <f t="shared" si="1897"/>
        <v>1148</v>
      </c>
      <c r="B1150" s="1" t="s">
        <v>1215</v>
      </c>
      <c r="C1150">
        <v>31</v>
      </c>
      <c r="D1150">
        <v>0</v>
      </c>
      <c r="E1150">
        <v>0</v>
      </c>
      <c r="F1150">
        <v>0</v>
      </c>
      <c r="G1150">
        <v>0</v>
      </c>
      <c r="H1150">
        <f>_xlfn.XLOOKUP(I1150,$B$2:$B$1096,$A$2:$A$1096,65535)</f>
        <v>65535</v>
      </c>
      <c r="I1150" s="1"/>
      <c r="J1150">
        <f t="shared" si="1925"/>
        <v>31</v>
      </c>
      <c r="K1150">
        <f t="shared" si="1926"/>
        <v>0</v>
      </c>
      <c r="L1150">
        <f t="shared" si="1927"/>
        <v>0</v>
      </c>
      <c r="M1150">
        <f t="shared" si="1928"/>
        <v>0</v>
      </c>
      <c r="N1150">
        <f t="shared" si="1929"/>
        <v>0</v>
      </c>
      <c r="P1150" t="str">
        <f t="shared" si="1930"/>
        <v>0, 0, 0, 0</v>
      </c>
    </row>
    <row r="1151" spans="1:16" ht="16" customHeight="1" x14ac:dyDescent="0.2">
      <c r="A1151">
        <f t="shared" si="1897"/>
        <v>1149</v>
      </c>
      <c r="B1151" s="1" t="s">
        <v>1216</v>
      </c>
      <c r="C1151">
        <v>46</v>
      </c>
      <c r="D1151">
        <v>0</v>
      </c>
      <c r="E1151">
        <v>0</v>
      </c>
      <c r="F1151">
        <v>0</v>
      </c>
      <c r="G1151">
        <v>0</v>
      </c>
      <c r="H1151">
        <f>_xlfn.XLOOKUP(I1151,$B$2:$B$1096,$A$2:$A$1096,65535)</f>
        <v>65535</v>
      </c>
      <c r="I1151" s="1"/>
      <c r="J1151">
        <f t="shared" si="1925"/>
        <v>46</v>
      </c>
      <c r="K1151">
        <f t="shared" si="1926"/>
        <v>0</v>
      </c>
      <c r="L1151">
        <f t="shared" si="1927"/>
        <v>0</v>
      </c>
      <c r="M1151">
        <f t="shared" si="1928"/>
        <v>0</v>
      </c>
      <c r="N1151">
        <f t="shared" si="1929"/>
        <v>0</v>
      </c>
      <c r="P1151" t="str">
        <f t="shared" si="1930"/>
        <v>0, 0, 0, 0</v>
      </c>
    </row>
    <row r="1152" spans="1:16" ht="16" customHeight="1" x14ac:dyDescent="0.2">
      <c r="A1152">
        <f t="shared" si="1897"/>
        <v>1150</v>
      </c>
      <c r="B1152" s="1" t="s">
        <v>1217</v>
      </c>
      <c r="C1152">
        <v>47</v>
      </c>
      <c r="D1152">
        <v>0</v>
      </c>
      <c r="E1152">
        <v>0</v>
      </c>
      <c r="F1152">
        <v>0</v>
      </c>
      <c r="G1152">
        <v>0</v>
      </c>
      <c r="H1152">
        <f>_xlfn.XLOOKUP(I1152,$B$2:$B$1096,$A$2:$A$1096,65535)</f>
        <v>65535</v>
      </c>
      <c r="I1152" s="1"/>
      <c r="J1152">
        <f t="shared" si="1925"/>
        <v>47</v>
      </c>
      <c r="K1152">
        <f t="shared" si="1926"/>
        <v>0</v>
      </c>
      <c r="L1152">
        <f t="shared" si="1927"/>
        <v>0</v>
      </c>
      <c r="M1152">
        <f t="shared" si="1928"/>
        <v>0</v>
      </c>
      <c r="N1152">
        <f t="shared" si="1929"/>
        <v>0</v>
      </c>
      <c r="P1152" t="str">
        <f t="shared" si="1930"/>
        <v>0, 0, 0, 0</v>
      </c>
    </row>
    <row r="1153" spans="1:16" ht="39" customHeight="1" x14ac:dyDescent="0.2">
      <c r="A1153">
        <f t="shared" si="1897"/>
        <v>1151</v>
      </c>
      <c r="B1153" s="1" t="s">
        <v>627</v>
      </c>
      <c r="C1153">
        <v>7</v>
      </c>
      <c r="D1153">
        <v>15</v>
      </c>
      <c r="E1153">
        <v>0</v>
      </c>
      <c r="F1153">
        <v>0</v>
      </c>
      <c r="G1153">
        <v>0</v>
      </c>
      <c r="H1153">
        <f>_xlfn.XLOOKUP(I1153,$B$2:$B$982,$A$2:$A$982,65535)</f>
        <v>65535</v>
      </c>
      <c r="J1153">
        <f>C1153-C1184</f>
        <v>7</v>
      </c>
      <c r="K1153">
        <f>D1153-D1184</f>
        <v>15</v>
      </c>
      <c r="L1153">
        <f>E1153+E1184</f>
        <v>0</v>
      </c>
      <c r="M1153">
        <f>F1153+F1184</f>
        <v>0</v>
      </c>
      <c r="N1153">
        <f>G1153+G1184</f>
        <v>0</v>
      </c>
      <c r="P1153" t="str">
        <f t="shared" si="1924"/>
        <v>15, 0, 0, 0</v>
      </c>
    </row>
    <row r="1155" spans="1:16" x14ac:dyDescent="0.2">
      <c r="C1155" t="str">
        <f>_xlfn.CONCAT("uint8_t StanceImgIdx[] = {",_xlfn.TEXTJOIN(", ",FALSE,C$2:C1153),"};")</f>
        <v>uint8_t StanceImgIdx[] = {0, 1, 2, 3, 3, 0, 0, 0, 0, 1, 0, 3, 0, 0, 0, 0, 255, 5, 6, 5, 6, 0, 17, 19, 17, 19, 17, 4, 5, 6, 5, 17, 19, 17, 19, 5, 6, 5, 4, 17, 19, 17, 19, 17, 0, 6, 5, 6, 5, 19, 17, 19, 17, 13, 14, 13, 14, 0, 17, 19, 17, 19, 17, 12, 13, 14, 13, 17, 19, 17, 19, 13, 14, 13, 12, 17, 19, 17, 19, 17, 0, 14, 13, 14, 13, 19, 17, 19, 17, 16, 16, 0, 0, 2, 0, 0, 0, 2, 0, 0, 0, 0, 0, 0, 0, 0, 0, 0, 0, 0, 0, 0, 0, 0, 0, 0, 0, 0, 0, 0, 0, 0, 0, 1, 2, 1, 7, 5, 4, 5, 6, 5, 4, 5, 6, 5, 4, 5, 6, 5, 4, 5, 6, 5, 4, 5, 6, 5, 4, 5, 6, 5, 4, 5, 6, 5, 4, 5, 6, 5, 5, 4, 5, 5, 5, 5, 5, 5, 5, 5, 7, 5, 5, 5, 7, 5, 4, 5, 5, 5, 5, 6, 5, 5, 7, 5, 4, 4, 4, 4, 5, 5, 4, 4, 4, 4, 4, 5, 4, 4, 4, 4, 4, 4, 6, 5, 4, 4, 4, 4, 4, 4, 6, 5, 4, 4, 4, 4, 4, 4, 4, 4, 4, 6, 5, 4, 4, 4, 4, 4, 4, 4, 4, 4, 6, 5, 4, 4, 4, 4, 4, 4, 4, 4, 5, 6, 4, 4, 4, 4, 4, 4, 4, 4, 4, 4, 6, 5, 4, 4, 4, 6, 5, 0, 32, 33, 34, 32, 33, 34, 32, 33, 34, 34, 33, 0, 4, 4, 34, 34, 34, 34, 34, 0, 0, 0, 0, 34, 34, 34, 34, 34, 34, 34, 0, 0, 0, 0, 0, 0, 0, 34, 34, 34, 34, 34, 34, 34, 4, 4, 34, 34, 34, 34, 34, 0, 0, 0, 0, 34, 34, 34, 34, 34, 34, 34, 0, 0, 0, 0, 0, 0, 0, 34, 34, 34, 34, 34, 34, 34, 34, 34, 5, 4, 5, 6, 5, 36, 36, 36, 36, 5, 5, 5, 4, 5, 6, 5, 36, 36, 36, 36, 36, 36, 36, 5, 5, 4, 5, 6, 5, 36, 36, 36, 36, 36, 36, 36, 36, 36, 36, 36, 36, 36, 36, 36, 36, 5, 4, 5, 6, 5, 36, 36, 36, 36, 36, 36, 36, 5, 37, 38, 39, 38, 37, 38, 39, 38, 37, 38, 39, 40, 41, 42, 41, 40, 41, 42, 41, 40, 41, 42, 4, 4, 4, 4, 4, 5, 4, 5, 4, 5, 4, 5, 5, 4, 4, 52, 52, 52, 52, 52, 52, 52, 52, 52, 52, 52, 52, 52, 4, 4, 6, 7, 5, 5, 4, 4, 4, 4, 4, 6, 5, 5, 4, 4, 4, 4, 4, 6, 19, 120, 121, 122, 123, 122, 121, 120, 121, 120, 121, 120, 121, 120, 121, 120, 121, 120, 120, 120, 120, 121, 120, 64, 65, 66, 67, 68, 69, 70, 71, 72, 73, 74, 75, 5, 5, 100, 101, 102, 103, 96, 97, 98, 99, 20, 21, 22, 23, 112, 113, 114, 115, 20, 21, 22, 23, 128, 129, 130, 131, 132, 133, 134, 128, 129, 130, 131, 132, 133, 134, 8, 9, 10, 11, 9, 8, 8, 8, 8, 11, 8, 9, 8, 8, 8, 8, 8, 13, 12, 13, 14, 13, 12, 13, 14, 13, 12, 13, 14, 13, 12, 13, 14, 13, 12, 13, 14, 13, 12, 13, 14, 13, 12, 13, 14, 13, 12, 13, 14, 13, 13, 12, 13, 13, 13, 13, 13, 13, 13, 13, 15, 13, 13, 13, 15, 13, 13, 13, 13, 13, 13, 14, 13, 13, 15, 13, 12, 12, 12, 12, 13, 13, 12, 12, 12, 12, 12, 13, 12, 12, 12, 12, 12, 12, 14, 13, 12, 12, 12, 12, 12, 12, 14, 13, 12, 12, 12, 12, 12, 12, 12, 12, 12, 14, 13, 12, 12, 12, 12, 12, 12, 12, 12, 12, 14, 13, 12, 12, 12, 12, 12, 12, 12, 12, 13, 14, 12, 12, 12, 12, 12, 12, 12, 12, 12, 12, 14, 13, 12, 12, 12, 14, 13, 0, 33, 32, 34, 33, 32, 34, 33, 32, 34, 34, 32, 0, 12, 12, 34, 34, 34, 34, 34, 0, 0, 0, 0, 34, 34, 34, 34, 34, 34, 34, 0, 0, 0, 0, 0, 0, 0, 34, 34, 34, 34, 34, 34, 34, 12, 12, 34, 34, 34, 34, 34, 0, 0, 0, 0, 34, 34, 34, 34, 34, 34, 34, 0, 0, 0, 0, 0, 0, 0, 34, 34, 34, 34, 34, 34, 34, 34, 34, 13, 12, 13, 14, 13, 44, 44, 44, 44, 13, 13, 13, 12, 13, 14, 13, 44, 44, 44, 44, 44, 44, 44, 13, 13, 12, 13, 14, 13, 44, 44, 44, 44, 44, 44, 44, 44, 44, 44, 44, 44, 44, 44, 44, 44, 13, 12, 13, 14, 13, 44, 44, 44, 44, 44, 44, 44, 13, 45, 46, 47, 46, 45, 46, 47, 46, 45, 46, 47, 48, 49, 50, 49, 48, 49, 50, 49, 48, 49, 50, 12, 12, 12, 12, 12, 13, 12, 13, 12, 13, 12, 13, 13, 12, 12, 60, 60, 60, 60, 60, 60, 60, 60, 60, 60, 60, 60, 60, 12, 12, 14, 15, 13, 13, 12, 12, 12, 12, 12, 14, 13, 13, 12, 12, 12, 12, 12, 14, 19, 124, 125, 126, 127, 126, 125, 124, 125, 124, 125, 124, 125, 124, 125, 124, 125, 124, 124, 124, 124, 125, 124, 76, 77, 78, 79, 80, 81, 82, 83, 84, 85, 86, 87, 13, 13, 108, 109, 110, 111, 104, 105, 106, 107, 28, 29, 30, 31, 116, 117, 118, 119, 28, 29, 30, 31, 135, 136, 137, 138, 139, 140, 141, 135, 136, 137, 138, 139, 140, 141, 4, 5, 5, 5, 5, 5, 5, 6, 7, 0, 1, 2, 3, 16, 17, 18, 19, 16, 20, 20, 21, 22, 22, 22, 20, 20, 20, 20, 20, 16, 1, 0, 0, 0, 0, 1, 1, 1, 1, 1, 1, 1, 1, 1, 4, 5, 6, 7, 6, 5, 4, 5, 4, 5, 4, 5, 4, 5, 4, 5, 4, 4, 4, 4, 5, 4, 8, 9, 10, 11, 24, 25, 26, 27, 23, 27, 27, 28, 29, 29, 29, 27, 27, 27, 27, 27, 23, 9, 8, 8, 8, 8, 9, 9, 9, 9, 9, 9, 9, 9, 9, 12, 13, 14, 15, 14, 13, 12, 13, 12, 13, 12, 13, 12, 13, 12, 13, 12, 12, 12, 12, 13, 12, 80, 81, 82, 83, 84, 85, 86, 87, 88, 89, 90, 91, 92, 32, 33, 34, 35, 36, 37, 38, 39, 40, 41, 42, 43, 44, 64, 65, 66, 67, 68, 69, 70, 71, 72, 73, 74, 75, 76, 48, 49, 50, 51, 52, 53, 54, 55, 56, 57, 58, 59, 60, 30, 31, 46, 47, 7};</v>
      </c>
    </row>
    <row r="1156" spans="1:16" x14ac:dyDescent="0.2">
      <c r="C1156" t="str">
        <f>_xlfn.CONCAT("uint16_t SubsititueStance[] = {",_xlfn.TEXTJOIN(", ",FALSE,H$2:H1153),"};")</f>
        <v>uint16_t SubsititueStance[] = {65535,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129, 65535, 129, 65535, 65535, 65535, 65535, 65535, 65535, 65535, 65535, 65535, 65535, 65535, 65535, 65535, 65535, 65535, 65535, 65535, 65535, 65535, 65535, 65535, 65535, 65535, 129, 65535, 65535, 65535, 65535, 65535, 129,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129, 65535, 65535, 65535, 65535, 65535, 65535, 65535, 65535, 65535, 65535, 65535, 65535, 129, 65535, 65535, 65535, 65535, 65535, 65535, 65535, 65535, 65535, 65535, 65535, 65535, 65535, 65535, 65535, 65535, 65535, 65535, 65535, 65535, 65535, 65535, 65535, 65535, 65535, 65535, 65535, 65535, 65535, 65535, 65535, 269, 65535, 65535, 65535, 65535, 65535, 65535, 65535, 65535, 65535, 65535, 65535, 65535, 65535, 65535, 65535, 65535, 65535, 65535, 65535, 65535, 65535, 65535, 65535, 65535, 65535, 65535, 65535, 65535, 65535, 65535, 65535, 65535, 65535, 269,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129, 65535, 65535, 65535, 65535, 65535, 65535, 65535, 65535, 65535, 65535, 129,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59,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541, 65535, 65535, 65535, 65535, 65535, 65535, 65535, 65535, 65535, 65535, 65535, 65535, 65535, 65535, 65535, 65535, 65535, 65535, 65535, 65535, 65535, 65535, 65535, 65535, 65535, 65535, 65535, 65535, 65535, 65535, 65535, 65535, 65535, 65535, 65535, 65535, 65535, 65535, 560, 65535, 560, 65535, 65535, 65535, 65535, 65535, 65535, 65535, 65535, 65535, 65535, 65535, 65535, 65535, 65535, 65535, 65535, 65535, 65535, 65535, 65535, 65535, 65535, 65535, 560, 65535, 65535, 65535, 65535, 65535, 560,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560, 65535, 65535, 65535, 65535, 65535, 65535, 65535, 65535, 65535, 65535, 65535, 65535, 560, 65535, 65535, 65535, 65535, 65535, 65535, 65535, 65535, 65535, 65535, 65535, 65535, 65535, 65535, 65535, 65535, 65535, 65535, 65535, 65535, 65535, 65535, 65535, 65535, 65535, 65535, 65535, 65535, 65535, 65535, 65535, 700, 65535, 65535, 65535, 65535, 65535, 65535, 65535, 65535, 65535, 65535, 65535, 65535, 65535, 65535, 65535, 65535, 65535, 65535, 65535, 65535, 65535, 65535, 65535, 65535, 65535, 65535, 65535, 65535, 65535, 65535, 65535, 65535, 65535, 700,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560, 65535, 65535, 65535, 65535, 65535, 65535, 65535, 65535, 65535, 65535, 560,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59,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1016, 65535, 1016, 65535, 65535, 65535, 1016, 65535, 65535, 65535, 65535, 65535, 65535, 65535, 65535, 1016,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1073, 65535, 1073, 65535, 65535, 65535, 1073, 65535, 65535, 65535, 65535, 65535, 65535, 65535, 65535, 1073,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65535, 65535};</v>
      </c>
    </row>
    <row r="1157" spans="1:16" x14ac:dyDescent="0.2">
      <c r="C1157" t="str">
        <f>_xlfn.CONCAT("int8_t StanceDetails = {",_xlfn.TEXTJOIN(" , ",FALSE,P$2:P1153),"};")</f>
        <v>int8_t StanceDetails = {0, 0, 0, 0 , 0, 0, 0, 0 , 0, 0, 0, 0 , 0, 0, 0, 0 , 0, 0, 0, 0 , 4, 0, 0, 0 , 3, 0, 0, 0 , 2, 0, 0, 0 , -2, 0, 0, 0 , -3, 0, 0, 0 , -4, 0, 0, 0 , 0, 0, 0, 0 , 4, 0, 0, 0 , 3, 0, 0, 0 , 2, 0, 0, 0 , -1, 0, 0, 0 , 255, 0, 0, 0 , 0, -5, -2, -1 , 0, -5, -2, -1 , 0, 0, 0, 0 , 2, 0, 0, 0 , 2, 0, 0, 0 , 2, 0, 0, 0 , 2, 0, 0, 0 , 2, 0, 0, 0 , 2, 0, 0, 0 , 2, 0, 0, 0 , 2, 0, 0, 0 , 0, -5, -2, -1 , 0, -5, -2, -1 , 0, -5, 0, -1 , 2, 0, 0, 0 , 2, 0, 0, 0 , 2, 0, 0, 0 , 2, 0, 0, 0 , 0, -5, -2, -1 , 0, -5, -2, -1 , 0, 0, 0, 0 , -2, 0, 0, 0 , -2, 0, 0, 0 , -2, 0, 0, 0 , -2, 0, 0, 0 , -2, 0, 0, 0 , -2, 0, 0, 0 , -2, 0, 0, 0 , -2, 0, 0, 0 , 0, 0, 0, 0 , 0, -5, -2, -1 , 0, -5, -2, -1 , -2, 0, 0, 0 , -2, 0, 0, 0 , -2, 0, 0, 0 , -2, 0, 0, 0 , 0, 5, 2, 1 , 0, 5, 2, 1 , 0, 0, 0, 0 , 2, 0, 0, 0 , 2, 0, 0, 0 , 2, 0, 0, 0 , 2, 0, 0, 0 , 2, 0, 0, 0 , 2, 0, 0, 0 , 2, 0, 0, 0 , 2, 0, 0, 0 , 0, 5, 2, 1 , 0, 5, 2, 1 , 0, 5, 0, 1 , 2, 0, 0, 0 , 2, 0, 0, 0 , 2, 0, 0, 0 , 2, 0, 0, 0 , 0, 5, 2, 1 , 0, 5, 2, 1 , 0, 0, 0, 0 , -2, 0, 0, 0 , -2, 0, 0, 0 , -2, 0, 0, 0 , -2, 0, 0, 0 , -2, 0, 0, 0 , -2, 0, 0, 0 , -2, 0, 0, 0 , -2, 0, 0, 0 , 0, 0, 0, 0 , 0, 5, 2, 1 , 0, 5, 2, 1 , -2, 0, 0, 0 , -2, 0, 0, 0 , -2, 0, 0, 0 , -2, 0, 0, 0 , -4, 0, 0, 0 , -4, 0, 0, 0 , -4, 0, 0, 0 , -4, 0, 0, 0 , 0, 0, 0, 0 , 0, 0, 0, 0 , -4, 0, 0, 0 , -4, 0, 0, 0 , 0, 0, 0, 0 , 0, 0, 0, 0 , -3, 0, 0, 0 , -2, 0, 0, 0 , 0, 0, 0, 0 , 1, 0, 0, 0 , 2, 0, 0, 0 , 3, 0, 0, 0 , 2, 0, 0, 0 , 1, 0, 0, 0 , 0, 0, 0, 0 , -1, 0, 0, 0 , -2, 0, 0, 0 , -3, 0, 0, 0 , -2, 0, 0, 0 , -1, 0, 0, 0 , 0, 0, 0, 0 , 1, 0, 0, 0 , 2, 0, 0, 0 , 1, 0, 0, 0 , 0, 0, 0, 0 , -1, 0, 0, 0 , -2, 0, 0, 0 , -1, 0, 0, 0 , 0, 0, 0, 0 , 0, 0, 0, 0 , -2, 0, 0, 0 , 0, 0, 0, 0 , -1, 0, 0, 0 , 0, 0, 0, 0 , 0, 0, 0, 0 , 0, -5, -2, -1 , 0, -5, -2, 0 , 0, -5, -2, -1 , 0, -5, -2, 0 , 0, -5, -2, -1 , 0, -5, -2, 0 , 0, -5, -2, -1 , 0, -5, -2, 0 , 0, -5, -2, -1 , 0, -5, -2, 0 , 0, -5, -2, -1 , 0, -5, -2, 0 , 2, -5, -2, -1 , 2, -5, -2, 0 , 2, -5, -2, -1 , 2, -5, -2, 0 , 4, -5, -2, -1 , 2, -5, -2, 0 , 2, -5, -2, -1 , 0, -5, -2, 0 , 0, -5, -2, -1 , 0, -5, -2, 0 , 0, -5, -2, -1 , 0, -5, -2, 0 , -2, -5, -2, -1 , -2, -5, -2, 0 , -2, -5, -2, -1 , -2, -5, -2, 0 , 0, -5, -2, -1 , -2, -5, -2, 0 , -2, -5, -2, -1 , -4, -5, -2, 0 , 0, -5, -2, 0 , 0, -5, -2, -1 , -1, -5, -2, 0 , -1, -5, -1, -1 , -2, -5, -1, 0 , -4, 0, 0, 0 , -4, 0, 0, 0 , -4, 0, 0, 0 , -4, 0, 0, 0 , -4, 0, 0, 0 , 0, 0, 0, 0 , 0, 0, 0, 0 , -4, 0, 0, 0 , -4, 0, 0, 0 , 0, 0, 0, 0 , 0, 0, 0, 0 , 0, 0, 0, 0 , 4, 0, 0, 0 , 3, 0, 0, 0 , 2, 0, 0, 0 , -2, 0, 0, 0 , -3, 0, 0, 0 , -4, 0, 0, 0 , 1, 0, 0, 0 , 0, 0, 0, 0 , -1, 0, 0, 0 , 4, 0, 0, 0 , 3, 0, 0, 0 , 2, 0, 0, 0 , 1, 0, 0, 0 , -1, 0, 0, 0 , -1, 0, 0, 0 , 3, 0, 0, 0 , 3, 0, 0, 0 , 2, -5, -2, 0 , 1, -5, -2, -1 , 0, -5, -2, 0 , -1, -5, -2, -1 , 0, -5, 0, -1 , 4, -5, -2, 0 , 3, -5, -1, -1 , 2, 0, 0, 0 , 0, -5, -1, -1 , -2, -5, -1, 0 , -3, -5, -1, -1 , -4, 0, 0, 0 , 0, -5, 0, -1 , 4, -5, -2, 0 , 3, -5, -2, -1 , 2, -5, -2, 0 , 0, -5, -2, -1 , -2, -5, -2, 0 , -3, -5, -2, -1 , -4, -5, -2, 0 , 0, -5, -2, -1 , 2, -5, -2, 0 , 2, -5, -2, -1 , 1, -5, -2, 0 , 1, -5, -3, -1 , 0, -5, -3, 0 , 0, -5, -2, -1 , -1, -5, -2, 0 , -1, -5, -2, -1 , -2, -5, -2, 0 , -2, -5, -2, -1 , 0, -5, -2, -1 , 2, -5, -2, 0 , 2, -5, -2, -1 , 1, -5, -2, 0 , 0, -5, -3, -1 , 0, -5, -3, 0 , -1, -5, -2, -1 , -2, -5, -2, 0 , -2, -5, -2, -1 , -4, -5, -2, 0 , -4, -5, -2, -1 , 0, -5, -2, -1 , 2, -5, -2, 0 , 1, -5, -2, -1 , 0, -5, -2, 0 , -1, -5, -3, -1 , -1, -5, -3, 0 , -2, -5, -2, -1 , -3, -5, -2, 0 , -4, -5, -2, -1 , 0, -5, -2, 0 , 0, -5, -2, -1 , 0, -5, -2, -1 , 2, -5, -2, 0 , 1, -5, -2, -1 , 0, -5, -2, 0 , -1, -5, -3, -1 , -1, -5, -3, 0 , -2, -5, -2, -1 , -3, -5, -2, 0 , -4, -5, -2, -1 , -4, -5, -2, 0 , -4, -5, -2, -1 , 0, -5, -2, 0 , 4, -5, -2, 0 , 3, -5, -1, -1 , 2, -5, -1, 0 , -1, 0, 0, 0 , 0, 0, 0, 0 , 2, 0, 0, 0 , 2, 0, 0, 0 , 0, -5, -2, 0 , 0, -5, -2, -1 , 0, -5, -2, 0 , 0, -5, -2, -1 , 0, -5, -2, -1 , 0, -5, -2, 0 , 0, -5, -2, -1 , -2, -5, -2, 0 , -2, 0, 0, 0 , 0, 0, 0, 0 , 0, 0, 0, 0 , 4, 0, 0, 0 , -1, 0, 0, 0 , 1, 0, 0, 0 , 2, 0, 0, 0 , 1, 0, 0, 0 , 0, 0, 0, 0 , -1, 0, 0, 0 , -2, 0, 0, 0 , -1, 0, 0, 0 , 0, 0, 0, 0 , 1, 0, 0, 0 , 2, 0, 0, 0 , 3, 0, 0, 0 , 3, 0, 0, 0 , 2, 0, 0, 0 , 1, 0, 0, 0 , 0, 0, 0, 0 , -1, 0, 0, 0 , -2, 0, 0, 0 , -3, 0, 0, 0 , -3, 0, 0, 0 , -2, 0, 0, 0 , -1, 0, 0, 0 , 0, 0, 0, 0 , 1, 0, 0, 0 , 2, 0, 0, 0 , 3, 0, 0, 0 , 3, 0, 0, 0 , 4, 0, 0, 0 , 4, 0, 0, 0 , 0, 0, 0, 0 , 0, 0, 0, 0 , 4, 0, 0, 0 , -1, 0, 0, 0 , 1, 0, 0, 0 , 2, 0, 0, 0 , 1, 0, 0, 0 , 0, 0, 0, 0 , -1, 0, 0, 0 , -2, 0, 0, 0 , -1, 0, 0, 0 , 0, 0, 0, 0 , 1, 0, 0, 0 , 2, 0, 0, 0 , 3, 0, 0, 0 , 3, 0, 0, 0 , 2, 0, 0, 0 , 1, 0, 0, 0 , 0, 0, 0, 0 , -1, 0, 0, 0 , -2, 0, 0, 0 , -3, 0, 0, 0 , -3, 0, 0, 0 , -2, 0, 0, 0 , -1, 0, 0, 0 , 0, 0, 0, 0 , 1, 0, 0, 0 , 2, 0, 0, 0 , 3, 0, 0, 0 , 3, 0, 0, 0 , 4, 0, 0, 0 , 4, 0, 0, 0 , 4, 0, 0, 0 , 4, 0, 0, 0 , 0, 0, 0, 0 , 0, -5, -2, -1 , 0, -5, -2, -1 , 0, -5, -2, -1 , 0, -5, -2, -1 , -3, 0, 0, 0 , -2, -5, -2, -1 , -2, -5, -2, -1 , -2, -5, -2, -1 , -2, -5, -2, -1 , -1, 0, 0, 0 , -4, 0, 0, 0 , 0, -5, -2, -1 , 0, -5, -2, -1 , 0, -5, -2, -1 , 0, -5, -2, -1 , -3, 0, 0, 0 , -2, -5, -2, -1 , -2, -5, -2, -1 , -2, -5, -2, -1 , -2, -5, -2, -1 , -2, -5, -2, -1 , -2, -5, -2, -1 , -1, -5, -2, -1 , 0, -5, -2, -1 , 0, -5, -2, -1 , 0, -5, -2, -1 , 0, -5, -2, -1 , 0, -5, -2, -1 , -3, -5, -2, -1 , -2, -5, -2, -1 , -2, -5, -2, -1 , -2, -5, -2, -1 , -2, -5, -2, -1 , -2, -5, -2, -1 , -2, -5, -2, -1 , -1, -5, -2, -1 , 0, 0, 0, 0 , -2, -5, -2, -1 , -2, -5, -2, -1 , -2, -5, -2, -1 , -2, -5, -2, -1 , -2, -5, -2, -1 , -2, -5, -2, -1 , -2, -5, -2, -1 , -2, -5, -2, -1 , 0, -5, -2, -1 , 0, -5, -2, -1 , 0, -5, -2, -1 , 0, -5, -2, -1 , -3, 0, 0, 0 , -2, -5, -2, -1 , -2, -5, -2, -1 , -2, -5, -2, -1 , -2, -5, -2, -1 , -2, -5, -2, -1 , -2, -5, -2, -1 , -1, -5, -2, -1 , 0, -5, -2, -1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-5, -2, -1 , 0, -5, -2, -1 , 0, -5, -2, -1 , 0, -5, -2, -1 , 0, -5, -2, -1 , 0, -5, -2, -1 , 0, -5, -2, -1 , 0, -5, -2, -1 , 0, -5, -2, -1 , 0, -5, -2, -1 , 0, -5, -2, -1 , 0, -5, -2, -1 , -4, 0, 0, 0 , 0, -5, -2, -1 , 2, -5, -2, -1 , 2, -8, -3, -2 , -2, -8, -4, -2 , -2, -8, -3, -2 , -1, -10, -3, -2 , 0, -10, -4, -2 , -1, -10, -4, -2 , 0, -10, -4, -2 , 0, -10, -4, -2 , 1, -10, -4, -2 , 0, -8, -3, -1 , 1, -8, -3, -1 , 2, -8, -3, -1 , 1, -5, -2, -1 , 0, -5, -2, -1 , 1, -5, -2, -1 , -2, -5, -2, -1 , -2, -5, -2, -1 , 0, 0, 0, 0 , 0, 0, 0, 0 , 1, -5, -2, -1 , 1, -5, -2, -1 , 1, -5, -2, -1 , 0, -5, -2, -1 , -1, -2, -1, 0 , -1, -2, -1, -1 , -1, -5, -2, -1 , 0, 0, 0, 0 , 1, -5, -2, -1 , 1, -5, -2, -1 , 1, -5, -2, -1 , 0, -5, -2, -1 , -1, -2, -1, 0 , -1, -2, -1, 0 , -1, -5, -2, -1 , 0, 0, 0, 0 , 0, 0, 0, 0 , 0, 0, 0, 0 , 0, 0, 0, 0 , 0, 0, 0, 0 , 0, 0, 0, 0 , 0, 0, 0, 0 , 0, -5, -2, -1 , 0, -5, -2, -1 , 0, -5, -2, -1 , 0, -5, -2, -1 , 0, 5, 2, 1 , 0, 5, 2, 1 , 0, 5, 2, 1 , 0, 5, 2, 1 , 0, 0, 0, 0 , 3, 0, 0, 0 , 2, 0, 0, 0 , 1, 0, 0, 0 , -1, 0, 0, 0 , -2, 0, 0, 0 , -3, 0, 0, 0 , 0, 0, 0, 0 , 0, 0, 0, 0 , 0, 0, 0, 0 , 0, 0, 0, 0 , 0, 0, 0, 0 , 0, 0, 0, 0 , 0, 0, 0, 0 , 0, 0, 0, 0 , 0, 0, 0, 0 , 0, 0, 0, 0 , 0, 0, 0, 0 , 0, 0, 0, 0 , 0, 10, 4, 2 , 0, -10, -4, -2 , 0, 0, 0, 0 , 0, 0, 0, 0 , 0, 0, 0, 0 , 0, 0, 0, 0 , 0, 0, 0, 0 , 0, 0, 0, 0 , 0, 0, 0, 0 , 0, 0, 0, 0 , 0, 0, 0, 0 , 0, 0, 0, 0 , 0, 0, 0, 0 , 0, 0, 0, 0 , 0, 0, 0, 0 , 0, 0, 0, 0 , 0, 0, 0, 0 , 0, 0, 0, 0 , 0, 0, 0, 0 , 0, 0, 0, 0 , 0, 0, 0, 0 , 0, 0, 0, 0 , -2, 0, 0, 0 , -2, 0, 0, 0 , -2, 0, 0, 0 , -2, 0, 0, 0 , 0, 0, 0, 0 , 0, 0, 0, 0 , 0, 0, 0, 0 , -2, -5, -2, -1 , -2, -2, -1, -1 , -2, -2, 0, 0 , -2, -2, -1, -1 , 0, -2, 0, 0 , 0, -2, -1, -1 , 0, 0, 0, 0 , 0, 0, 0, 0 , 0, 0, 0, 0 , 0, 0, 0, 0 , 0, 0, 0, 0 , 0, 0, 0, 0 , 4, 0, 0, 0 , 3, 0, 0, 0 , 2, 0, 0, 0 , -2, 0, 0, 0 , -3, 0, 0, 0 , -4, 0, 0, 0 , 0, 0, 0, 0 , 4, 0, 0, 0 , 3, 0, 0, 0 , 2, 0, 0, 0 , -1, 0, 0, 0 , 0, 0, 0, 0 , 0, 0, 0, 0 , 0, 5, 2, 1 , 0, 5, 2, 0 , 0, 5, 2, 1 , 0, 5, 2, 0 , 0, 5, 2, 1 , 0, 5, 2, 0 , 0, 5, 2, 1 , 0, 5, 2, 0 , 0, 5, 2, 1 , 0, 5, 2, 0 , 0, 5, 2, 1 , 0, 5, 2, 0 , 2, 5, 2, 1 , 2, 5, 2, 0 , 2, 5, 2, 1 , 2, 5, 2, 0 , 4, 5, 2, 1 , 2, 5, 2, 0 , 2, 5, 2, 1 , 0, 5, 2, 0 , 0, 5, 2, 1 , 0, 5, 2, 0 , 0, 5, 2, 1 , 0, 5, 2, 0 , -2, 5, 2, 1 , -2, 5, 2, 0 , -2, 5, 2, 1 , -2, 5, 2, 0 , 0, 5, 2, 1 , -2, 5, 2, 0 , -2, 5, 2, 1 , -4, 5, 2, 0 , 0, 5, 2, 0 , 0, 5, 2, 1 , -1, 5, 2, 0 , -1, 5, 1, 1 , -2, 5, 1, 0 , -4, 0, 0, 0 , -4, 0, 0, 0 , -4, 0, 0, 0 , -4, 0, 0, 0 , -4, 0, 0, 0 , 0, 0, 0, 0 , 0, 0, 0, 0 , -4, 0, 0, 0 , -4, 0, 0, 0 , 0, 0, 0, 0 , 0, 0, 0, 0 , 0, 0, 0, 0 , 4, 0, 0, 0 , 3, 0, 0, 0 , 2, 0, 0, 0 , -2, 0, 0, 0 , -3, 0, 0, 0 , -4, 0, 0, 0 , 1, 0, 0, 0 , 0, 0, 0, 0 , -1, 0, 0, 0 , 4, 0, 0, 0 , 3, 0, 0, 0 , 2, 0, 0, 0 , 1, 0, 0, 0 , -1, 0, 0, 0 , -1, 0, 0, 0 , 3, 0, 0, 0 , 3, 0, 0, 0 , 2, 5, 2, 0 , 1, 5, 2, 1 , 0, 5, 2, 0 , -1, 5, 2, 1 , 0, 5, 0, 1 , 4, 5, 2, 0 , 3, 5, 1, 1 , 2, 0, 0, 0 , 0, 5, 1, 1 , -2, 5, 1, 0 , -3, 5, 1, 1 , -4, 0, 0, 0 , 0, 5, 0, 1 , 4, 5, 2, 0 , 3, 5, 2, 1 , 2, 5, 2, 0 , 0, 5, 2, 1 , -2, 5, 2, 0 , -3, 5, 2, 1 , -4, 5, 2, 0 , 0, 5, 2, 1 , 2, 5, 2, 0 , 2, 5, 2, 1 , 1, 5, 2, 0 , 1, 5, 3, 1 , 0, 5, 3, 0 , 0, 5, 2, 1 , -1, 5, 2, 0 , -1, 5, 2, 1 , -2, 5, 2, 0 , -2, 5, 2, 1 , 0, 5, 2, 1 , 2, 5, 2, 0 , 2, 5, 2, 1 , 1, 5, 2, 0 , 0, 5, 3, 1 , 0, 5, 3, 0 , -1, 5, 2, 1 , -2, 5, 2, 0 , -2, 5, 2, 1 , -4, 5, 2, 0 , -4, 5, 2, 1 , 0, 5, 2, 1 , 2, 5, 2, 0 , 1, 5, 2, 1 , 0, 5, 2, 0 , -1, 5, 3, 1 , -1, 5, 3, 0 , -2, 5, 2, 1 , -3, 5, 2, 0 , -4, 5, 2, 1 , 0, 5, 2, 0 , 0, 5, 2, 1 , 0, 5, 2, 1 , 2, 5, 2, 0 , 1, 5, 2, 1 , 0, 5, 2, 0 , -1, 5, 3, 1 , -1, 5, 3, 0 , -2, 5, 2, 1 , -3, 5, 2, 0 , -4, 5, 2, 1 , -4, 5, 2, 0 , -4, 5, 2, 1 , 0, 5, 2, 0 , 4, 5, 2, 0 , 3, 5, 1, 1 , 2, 5, 1, 0 , -1, 0, 0, 0 , 0, 0, 0, 0 , 2, 0, 0, 0 , 2, 0, 0, 0 , 0, 5, 2, 0 , 0, 5, 2, 1 , 0, 5, 2, 0 , 0, 5, 2, 1 , 0, 5, 2, 1 , 0, 5, 2, 0 , 0, 5, 2, 1 , -2, 5, 2, 0 , -2, 0, 0, 0 , 0, 0, 0, 0 , 0, 0, 0, 0 , 4, 0, 0, 0 , -1, 0, 0, 0 , 1, 0, 0, 0 , 2, 0, 0, 0 , 1, 0, 0, 0 , 0, 0, 0, 0 , -1, 0, 0, 0 , -2, 0, 0, 0 , -1, 0, 0, 0 , 0, 0, 0, 0 , 1, 0, 0, 0 , 2, 0, 0, 0 , 3, 0, 0, 0 , 3, 0, 0, 0 , 2, 0, 0, 0 , 1, 0, 0, 0 , 0, 0, 0, 0 , -1, 0, 0, 0 , -2, 0, 0, 0 , -3, 0, 0, 0 , -3, 0, 0, 0 , -2, 0, 0, 0 , -1, 0, 0, 0 , 0, 0, 0, 0 , 1, 0, 0, 0 , 2, 0, 0, 0 , 3, 0, 0, 0 , 3, 0, 0, 0 , 4, 0, 0, 0 , 4, 0, 0, 0 , 0, 0, 0, 0 , 0, 0, 0, 0 , 4, 0, 0, 0 , -1, 0, 0, 0 , 1, 0, 0, 0 , 2, 0, 0, 0 , 1, 0, 0, 0 , 0, 0, 0, 0 , -1, 0, 0, 0 , -2, 0, 0, 0 , -1, 0, 0, 0 , 0, 0, 0, 0 , 1, 0, 0, 0 , 2, 0, 0, 0 , 3, 0, 0, 0 , 3, 0, 0, 0 , 2, 0, 0, 0 , 1, 0, 0, 0 , 0, 0, 0, 0 , -1, 0, 0, 0 , -2, 0, 0, 0 , -3, 0, 0, 0 , -3, 0, 0, 0 , -2, 0, 0, 0 , -1, 0, 0, 0 , 0, 0, 0, 0 , 1, 0, 0, 0 , 2, 0, 0, 0 , 3, 0, 0, 0 , 3, 0, 0, 0 , 4, 0, 0, 0 , 4, 0, 0, 0 , 4, 0, 0, 0 , 4, 0, 0, 0 , 0, 0, 0, 0 , 0, 5, 2, 1 , 0, 5, 2, 1 , 0, 5, 2, 1 , 0, 5, 2, 1 , -3, 0, 0, 0 , -2, 5, 2, 1 , -2, 5, 2, 1 , -2, 5, 2, 1 , -2, 5, 2, 1 , -1, 0, 0, 0 , -4, 0, 0, 0 , 0, 5, 2, 1 , 0, 5, 2, 1 , 0, 5, 2, 1 , 0, 5, 2, 1 , -3, 0, 0, 0 , -2, 5, 2, 1 , -2, 5, 2, 1 , -2, 5, 2, 1 , -2, 5, 2, 1 , -2, 5, 2, 1 , -2, 5, 2, 1 , -1, 5, 2, 1 , 0, 5, 2, 1 , 0, 5, 2, 1 , 0, 5, 2, 1 , 0, 5, 2, 1 , 0, 5, 2, 1 , -3, 5, 2, 1 , -2, 5, 2, 1 , -2, 5, 2, 1 , -2, 5, 2, 1 , -2, 5, 2, 1 , -2, 5, 2, 1 , -2, 5, 2, 1 , -1, 5, 2, 1 , 0, 0, 0, 0 , -2, 5, 2, 1 , -2, 5, 2, 1 , -2, 5, 2, 1 , -2, 5, 2, 1 , -2, 5, 2, 1 , -2, 5, 2, 1 , -2, 5, 2, 1 , -2, 5, 2, 1 , 0, 5, 2, 1 , 0, 5, 2, 1 , 0, 5, 2, 1 , 0, 5, 2, 1 , -3, 0, 0, 0 , -2, 5, 2, 1 , -2, 5, 2, 1 , -2, 5, 2, 1 , -2, 5, 2, 1 , -2, 5, 2, 1 , -2, 5, 2, 1 , -1, 5, 2, 1 , 0, 5, 2, 1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5, 2, 1 , 0, 5, 2, 1 , 0, 5, 2, 1 , 0, 5, 2, 1 , 0, 5, 2, 1 , 0, 5, 2, 1 , 0, 5, 2, 1 , 0, 5, 2, 1 , 0, 5, 2, 1 , 0, 5, 2, 1 , 0, 5, 2, 1 , 0, 5, 2, 1 , -4, 0, 0, 0 , 0, 5, 2, 1 , 2, 5, 2, 1 , 2, 8, 3, 2 , -2, 8, 4, 2 , -2, 8, 3, 2 , -1, 10, 3, 2 , 0, 10, 4, 2 , -1, 10, 4, 2 , 0, 10, 4, 2 , 0, 10, 4, 2 , 1, 10, 4, 2 , 0, 8, 3, 1 , 1, 8, 3, 1 , 2, 8, 3, 1 , 1, 5, 2, 1 , 0, 5, 2, 1 , 1, 5, 2, 1 , -2, 5, 2, 1 , -2, 5, 2, 1 , 0, 0, 0, 0 , 0, 0, 0, 0 , 1, 5, 2, 1 , 1, 5, 2, 1 , 1, 5, 2, 1 , 0, 5, 2, 1 , -1, 2, 1, 0 , -1, 2, 1, 1 , -1, 5, 2, 1 , 0, 0, 0, 0 , 1, 5, 2, 1 , 1, 5, 2, 1 , 1, 5, 2, 1 , 0, 5, 2, 1 , -1, 2, 1, 0 , -1, 2, 1, 1 , -1, 5, 2, 1 , 0, 0, 0, 0 , 0, 0, 0, 0 , 0, 0, 0, 0 , 0, 0, 0, 0 , 0, 0, 0, 0 , 0, 0, 0, 0 , 0, 0, 0, 0 , 0, 5, 2, 1 , 0, 5, 2, 1 , 0, 5, 2, 1 , 0, 5, 2, 1 , 0, -5, -2, -1 , 0, -5, -2, -1 , 0, -5, -2, -1 , 0, -5, -2, -1 , 0, 0, 0, 0 , 3, 0, 0, 0 , 2, 0, 0, 0 , 1, 0, 0, 0 , -1, 0, 0, 0 , -2, 0, 0, 0 , -3, 0, 0, 0 , 0, 0, 0, 0 , 0, 0, 0, 0 , 0, 0, 0, 0 , 0, 0, 0, 0 , 0, 0, 0, 0 , 0, 0, 0, 0 , 0, 0, 0, 0 , 0, 0, 0, 0 , 0, 0, 0, 0 , 0, 0, 0, 0 , 0, 0, 0, 0 , 0, 0, 0, 0 , 0, -10, -4, -2 , 0, 10, 4, 2 , 0, 0, 0, 0 , 0, 0, 0, 0 , 0, 0, 0, 0 , 0, 0, 0, 0 , 0, 0, 0, 0 , 0, 0, 0, 0 , 0, 0, 0, 0 , 0, 0, 0, 0 , 0, 0, 0, 0 , 0, 0, 0, 0 , 0, 0, 0, 0 , 0, 0, 0, 0 , 0, 0, 0, 0 , 0, 0, 0, 0 , 0, 0, 0, 0 , 0, 0, 0, 0 , 0, 0, 0, 0 , 0, 0, 0, 0 , 0, 0, 0, 0 , 0, 0, 0, 0 , -2, 0, 0, 0 , -2, 0, 0, 0 , -2, 0, 0, 0 , -2, 0, 0, 0 , 0, 0, 0, 0 , 0, 0, 0, 0 , 0, 0, 0, 0 , -2, 5, 2, 1 , -2, 2, 1, 1 , -2, 2, 0, 0 , -2, 2, 1, 1 , 0, 2, 0, 0 , 0, 2, 1, 1 , 0, 0, 0, 0 , -2, 0, 0, 0 , -1, 0, 0, 0 , 0, 0, 0, 0 , 1, 0, 0, 0 , 2, 0, 0, 0 , 4, 0, 0, 0 , 7, 0, 0, 0 , 11, 0, 0, 0 , 15,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5, 2, 1 , 0, 5, 2, 1 , 0, 5, 2, 1 , 0, 5, 2, 1 , 0, -5, -2, -1 , 0, -5, -2, -1 , 0, -5, -2, -1 , 0, -5, -2, -1 , 0, 0, 0, 0 , 3, 0, 0, 0 , 2, 0, 0, 0 , 1, 0, 0, 0 , -1, 0, 0, 0 , -2, 0, 0, 0 , -3,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-5, -2, -1 , 0, -5, -2, -1 , 0, -5, -2, -1 , 0, -5, -2, -1 , 0, 5, 2, 1 , 0, 5, 2, 1 , 0, 5, 2, 1 , 0, 5, 2, -1 , 0, 0, 0, 0 , 3, 0, 0, 0 , 2, 0, 0, 0 , 1, 0, 0, 0 , -1, 0, 0, 0 , -2, 0, 0, 0 , -3,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0, 0, 0, 0 , 15, 0, 0, 0};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2FE2-C042-3D4D-8CB4-4364F90685D7}">
  <sheetPr codeName="Sheet2"/>
  <dimension ref="A1:AV114"/>
  <sheetViews>
    <sheetView topLeftCell="A67" workbookViewId="0">
      <selection activeCell="AE74" sqref="AE74"/>
    </sheetView>
  </sheetViews>
  <sheetFormatPr baseColWidth="10" defaultRowHeight="16" x14ac:dyDescent="0.2"/>
  <cols>
    <col min="15" max="15" width="7.5" customWidth="1"/>
    <col min="16" max="29" width="5.5" customWidth="1"/>
    <col min="31" max="46" width="5.5" customWidth="1"/>
  </cols>
  <sheetData>
    <row r="1" spans="1:29" x14ac:dyDescent="0.2">
      <c r="B1" t="s">
        <v>984</v>
      </c>
      <c r="C1" t="s">
        <v>985</v>
      </c>
      <c r="D1" t="s">
        <v>986</v>
      </c>
      <c r="F1" t="s">
        <v>984</v>
      </c>
      <c r="G1" t="s">
        <v>985</v>
      </c>
      <c r="H1" t="s">
        <v>986</v>
      </c>
    </row>
    <row r="2" spans="1:29" x14ac:dyDescent="0.2">
      <c r="A2">
        <v>0</v>
      </c>
      <c r="B2">
        <v>1</v>
      </c>
      <c r="C2" s="13">
        <v>44</v>
      </c>
      <c r="D2" s="13">
        <v>64</v>
      </c>
      <c r="F2">
        <f t="shared" ref="F2:F5" si="0">(MOD(B2,256)*256) + INT(B2/256)</f>
        <v>256</v>
      </c>
      <c r="G2">
        <f t="shared" ref="G2:G5" si="1">(MOD(C2,256)*256) + INT(C2/256)</f>
        <v>11264</v>
      </c>
      <c r="H2">
        <f t="shared" ref="H2:H5" si="2">(MOD(D2,256)*256) + INT(D2/256)</f>
        <v>16384</v>
      </c>
      <c r="K2" t="str">
        <f>_xlfn.CONCAT(F2, ", ",G2,", ",H2,", // Port ",A2)</f>
        <v>256, 11264, 16384, // Port 0</v>
      </c>
    </row>
    <row r="3" spans="1:29" x14ac:dyDescent="0.2">
      <c r="A3">
        <v>1</v>
      </c>
      <c r="B3">
        <v>1</v>
      </c>
      <c r="C3" s="13">
        <v>0</v>
      </c>
      <c r="D3" s="13">
        <v>136</v>
      </c>
      <c r="F3">
        <f t="shared" si="0"/>
        <v>256</v>
      </c>
      <c r="G3">
        <f t="shared" si="1"/>
        <v>0</v>
      </c>
      <c r="H3">
        <f t="shared" si="2"/>
        <v>34816</v>
      </c>
      <c r="K3" t="str">
        <f t="shared" ref="K3:K14" si="3">_xlfn.CONCAT(F3, ", ",G3,", ",H3,", // Port ",A3)</f>
        <v>256, 0, 34816, // Port 1</v>
      </c>
    </row>
    <row r="4" spans="1:29" x14ac:dyDescent="0.2">
      <c r="A4">
        <v>2</v>
      </c>
      <c r="B4">
        <v>1</v>
      </c>
      <c r="C4" s="13">
        <v>0</v>
      </c>
      <c r="D4" s="13">
        <v>208</v>
      </c>
      <c r="F4">
        <f t="shared" si="0"/>
        <v>256</v>
      </c>
      <c r="G4">
        <f t="shared" si="1"/>
        <v>0</v>
      </c>
      <c r="H4">
        <f t="shared" si="2"/>
        <v>53248</v>
      </c>
      <c r="K4" t="str">
        <f t="shared" si="3"/>
        <v>256, 0, 53248, // Port 2</v>
      </c>
    </row>
    <row r="5" spans="1:29" x14ac:dyDescent="0.2">
      <c r="A5">
        <v>3</v>
      </c>
      <c r="B5">
        <v>0</v>
      </c>
      <c r="C5" s="13">
        <v>88</v>
      </c>
      <c r="D5" s="13">
        <v>180</v>
      </c>
      <c r="F5">
        <f t="shared" si="0"/>
        <v>0</v>
      </c>
      <c r="G5">
        <f t="shared" si="1"/>
        <v>22528</v>
      </c>
      <c r="H5">
        <f t="shared" si="2"/>
        <v>46080</v>
      </c>
      <c r="K5" t="str">
        <f t="shared" si="3"/>
        <v>0, 22528, 46080, // Port 3</v>
      </c>
    </row>
    <row r="6" spans="1:29" x14ac:dyDescent="0.2">
      <c r="A6">
        <v>4</v>
      </c>
      <c r="B6">
        <v>1</v>
      </c>
      <c r="C6" s="13">
        <v>28</v>
      </c>
      <c r="D6" s="13">
        <v>308</v>
      </c>
      <c r="F6">
        <f t="shared" ref="F6:F14" si="4">(MOD(B6,256)*256) + INT(B6/256)</f>
        <v>256</v>
      </c>
      <c r="G6">
        <f t="shared" ref="G6:G14" si="5">(MOD(C6,256)*256) + INT(C6/256)</f>
        <v>7168</v>
      </c>
      <c r="H6">
        <f t="shared" ref="H6:H9" si="6">(MOD(D6,256)*256) + INT(D6/256)</f>
        <v>13313</v>
      </c>
      <c r="K6" t="str">
        <f t="shared" si="3"/>
        <v>256, 7168, 13313, // Port 4</v>
      </c>
    </row>
    <row r="7" spans="1:29" x14ac:dyDescent="0.2">
      <c r="A7">
        <v>5</v>
      </c>
      <c r="B7">
        <v>0</v>
      </c>
      <c r="C7" s="13">
        <v>52</v>
      </c>
      <c r="D7" s="13">
        <v>236</v>
      </c>
      <c r="F7">
        <f t="shared" si="4"/>
        <v>0</v>
      </c>
      <c r="G7">
        <f t="shared" si="5"/>
        <v>13312</v>
      </c>
      <c r="H7">
        <f t="shared" si="6"/>
        <v>60416</v>
      </c>
      <c r="K7" t="str">
        <f t="shared" si="3"/>
        <v>0, 13312, 60416, // Port 5</v>
      </c>
    </row>
    <row r="8" spans="1:29" x14ac:dyDescent="0.2">
      <c r="A8">
        <v>6</v>
      </c>
      <c r="B8">
        <v>0</v>
      </c>
      <c r="C8" s="13">
        <v>116</v>
      </c>
      <c r="D8" s="13">
        <v>308</v>
      </c>
      <c r="F8">
        <f t="shared" si="4"/>
        <v>0</v>
      </c>
      <c r="G8">
        <f t="shared" si="5"/>
        <v>29696</v>
      </c>
      <c r="H8">
        <f t="shared" si="6"/>
        <v>13313</v>
      </c>
      <c r="K8" t="str">
        <f t="shared" si="3"/>
        <v>0, 29696, 13313, // Port 6</v>
      </c>
    </row>
    <row r="9" spans="1:29" x14ac:dyDescent="0.2">
      <c r="A9">
        <v>7</v>
      </c>
      <c r="B9">
        <v>0</v>
      </c>
      <c r="C9" s="13">
        <v>184</v>
      </c>
      <c r="D9" s="13">
        <v>244</v>
      </c>
      <c r="F9">
        <f t="shared" si="4"/>
        <v>0</v>
      </c>
      <c r="G9">
        <f t="shared" si="5"/>
        <v>47104</v>
      </c>
      <c r="H9">
        <f t="shared" si="6"/>
        <v>62464</v>
      </c>
      <c r="K9" t="str">
        <f t="shared" si="3"/>
        <v>0, 47104, 62464, // Port 7</v>
      </c>
    </row>
    <row r="10" spans="1:29" x14ac:dyDescent="0.2">
      <c r="A10">
        <v>8</v>
      </c>
      <c r="B10">
        <v>0</v>
      </c>
      <c r="C10" s="13">
        <v>256</v>
      </c>
      <c r="D10" s="13">
        <v>308</v>
      </c>
      <c r="F10">
        <f t="shared" si="4"/>
        <v>0</v>
      </c>
      <c r="G10">
        <f t="shared" si="5"/>
        <v>1</v>
      </c>
      <c r="H10">
        <f>(MOD(D10,256)*256) + INT(D10/256)</f>
        <v>13313</v>
      </c>
      <c r="K10" t="str">
        <f t="shared" si="3"/>
        <v>0, 1, 13313, // Port 8</v>
      </c>
    </row>
    <row r="11" spans="1:29" x14ac:dyDescent="0.2">
      <c r="A11">
        <v>9</v>
      </c>
      <c r="B11">
        <v>0</v>
      </c>
      <c r="C11" s="13">
        <v>256</v>
      </c>
      <c r="D11" s="13">
        <v>168</v>
      </c>
      <c r="F11">
        <f t="shared" si="4"/>
        <v>0</v>
      </c>
      <c r="G11">
        <f t="shared" si="5"/>
        <v>1</v>
      </c>
      <c r="H11">
        <f t="shared" ref="H11:H14" si="7">(MOD(D11,256)*256) + INT(D11/256)</f>
        <v>43008</v>
      </c>
      <c r="K11" t="str">
        <f t="shared" si="3"/>
        <v>0, 1, 43008, // Port 9</v>
      </c>
    </row>
    <row r="12" spans="1:29" x14ac:dyDescent="0.2">
      <c r="A12">
        <v>10</v>
      </c>
      <c r="B12">
        <v>0</v>
      </c>
      <c r="C12" s="13">
        <v>256</v>
      </c>
      <c r="D12" s="13">
        <v>96</v>
      </c>
      <c r="F12">
        <f t="shared" si="4"/>
        <v>0</v>
      </c>
      <c r="G12">
        <f t="shared" si="5"/>
        <v>1</v>
      </c>
      <c r="H12">
        <f t="shared" si="7"/>
        <v>24576</v>
      </c>
      <c r="K12" t="str">
        <f t="shared" si="3"/>
        <v>0, 1, 24576, // Port 10</v>
      </c>
    </row>
    <row r="13" spans="1:29" x14ac:dyDescent="0.2">
      <c r="A13">
        <v>11</v>
      </c>
      <c r="B13">
        <v>0</v>
      </c>
      <c r="C13" s="13">
        <v>204</v>
      </c>
      <c r="D13" s="13">
        <v>32</v>
      </c>
      <c r="F13">
        <f t="shared" si="4"/>
        <v>0</v>
      </c>
      <c r="G13">
        <f t="shared" si="5"/>
        <v>52224</v>
      </c>
      <c r="H13">
        <f t="shared" si="7"/>
        <v>8192</v>
      </c>
      <c r="K13" t="str">
        <f t="shared" si="3"/>
        <v>0, 52224, 8192, // Port 11</v>
      </c>
    </row>
    <row r="14" spans="1:29" x14ac:dyDescent="0.2">
      <c r="A14">
        <v>12</v>
      </c>
      <c r="B14">
        <v>0</v>
      </c>
      <c r="C14" s="13">
        <v>136</v>
      </c>
      <c r="D14" s="13">
        <v>80</v>
      </c>
      <c r="F14">
        <f t="shared" si="4"/>
        <v>0</v>
      </c>
      <c r="G14">
        <f t="shared" si="5"/>
        <v>34816</v>
      </c>
      <c r="H14">
        <f t="shared" si="7"/>
        <v>20480</v>
      </c>
      <c r="K14" t="str">
        <f t="shared" si="3"/>
        <v>0, 34816, 20480, // Port 12</v>
      </c>
      <c r="T14" t="s">
        <v>988</v>
      </c>
      <c r="V14" t="s">
        <v>989</v>
      </c>
      <c r="Y14" t="s">
        <v>990</v>
      </c>
      <c r="AC14" t="s">
        <v>991</v>
      </c>
    </row>
    <row r="15" spans="1:29" x14ac:dyDescent="0.2">
      <c r="A15">
        <v>13</v>
      </c>
      <c r="B15">
        <v>0</v>
      </c>
      <c r="C15" s="13">
        <v>44</v>
      </c>
      <c r="D15" s="13">
        <v>0</v>
      </c>
      <c r="F15">
        <f t="shared" ref="F15" si="8">(MOD(B15,256)*256) + INT(B15/256)</f>
        <v>0</v>
      </c>
      <c r="G15">
        <f t="shared" ref="G15" si="9">(MOD(C15,256)*256) + INT(C15/256)</f>
        <v>11264</v>
      </c>
      <c r="H15">
        <f t="shared" ref="H15" si="10">(MOD(D15,256)*256) + INT(D15/256)</f>
        <v>0</v>
      </c>
      <c r="K15" t="str">
        <f t="shared" ref="K15" si="11">_xlfn.CONCAT(F15, ", ",G15,", ",H15,", // Port ",A15)</f>
        <v>0, 11264, 0, // Port 13</v>
      </c>
    </row>
    <row r="17" spans="6:31" x14ac:dyDescent="0.2">
      <c r="O17" t="s">
        <v>987</v>
      </c>
      <c r="P17">
        <v>0</v>
      </c>
      <c r="Q17">
        <v>1</v>
      </c>
      <c r="R17">
        <v>2</v>
      </c>
      <c r="S17">
        <v>3</v>
      </c>
      <c r="T17">
        <v>4</v>
      </c>
      <c r="U17">
        <v>5</v>
      </c>
      <c r="V17">
        <v>6</v>
      </c>
      <c r="W17">
        <v>7</v>
      </c>
      <c r="X17">
        <v>8</v>
      </c>
      <c r="Y17">
        <v>9</v>
      </c>
      <c r="Z17">
        <v>10</v>
      </c>
      <c r="AA17">
        <v>11</v>
      </c>
      <c r="AB17">
        <v>12</v>
      </c>
      <c r="AC17">
        <v>13</v>
      </c>
    </row>
    <row r="18" spans="6:31" x14ac:dyDescent="0.2">
      <c r="N18" t="s">
        <v>987</v>
      </c>
      <c r="O18" s="17">
        <v>0</v>
      </c>
      <c r="P18" s="18">
        <v>12</v>
      </c>
      <c r="Q18">
        <f>P18+Q19</f>
        <v>27</v>
      </c>
      <c r="R18">
        <f>Q18+R20</f>
        <v>45</v>
      </c>
      <c r="S18">
        <f>R18+S21</f>
        <v>65</v>
      </c>
      <c r="T18">
        <f>S18+T22</f>
        <v>89</v>
      </c>
      <c r="U18">
        <f>T18+U23</f>
        <v>111</v>
      </c>
      <c r="V18">
        <f>U18+V24</f>
        <v>133</v>
      </c>
      <c r="W18">
        <f>V18+W25</f>
        <v>150</v>
      </c>
      <c r="X18">
        <f>W18+X26</f>
        <v>166</v>
      </c>
      <c r="Y18">
        <f>X18+Y27</f>
        <v>180</v>
      </c>
      <c r="Z18">
        <f>Y18+Z28</f>
        <v>193</v>
      </c>
      <c r="AA18">
        <f>Z18+AA29</f>
        <v>212</v>
      </c>
      <c r="AB18">
        <f>AA18+AB30</f>
        <v>230</v>
      </c>
      <c r="AC18">
        <f>AB18+AC31</f>
        <v>250</v>
      </c>
      <c r="AE18" t="str">
        <f>_xlfn.CONCAT(" {",_xlfn.TEXTJOIN(", ",FALSE,O18:AC18),"}, // ",N18)</f>
        <v xml:space="preserve"> {0, 12, 27, 45, 65, 89, 111, 133, 150, 166, 180, 193, 212, 230, 250}, // Base</v>
      </c>
    </row>
    <row r="19" spans="6:31" x14ac:dyDescent="0.2">
      <c r="N19">
        <v>0</v>
      </c>
      <c r="O19">
        <f>P18</f>
        <v>12</v>
      </c>
      <c r="P19" s="17">
        <v>0</v>
      </c>
      <c r="Q19" s="18">
        <v>15</v>
      </c>
      <c r="R19">
        <f>Q19+R20</f>
        <v>33</v>
      </c>
      <c r="S19">
        <f>R19+S21</f>
        <v>53</v>
      </c>
      <c r="T19">
        <f>S19+T22</f>
        <v>77</v>
      </c>
      <c r="U19">
        <f>T19+U23</f>
        <v>99</v>
      </c>
      <c r="V19">
        <f>U19+V24</f>
        <v>121</v>
      </c>
      <c r="W19">
        <f>V19+W25</f>
        <v>138</v>
      </c>
      <c r="X19">
        <f>W19+X26</f>
        <v>154</v>
      </c>
      <c r="Y19">
        <f>X19+Y27</f>
        <v>168</v>
      </c>
      <c r="Z19">
        <f>Y19+Z28</f>
        <v>181</v>
      </c>
      <c r="AA19">
        <f>Z19+AA29</f>
        <v>200</v>
      </c>
      <c r="AB19">
        <f>AA19+AB30</f>
        <v>218</v>
      </c>
      <c r="AC19">
        <f>AB19+AC31</f>
        <v>238</v>
      </c>
      <c r="AE19" t="str">
        <f t="shared" ref="AE19:AE32" si="12">_xlfn.CONCAT(" {",_xlfn.TEXTJOIN(", ",FALSE,O19:AC19),"}, // ",N19)</f>
        <v xml:space="preserve"> {12, 0, 15, 33, 53, 77, 99, 121, 138, 154, 168, 181, 200, 218, 238}, // 0</v>
      </c>
    </row>
    <row r="20" spans="6:31" x14ac:dyDescent="0.2">
      <c r="N20">
        <v>1</v>
      </c>
      <c r="O20">
        <f>O19+P20</f>
        <v>27</v>
      </c>
      <c r="P20">
        <f>Q19</f>
        <v>15</v>
      </c>
      <c r="Q20" s="17">
        <v>0</v>
      </c>
      <c r="R20" s="18">
        <v>18</v>
      </c>
      <c r="S20">
        <f>R20+S21</f>
        <v>38</v>
      </c>
      <c r="T20" s="19">
        <v>26</v>
      </c>
      <c r="U20">
        <f>T20+U23</f>
        <v>48</v>
      </c>
      <c r="V20">
        <f>U20+V24</f>
        <v>70</v>
      </c>
      <c r="W20">
        <f>V20+W25</f>
        <v>87</v>
      </c>
      <c r="X20">
        <f>W20+X26</f>
        <v>103</v>
      </c>
      <c r="Y20">
        <f>X20+Y27</f>
        <v>117</v>
      </c>
      <c r="Z20">
        <f>Y20+Z28</f>
        <v>130</v>
      </c>
      <c r="AA20">
        <f>Z20+AA29</f>
        <v>149</v>
      </c>
      <c r="AB20">
        <f>AA20+AB30</f>
        <v>167</v>
      </c>
      <c r="AC20">
        <f>AB20+AC31</f>
        <v>187</v>
      </c>
      <c r="AE20" t="str">
        <f t="shared" si="12"/>
        <v xml:space="preserve"> {27, 15, 0, 18, 38, 26, 48, 70, 87, 103, 117, 130, 149, 167, 187}, // 1</v>
      </c>
    </row>
    <row r="21" spans="6:31" x14ac:dyDescent="0.2">
      <c r="F21">
        <v>0</v>
      </c>
      <c r="G21">
        <v>7</v>
      </c>
      <c r="N21">
        <v>2</v>
      </c>
      <c r="O21">
        <f>O20+Q21</f>
        <v>45</v>
      </c>
      <c r="P21">
        <f>P20+Q21</f>
        <v>33</v>
      </c>
      <c r="Q21">
        <f>R20</f>
        <v>18</v>
      </c>
      <c r="R21" s="17">
        <v>0</v>
      </c>
      <c r="S21" s="18">
        <v>20</v>
      </c>
      <c r="T21">
        <f>S21+T22</f>
        <v>44</v>
      </c>
      <c r="U21">
        <f>T21+U23</f>
        <v>66</v>
      </c>
      <c r="V21">
        <f>U21+V24</f>
        <v>88</v>
      </c>
      <c r="W21">
        <f>V21+W25</f>
        <v>105</v>
      </c>
      <c r="X21">
        <f>W21+X26</f>
        <v>121</v>
      </c>
      <c r="Y21">
        <f>X21+Y27</f>
        <v>135</v>
      </c>
      <c r="Z21">
        <f>Y21+Z28</f>
        <v>148</v>
      </c>
      <c r="AA21">
        <f>Z21+AA29</f>
        <v>167</v>
      </c>
      <c r="AB21">
        <f>AA21+AB30</f>
        <v>185</v>
      </c>
      <c r="AC21">
        <f>AB21+AC31</f>
        <v>205</v>
      </c>
      <c r="AE21" t="str">
        <f t="shared" si="12"/>
        <v xml:space="preserve"> {45, 33, 18, 0, 20, 44, 66, 88, 105, 121, 135, 148, 167, 185, 205}, // 2</v>
      </c>
    </row>
    <row r="22" spans="6:31" x14ac:dyDescent="0.2">
      <c r="N22">
        <v>3</v>
      </c>
      <c r="O22">
        <f>O21+R22</f>
        <v>65</v>
      </c>
      <c r="P22">
        <f>P21+R22</f>
        <v>53</v>
      </c>
      <c r="Q22">
        <f>Q21+R22</f>
        <v>38</v>
      </c>
      <c r="R22">
        <f>S21</f>
        <v>20</v>
      </c>
      <c r="S22" s="17">
        <v>0</v>
      </c>
      <c r="T22" s="18">
        <v>24</v>
      </c>
      <c r="U22">
        <f>T22+U23</f>
        <v>46</v>
      </c>
      <c r="V22">
        <f>U22+V24</f>
        <v>68</v>
      </c>
      <c r="W22">
        <f>V22+W25</f>
        <v>85</v>
      </c>
      <c r="X22">
        <f>W22+X26</f>
        <v>101</v>
      </c>
      <c r="Y22">
        <f>X22+Y27</f>
        <v>115</v>
      </c>
      <c r="Z22">
        <f>Y22+Z28</f>
        <v>128</v>
      </c>
      <c r="AA22">
        <f>Z22+AA29</f>
        <v>147</v>
      </c>
      <c r="AB22">
        <f>AA22+AB30</f>
        <v>165</v>
      </c>
      <c r="AC22">
        <f>AB22+AC31</f>
        <v>185</v>
      </c>
      <c r="AE22" t="str">
        <f t="shared" si="12"/>
        <v xml:space="preserve"> {65, 53, 38, 20, 0, 24, 46, 68, 85, 101, 115, 128, 147, 165, 185}, // 3</v>
      </c>
    </row>
    <row r="23" spans="6:31" x14ac:dyDescent="0.2">
      <c r="N23">
        <v>4</v>
      </c>
      <c r="O23">
        <f>O22+S23</f>
        <v>89</v>
      </c>
      <c r="P23">
        <f>P22+S23</f>
        <v>77</v>
      </c>
      <c r="Q23" s="19">
        <f>T20</f>
        <v>26</v>
      </c>
      <c r="R23">
        <f>R22+S23</f>
        <v>44</v>
      </c>
      <c r="S23">
        <f>T22</f>
        <v>24</v>
      </c>
      <c r="T23" s="17">
        <v>0</v>
      </c>
      <c r="U23" s="18">
        <v>22</v>
      </c>
      <c r="V23" s="19">
        <v>16</v>
      </c>
      <c r="W23">
        <f>V23+W25</f>
        <v>33</v>
      </c>
      <c r="X23">
        <f>W23+X26</f>
        <v>49</v>
      </c>
      <c r="Y23">
        <f>X23+Y27</f>
        <v>63</v>
      </c>
      <c r="Z23">
        <f>Y23+Z28</f>
        <v>76</v>
      </c>
      <c r="AA23">
        <f>Z23+AA29</f>
        <v>95</v>
      </c>
      <c r="AB23">
        <f>AA23+AB30</f>
        <v>113</v>
      </c>
      <c r="AC23">
        <f>AB23+AC31</f>
        <v>133</v>
      </c>
      <c r="AE23" t="str">
        <f t="shared" si="12"/>
        <v xml:space="preserve"> {89, 77, 26, 44, 24, 0, 22, 16, 33, 49, 63, 76, 95, 113, 133}, // 4</v>
      </c>
    </row>
    <row r="24" spans="6:31" x14ac:dyDescent="0.2">
      <c r="N24">
        <v>5</v>
      </c>
      <c r="O24">
        <f>O23+T24</f>
        <v>111</v>
      </c>
      <c r="P24">
        <f>P23+T24</f>
        <v>99</v>
      </c>
      <c r="Q24">
        <f>Q23+T24</f>
        <v>48</v>
      </c>
      <c r="R24">
        <f>R23+T24</f>
        <v>66</v>
      </c>
      <c r="S24">
        <f>S23+T24</f>
        <v>46</v>
      </c>
      <c r="T24">
        <f>U23</f>
        <v>22</v>
      </c>
      <c r="U24" s="17">
        <v>0</v>
      </c>
      <c r="V24" s="18">
        <v>22</v>
      </c>
      <c r="W24">
        <f>V24+W25</f>
        <v>39</v>
      </c>
      <c r="X24">
        <f>W24+X26</f>
        <v>55</v>
      </c>
      <c r="Y24">
        <f>X24+Y27</f>
        <v>69</v>
      </c>
      <c r="Z24">
        <f>Y24+Z28</f>
        <v>82</v>
      </c>
      <c r="AA24">
        <f>Z24+AA29</f>
        <v>101</v>
      </c>
      <c r="AB24">
        <f>AA24+AB30</f>
        <v>119</v>
      </c>
      <c r="AC24">
        <f>AB24+AC31</f>
        <v>139</v>
      </c>
      <c r="AE24" t="str">
        <f t="shared" si="12"/>
        <v xml:space="preserve"> {111, 99, 48, 66, 46, 22, 0, 22, 39, 55, 69, 82, 101, 119, 139}, // 5</v>
      </c>
    </row>
    <row r="25" spans="6:31" x14ac:dyDescent="0.2">
      <c r="N25">
        <v>6</v>
      </c>
      <c r="O25">
        <f>O24+U25</f>
        <v>133</v>
      </c>
      <c r="P25">
        <f>P24+U25</f>
        <v>121</v>
      </c>
      <c r="Q25">
        <f>Q24+U25</f>
        <v>70</v>
      </c>
      <c r="R25">
        <f>R24+U25</f>
        <v>88</v>
      </c>
      <c r="S25">
        <f>S24+U25</f>
        <v>68</v>
      </c>
      <c r="T25" s="19">
        <f>V23</f>
        <v>16</v>
      </c>
      <c r="U25">
        <f>V24</f>
        <v>22</v>
      </c>
      <c r="V25" s="17">
        <v>0</v>
      </c>
      <c r="W25" s="18">
        <v>17</v>
      </c>
      <c r="X25">
        <f>W25+X26</f>
        <v>33</v>
      </c>
      <c r="Y25">
        <f>X25+Y27</f>
        <v>47</v>
      </c>
      <c r="Z25">
        <f>Y25+Z28</f>
        <v>60</v>
      </c>
      <c r="AA25">
        <f>Z25+AA29</f>
        <v>79</v>
      </c>
      <c r="AB25">
        <f>AA25+AB30</f>
        <v>97</v>
      </c>
      <c r="AC25">
        <f>AB25+AC31</f>
        <v>117</v>
      </c>
      <c r="AE25" t="str">
        <f t="shared" si="12"/>
        <v xml:space="preserve"> {133, 121, 70, 88, 68, 16, 22, 0, 17, 33, 47, 60, 79, 97, 117}, // 6</v>
      </c>
    </row>
    <row r="26" spans="6:31" x14ac:dyDescent="0.2">
      <c r="N26">
        <v>7</v>
      </c>
      <c r="O26">
        <f>O25+V26</f>
        <v>150</v>
      </c>
      <c r="P26">
        <f>P25+V26</f>
        <v>138</v>
      </c>
      <c r="Q26">
        <f>Q25+V26</f>
        <v>87</v>
      </c>
      <c r="R26">
        <f>R25+V26</f>
        <v>105</v>
      </c>
      <c r="S26">
        <f>S25+V26</f>
        <v>85</v>
      </c>
      <c r="T26">
        <f>T25+V26</f>
        <v>33</v>
      </c>
      <c r="U26">
        <f>U25+V26</f>
        <v>39</v>
      </c>
      <c r="V26">
        <f>W25</f>
        <v>17</v>
      </c>
      <c r="W26" s="17">
        <v>0</v>
      </c>
      <c r="X26" s="18">
        <v>16</v>
      </c>
      <c r="Y26" s="19">
        <v>14</v>
      </c>
      <c r="Z26">
        <f>Y26+Z28</f>
        <v>27</v>
      </c>
      <c r="AA26">
        <f>Z26+AA29</f>
        <v>46</v>
      </c>
      <c r="AB26">
        <f>AA26+AB30</f>
        <v>64</v>
      </c>
      <c r="AC26">
        <f>AB26+AC31</f>
        <v>84</v>
      </c>
      <c r="AE26" t="str">
        <f t="shared" si="12"/>
        <v xml:space="preserve"> {150, 138, 87, 105, 85, 33, 39, 17, 0, 16, 14, 27, 46, 64, 84}, // 7</v>
      </c>
    </row>
    <row r="27" spans="6:31" x14ac:dyDescent="0.2">
      <c r="N27">
        <v>8</v>
      </c>
      <c r="O27">
        <f>O26+W27</f>
        <v>166</v>
      </c>
      <c r="P27">
        <f>P26+W27</f>
        <v>154</v>
      </c>
      <c r="Q27">
        <f>Q26+W27</f>
        <v>103</v>
      </c>
      <c r="R27">
        <f>R26+W27</f>
        <v>121</v>
      </c>
      <c r="S27">
        <f>S26+W27</f>
        <v>101</v>
      </c>
      <c r="T27">
        <f>T26+W27</f>
        <v>49</v>
      </c>
      <c r="U27">
        <f>U26+W27</f>
        <v>55</v>
      </c>
      <c r="V27">
        <f>V26+W27</f>
        <v>33</v>
      </c>
      <c r="W27">
        <f>X26</f>
        <v>16</v>
      </c>
      <c r="X27" s="17">
        <v>0</v>
      </c>
      <c r="Y27" s="18">
        <v>14</v>
      </c>
      <c r="Z27">
        <f>Y27+Z28</f>
        <v>27</v>
      </c>
      <c r="AA27">
        <f>Z27+AA29</f>
        <v>46</v>
      </c>
      <c r="AB27">
        <f>AA27+AB30</f>
        <v>64</v>
      </c>
      <c r="AC27">
        <f>AB27+AC31</f>
        <v>84</v>
      </c>
      <c r="AE27" t="str">
        <f t="shared" si="12"/>
        <v xml:space="preserve"> {166, 154, 103, 121, 101, 49, 55, 33, 16, 0, 14, 27, 46, 64, 84}, // 8</v>
      </c>
    </row>
    <row r="28" spans="6:31" x14ac:dyDescent="0.2">
      <c r="N28">
        <v>9</v>
      </c>
      <c r="O28">
        <f>O27+X28</f>
        <v>180</v>
      </c>
      <c r="P28">
        <f>P27+X28</f>
        <v>168</v>
      </c>
      <c r="Q28">
        <f>Q27+X28</f>
        <v>117</v>
      </c>
      <c r="R28">
        <f>R27+X28</f>
        <v>135</v>
      </c>
      <c r="S28">
        <f>S27+X28</f>
        <v>115</v>
      </c>
      <c r="T28">
        <f>T27+X28</f>
        <v>63</v>
      </c>
      <c r="U28">
        <f>U27+X28</f>
        <v>69</v>
      </c>
      <c r="V28">
        <f>V27+X28</f>
        <v>47</v>
      </c>
      <c r="W28" s="19">
        <f>Y26</f>
        <v>14</v>
      </c>
      <c r="X28">
        <f>Y27</f>
        <v>14</v>
      </c>
      <c r="Y28" s="17">
        <v>0</v>
      </c>
      <c r="Z28" s="18">
        <v>13</v>
      </c>
      <c r="AA28">
        <f>Z28+AA29</f>
        <v>32</v>
      </c>
      <c r="AB28">
        <f>AA28+AB30</f>
        <v>50</v>
      </c>
      <c r="AC28">
        <f>AB28+AC31</f>
        <v>70</v>
      </c>
      <c r="AE28" t="str">
        <f t="shared" si="12"/>
        <v xml:space="preserve"> {180, 168, 117, 135, 115, 63, 69, 47, 14, 14, 0, 13, 32, 50, 70}, // 9</v>
      </c>
    </row>
    <row r="29" spans="6:31" x14ac:dyDescent="0.2">
      <c r="N29">
        <v>10</v>
      </c>
      <c r="O29">
        <f>O28+Y29</f>
        <v>193</v>
      </c>
      <c r="P29">
        <f>P28+Y29</f>
        <v>181</v>
      </c>
      <c r="Q29">
        <f>Q28+Y29</f>
        <v>130</v>
      </c>
      <c r="R29">
        <f>R28+Y29</f>
        <v>148</v>
      </c>
      <c r="S29">
        <f>S28+Y29</f>
        <v>128</v>
      </c>
      <c r="T29">
        <f>T28+Y29</f>
        <v>76</v>
      </c>
      <c r="U29">
        <f>U28+Y29</f>
        <v>82</v>
      </c>
      <c r="V29">
        <f>V28+Y29</f>
        <v>60</v>
      </c>
      <c r="W29">
        <f>W28+Y29</f>
        <v>27</v>
      </c>
      <c r="X29">
        <f>X28+Y29</f>
        <v>27</v>
      </c>
      <c r="Y29">
        <f>Z28</f>
        <v>13</v>
      </c>
      <c r="Z29" s="17">
        <v>0</v>
      </c>
      <c r="AA29" s="18">
        <v>19</v>
      </c>
      <c r="AB29" s="19">
        <v>16</v>
      </c>
      <c r="AC29">
        <f>AB29+AC31</f>
        <v>36</v>
      </c>
      <c r="AE29" t="str">
        <f t="shared" si="12"/>
        <v xml:space="preserve"> {193, 181, 130, 148, 128, 76, 82, 60, 27, 27, 13, 0, 19, 16, 36}, // 10</v>
      </c>
    </row>
    <row r="30" spans="6:31" x14ac:dyDescent="0.2">
      <c r="F30">
        <v>1</v>
      </c>
      <c r="G30">
        <v>8</v>
      </c>
      <c r="N30">
        <v>11</v>
      </c>
      <c r="O30">
        <f>O29+Z30</f>
        <v>212</v>
      </c>
      <c r="P30">
        <f>P29+Z30</f>
        <v>200</v>
      </c>
      <c r="Q30">
        <f>Q29+Z30</f>
        <v>149</v>
      </c>
      <c r="R30">
        <f>R29+Z30</f>
        <v>167</v>
      </c>
      <c r="S30">
        <f>S29+Z30</f>
        <v>147</v>
      </c>
      <c r="T30">
        <f>T29+Z30</f>
        <v>95</v>
      </c>
      <c r="U30">
        <f>U29+Z30</f>
        <v>101</v>
      </c>
      <c r="V30">
        <f>V29+Z30</f>
        <v>79</v>
      </c>
      <c r="W30">
        <f>W29+Z30</f>
        <v>46</v>
      </c>
      <c r="X30">
        <f>X29+Z30</f>
        <v>46</v>
      </c>
      <c r="Y30">
        <f>Y29+Z30</f>
        <v>32</v>
      </c>
      <c r="Z30">
        <f>AA29</f>
        <v>19</v>
      </c>
      <c r="AA30" s="17">
        <v>0</v>
      </c>
      <c r="AB30" s="18">
        <v>18</v>
      </c>
      <c r="AC30">
        <f>AB30+AC31</f>
        <v>38</v>
      </c>
      <c r="AE30" t="str">
        <f t="shared" si="12"/>
        <v xml:space="preserve"> {212, 200, 149, 167, 147, 95, 101, 79, 46, 46, 32, 19, 0, 18, 38}, // 11</v>
      </c>
    </row>
    <row r="31" spans="6:31" x14ac:dyDescent="0.2">
      <c r="N31">
        <v>12</v>
      </c>
      <c r="O31">
        <f>O30+AA31</f>
        <v>230</v>
      </c>
      <c r="P31">
        <f>P30+AA31</f>
        <v>218</v>
      </c>
      <c r="Q31">
        <f>Q30+AA31</f>
        <v>167</v>
      </c>
      <c r="R31">
        <f>R30+AA31</f>
        <v>185</v>
      </c>
      <c r="S31">
        <f>S30+AA31</f>
        <v>165</v>
      </c>
      <c r="T31">
        <f>T30+AA31</f>
        <v>113</v>
      </c>
      <c r="U31">
        <f>U30+AA31</f>
        <v>119</v>
      </c>
      <c r="V31">
        <f>V30+AA31</f>
        <v>97</v>
      </c>
      <c r="W31">
        <f>W30+AA31</f>
        <v>64</v>
      </c>
      <c r="X31">
        <f>X30+AA31</f>
        <v>64</v>
      </c>
      <c r="Y31">
        <f>Y30+AA31</f>
        <v>50</v>
      </c>
      <c r="Z31" s="19">
        <f>AB29</f>
        <v>16</v>
      </c>
      <c r="AA31">
        <f>AB30</f>
        <v>18</v>
      </c>
      <c r="AB31" s="17">
        <v>0</v>
      </c>
      <c r="AC31" s="18">
        <v>20</v>
      </c>
      <c r="AE31" t="str">
        <f t="shared" si="12"/>
        <v xml:space="preserve"> {230, 218, 167, 185, 165, 113, 119, 97, 64, 64, 50, 16, 18, 0, 20}, // 12</v>
      </c>
    </row>
    <row r="32" spans="6:31" x14ac:dyDescent="0.2">
      <c r="N32">
        <v>13</v>
      </c>
      <c r="O32">
        <f>O31+AB32</f>
        <v>250</v>
      </c>
      <c r="P32">
        <f>P31+AB32</f>
        <v>238</v>
      </c>
      <c r="Q32">
        <f>Q31+AB32</f>
        <v>187</v>
      </c>
      <c r="R32">
        <f>R31+AB32</f>
        <v>205</v>
      </c>
      <c r="S32">
        <f>S31+AB32</f>
        <v>185</v>
      </c>
      <c r="T32">
        <f>T31+AB32</f>
        <v>133</v>
      </c>
      <c r="U32">
        <f>U31+AB32</f>
        <v>139</v>
      </c>
      <c r="V32">
        <f>V31+AB32</f>
        <v>117</v>
      </c>
      <c r="W32">
        <f>W31+AB32</f>
        <v>84</v>
      </c>
      <c r="X32">
        <f>X31+AB32</f>
        <v>84</v>
      </c>
      <c r="Y32">
        <f>Y31+AB32</f>
        <v>70</v>
      </c>
      <c r="Z32">
        <f>Z31+AB32</f>
        <v>36</v>
      </c>
      <c r="AA32">
        <f>AA31+AB32</f>
        <v>38</v>
      </c>
      <c r="AB32">
        <f>AC31</f>
        <v>20</v>
      </c>
      <c r="AC32" s="17">
        <v>0</v>
      </c>
      <c r="AE32" t="str">
        <f t="shared" si="12"/>
        <v xml:space="preserve"> {250, 238, 187, 205, 185, 133, 139, 117, 84, 84, 70, 36, 38, 20, 0}, // 13</v>
      </c>
    </row>
    <row r="35" spans="4:48" x14ac:dyDescent="0.2">
      <c r="D35" s="13"/>
    </row>
    <row r="37" spans="4:48" x14ac:dyDescent="0.2">
      <c r="O37" t="s">
        <v>987</v>
      </c>
      <c r="P37">
        <v>0</v>
      </c>
      <c r="Q37">
        <v>1</v>
      </c>
      <c r="R37">
        <v>2</v>
      </c>
      <c r="S37">
        <v>3</v>
      </c>
      <c r="T37">
        <v>4</v>
      </c>
      <c r="U37">
        <v>5</v>
      </c>
      <c r="V37">
        <v>6</v>
      </c>
      <c r="W37">
        <v>7</v>
      </c>
      <c r="X37">
        <v>8</v>
      </c>
      <c r="Y37">
        <v>9</v>
      </c>
      <c r="Z37">
        <v>10</v>
      </c>
      <c r="AA37">
        <v>11</v>
      </c>
      <c r="AB37">
        <v>12</v>
      </c>
      <c r="AC37">
        <v>13</v>
      </c>
      <c r="AF37" t="s">
        <v>987</v>
      </c>
      <c r="AG37">
        <v>0</v>
      </c>
      <c r="AH37">
        <v>1</v>
      </c>
      <c r="AI37">
        <v>2</v>
      </c>
      <c r="AJ37">
        <v>3</v>
      </c>
      <c r="AK37">
        <v>4</v>
      </c>
      <c r="AL37">
        <v>5</v>
      </c>
      <c r="AM37">
        <v>6</v>
      </c>
      <c r="AN37">
        <v>7</v>
      </c>
      <c r="AO37">
        <v>8</v>
      </c>
      <c r="AP37">
        <v>9</v>
      </c>
      <c r="AQ37">
        <v>10</v>
      </c>
      <c r="AR37">
        <v>11</v>
      </c>
      <c r="AS37">
        <v>12</v>
      </c>
      <c r="AT37">
        <v>13</v>
      </c>
    </row>
    <row r="38" spans="4:48" x14ac:dyDescent="0.2">
      <c r="N38" t="s">
        <v>987</v>
      </c>
      <c r="O38" s="17">
        <f>AF38*$AV$38</f>
        <v>0</v>
      </c>
      <c r="P38">
        <f>AG38*$AV$38</f>
        <v>18</v>
      </c>
      <c r="Q38">
        <f t="shared" ref="Q38:Q40" si="13">AH38*$AV$38</f>
        <v>36</v>
      </c>
      <c r="R38">
        <f t="shared" ref="R38:R41" si="14">AI38*$AV$38</f>
        <v>54</v>
      </c>
      <c r="S38">
        <f t="shared" ref="S38:S42" si="15">AJ38*$AV$38</f>
        <v>72</v>
      </c>
      <c r="T38">
        <f t="shared" ref="T38:T43" si="16">AK38*$AV$38</f>
        <v>90</v>
      </c>
      <c r="U38">
        <f t="shared" ref="U38:U44" si="17">AL38*$AV$38</f>
        <v>108</v>
      </c>
      <c r="V38">
        <f t="shared" ref="V38:V45" si="18">AM38*$AV$38</f>
        <v>126</v>
      </c>
      <c r="W38">
        <f t="shared" ref="W38:W46" si="19">AN38*$AV$38</f>
        <v>126</v>
      </c>
      <c r="X38">
        <f t="shared" ref="X38:X47" si="20">AO38*$AV$38</f>
        <v>108</v>
      </c>
      <c r="Y38">
        <f t="shared" ref="Y38:Y48" si="21">AP38*$AV$38</f>
        <v>90</v>
      </c>
      <c r="Z38">
        <f t="shared" ref="Z38:Z49" si="22">AQ38*$AV$38</f>
        <v>72</v>
      </c>
      <c r="AA38">
        <f t="shared" ref="AA38:AA50" si="23">AR38*$AV$38</f>
        <v>54</v>
      </c>
      <c r="AB38">
        <f t="shared" ref="AB38:AB51" si="24">AS38*$AV$38</f>
        <v>36</v>
      </c>
      <c r="AC38">
        <f t="shared" ref="AC38:AC52" si="25">AT38*$AV$38</f>
        <v>18</v>
      </c>
      <c r="AE38" t="s">
        <v>987</v>
      </c>
      <c r="AF38" s="17">
        <v>0</v>
      </c>
      <c r="AG38">
        <v>1</v>
      </c>
      <c r="AH38">
        <v>2</v>
      </c>
      <c r="AI38">
        <v>3</v>
      </c>
      <c r="AJ38">
        <v>4</v>
      </c>
      <c r="AK38">
        <v>5</v>
      </c>
      <c r="AL38">
        <v>6</v>
      </c>
      <c r="AM38">
        <v>7</v>
      </c>
      <c r="AN38">
        <v>7</v>
      </c>
      <c r="AO38">
        <v>6</v>
      </c>
      <c r="AP38">
        <v>5</v>
      </c>
      <c r="AQ38">
        <v>4</v>
      </c>
      <c r="AR38">
        <v>3</v>
      </c>
      <c r="AS38">
        <v>2</v>
      </c>
      <c r="AT38">
        <v>1</v>
      </c>
      <c r="AV38">
        <v>18</v>
      </c>
    </row>
    <row r="39" spans="4:48" x14ac:dyDescent="0.2">
      <c r="N39">
        <v>0</v>
      </c>
      <c r="P39" s="17">
        <v>0</v>
      </c>
      <c r="Q39">
        <f t="shared" si="13"/>
        <v>18</v>
      </c>
      <c r="R39">
        <f t="shared" si="14"/>
        <v>36</v>
      </c>
      <c r="S39">
        <f t="shared" si="15"/>
        <v>54</v>
      </c>
      <c r="T39">
        <f t="shared" si="16"/>
        <v>72</v>
      </c>
      <c r="U39">
        <f t="shared" si="17"/>
        <v>90</v>
      </c>
      <c r="V39">
        <f t="shared" si="18"/>
        <v>108</v>
      </c>
      <c r="W39">
        <f t="shared" si="19"/>
        <v>108</v>
      </c>
      <c r="X39">
        <f t="shared" si="20"/>
        <v>126</v>
      </c>
      <c r="Y39">
        <f t="shared" si="21"/>
        <v>108</v>
      </c>
      <c r="Z39">
        <f t="shared" si="22"/>
        <v>90</v>
      </c>
      <c r="AA39">
        <f t="shared" si="23"/>
        <v>72</v>
      </c>
      <c r="AB39">
        <f t="shared" si="24"/>
        <v>54</v>
      </c>
      <c r="AC39">
        <f t="shared" si="25"/>
        <v>36</v>
      </c>
      <c r="AE39">
        <v>0</v>
      </c>
      <c r="AF39">
        <v>0</v>
      </c>
      <c r="AG39" s="17">
        <v>0</v>
      </c>
      <c r="AH39">
        <v>1</v>
      </c>
      <c r="AI39">
        <v>2</v>
      </c>
      <c r="AJ39">
        <v>3</v>
      </c>
      <c r="AK39">
        <v>4</v>
      </c>
      <c r="AL39">
        <v>5</v>
      </c>
      <c r="AM39">
        <v>6</v>
      </c>
      <c r="AN39">
        <v>6</v>
      </c>
      <c r="AO39">
        <v>7</v>
      </c>
      <c r="AP39">
        <v>6</v>
      </c>
      <c r="AQ39">
        <v>5</v>
      </c>
      <c r="AR39">
        <v>4</v>
      </c>
      <c r="AS39">
        <v>3</v>
      </c>
      <c r="AT39">
        <v>2</v>
      </c>
    </row>
    <row r="40" spans="4:48" x14ac:dyDescent="0.2">
      <c r="F40">
        <v>2</v>
      </c>
      <c r="G40">
        <v>9</v>
      </c>
      <c r="N40">
        <v>1</v>
      </c>
      <c r="Q40" s="17">
        <f t="shared" si="13"/>
        <v>0</v>
      </c>
      <c r="R40">
        <f t="shared" si="14"/>
        <v>18</v>
      </c>
      <c r="S40">
        <f t="shared" si="15"/>
        <v>36</v>
      </c>
      <c r="T40">
        <f t="shared" si="16"/>
        <v>54</v>
      </c>
      <c r="U40">
        <f t="shared" si="17"/>
        <v>72</v>
      </c>
      <c r="V40">
        <f t="shared" si="18"/>
        <v>90</v>
      </c>
      <c r="W40">
        <f t="shared" si="19"/>
        <v>108</v>
      </c>
      <c r="X40">
        <f t="shared" si="20"/>
        <v>126</v>
      </c>
      <c r="Y40">
        <f t="shared" si="21"/>
        <v>126</v>
      </c>
      <c r="Z40">
        <f t="shared" si="22"/>
        <v>108</v>
      </c>
      <c r="AA40">
        <f t="shared" si="23"/>
        <v>90</v>
      </c>
      <c r="AB40">
        <f t="shared" si="24"/>
        <v>72</v>
      </c>
      <c r="AC40">
        <f t="shared" si="25"/>
        <v>54</v>
      </c>
      <c r="AE40">
        <v>1</v>
      </c>
      <c r="AF40">
        <v>0</v>
      </c>
      <c r="AG40">
        <v>0</v>
      </c>
      <c r="AH40" s="17">
        <v>0</v>
      </c>
      <c r="AI40">
        <v>1</v>
      </c>
      <c r="AJ40">
        <v>2</v>
      </c>
      <c r="AK40">
        <v>3</v>
      </c>
      <c r="AL40">
        <v>4</v>
      </c>
      <c r="AM40">
        <v>5</v>
      </c>
      <c r="AN40">
        <v>6</v>
      </c>
      <c r="AO40">
        <v>7</v>
      </c>
      <c r="AP40">
        <v>7</v>
      </c>
      <c r="AQ40">
        <v>6</v>
      </c>
      <c r="AR40">
        <v>5</v>
      </c>
      <c r="AS40">
        <v>4</v>
      </c>
      <c r="AT40">
        <v>3</v>
      </c>
    </row>
    <row r="41" spans="4:48" x14ac:dyDescent="0.2">
      <c r="N41">
        <v>2</v>
      </c>
      <c r="R41" s="17">
        <f t="shared" si="14"/>
        <v>0</v>
      </c>
      <c r="S41">
        <f t="shared" si="15"/>
        <v>18</v>
      </c>
      <c r="T41">
        <f t="shared" si="16"/>
        <v>36</v>
      </c>
      <c r="U41">
        <f t="shared" si="17"/>
        <v>54</v>
      </c>
      <c r="V41">
        <f t="shared" si="18"/>
        <v>72</v>
      </c>
      <c r="W41">
        <f t="shared" si="19"/>
        <v>90</v>
      </c>
      <c r="X41">
        <f t="shared" si="20"/>
        <v>108</v>
      </c>
      <c r="Y41">
        <f t="shared" si="21"/>
        <v>126</v>
      </c>
      <c r="Z41">
        <f t="shared" si="22"/>
        <v>126</v>
      </c>
      <c r="AA41">
        <f t="shared" si="23"/>
        <v>108</v>
      </c>
      <c r="AB41">
        <f t="shared" si="24"/>
        <v>90</v>
      </c>
      <c r="AC41">
        <f t="shared" si="25"/>
        <v>72</v>
      </c>
      <c r="AE41">
        <v>2</v>
      </c>
      <c r="AF41">
        <v>0</v>
      </c>
      <c r="AG41">
        <v>0</v>
      </c>
      <c r="AH41">
        <v>0</v>
      </c>
      <c r="AI41" s="17">
        <v>0</v>
      </c>
      <c r="AJ41">
        <v>1</v>
      </c>
      <c r="AK41">
        <v>2</v>
      </c>
      <c r="AL41">
        <v>3</v>
      </c>
      <c r="AM41">
        <v>4</v>
      </c>
      <c r="AN41">
        <v>5</v>
      </c>
      <c r="AO41">
        <v>6</v>
      </c>
      <c r="AP41">
        <v>7</v>
      </c>
      <c r="AQ41">
        <v>7</v>
      </c>
      <c r="AR41">
        <v>6</v>
      </c>
      <c r="AS41">
        <v>5</v>
      </c>
      <c r="AT41">
        <v>4</v>
      </c>
    </row>
    <row r="42" spans="4:48" x14ac:dyDescent="0.2">
      <c r="N42">
        <v>3</v>
      </c>
      <c r="S42" s="17">
        <f t="shared" si="15"/>
        <v>0</v>
      </c>
      <c r="T42">
        <f t="shared" si="16"/>
        <v>18</v>
      </c>
      <c r="U42">
        <f t="shared" si="17"/>
        <v>36</v>
      </c>
      <c r="V42">
        <f t="shared" si="18"/>
        <v>54</v>
      </c>
      <c r="W42">
        <f t="shared" si="19"/>
        <v>72</v>
      </c>
      <c r="X42">
        <f t="shared" si="20"/>
        <v>90</v>
      </c>
      <c r="Y42">
        <f t="shared" si="21"/>
        <v>108</v>
      </c>
      <c r="Z42">
        <f t="shared" si="22"/>
        <v>126</v>
      </c>
      <c r="AA42">
        <f t="shared" si="23"/>
        <v>126</v>
      </c>
      <c r="AB42">
        <f t="shared" si="24"/>
        <v>108</v>
      </c>
      <c r="AC42">
        <f t="shared" si="25"/>
        <v>90</v>
      </c>
      <c r="AE42">
        <v>3</v>
      </c>
      <c r="AF42">
        <v>0</v>
      </c>
      <c r="AG42">
        <v>0</v>
      </c>
      <c r="AH42">
        <v>0</v>
      </c>
      <c r="AI42">
        <v>0</v>
      </c>
      <c r="AJ42" s="17">
        <v>0</v>
      </c>
      <c r="AK42">
        <v>1</v>
      </c>
      <c r="AL42">
        <v>2</v>
      </c>
      <c r="AM42">
        <v>3</v>
      </c>
      <c r="AN42">
        <v>4</v>
      </c>
      <c r="AO42">
        <v>5</v>
      </c>
      <c r="AP42">
        <v>6</v>
      </c>
      <c r="AQ42">
        <v>7</v>
      </c>
      <c r="AR42">
        <v>7</v>
      </c>
      <c r="AS42">
        <v>6</v>
      </c>
      <c r="AT42">
        <v>5</v>
      </c>
    </row>
    <row r="43" spans="4:48" x14ac:dyDescent="0.2">
      <c r="N43">
        <v>4</v>
      </c>
      <c r="T43" s="17">
        <f t="shared" si="16"/>
        <v>0</v>
      </c>
      <c r="U43">
        <f t="shared" si="17"/>
        <v>18</v>
      </c>
      <c r="V43">
        <f t="shared" si="18"/>
        <v>36</v>
      </c>
      <c r="W43">
        <f t="shared" si="19"/>
        <v>54</v>
      </c>
      <c r="X43">
        <f t="shared" si="20"/>
        <v>72</v>
      </c>
      <c r="Y43">
        <f t="shared" si="21"/>
        <v>90</v>
      </c>
      <c r="Z43">
        <f t="shared" si="22"/>
        <v>108</v>
      </c>
      <c r="AA43">
        <f t="shared" si="23"/>
        <v>126</v>
      </c>
      <c r="AB43">
        <f t="shared" si="24"/>
        <v>126</v>
      </c>
      <c r="AC43">
        <f t="shared" si="25"/>
        <v>108</v>
      </c>
      <c r="AE43">
        <v>4</v>
      </c>
      <c r="AF43">
        <v>0</v>
      </c>
      <c r="AG43">
        <v>0</v>
      </c>
      <c r="AH43">
        <v>0</v>
      </c>
      <c r="AI43">
        <v>0</v>
      </c>
      <c r="AJ43">
        <v>0</v>
      </c>
      <c r="AK43" s="17">
        <v>0</v>
      </c>
      <c r="AL43">
        <v>1</v>
      </c>
      <c r="AM43">
        <v>2</v>
      </c>
      <c r="AN43">
        <v>3</v>
      </c>
      <c r="AO43">
        <v>4</v>
      </c>
      <c r="AP43">
        <v>5</v>
      </c>
      <c r="AQ43">
        <v>6</v>
      </c>
      <c r="AR43">
        <v>7</v>
      </c>
      <c r="AS43">
        <v>7</v>
      </c>
      <c r="AT43">
        <v>6</v>
      </c>
    </row>
    <row r="44" spans="4:48" x14ac:dyDescent="0.2">
      <c r="N44">
        <v>5</v>
      </c>
      <c r="U44" s="17">
        <f t="shared" si="17"/>
        <v>0</v>
      </c>
      <c r="V44">
        <f t="shared" si="18"/>
        <v>18</v>
      </c>
      <c r="W44">
        <f t="shared" si="19"/>
        <v>36</v>
      </c>
      <c r="X44">
        <f t="shared" si="20"/>
        <v>54</v>
      </c>
      <c r="Y44">
        <f t="shared" si="21"/>
        <v>72</v>
      </c>
      <c r="Z44">
        <f t="shared" si="22"/>
        <v>90</v>
      </c>
      <c r="AA44">
        <f t="shared" si="23"/>
        <v>108</v>
      </c>
      <c r="AB44">
        <f t="shared" si="24"/>
        <v>126</v>
      </c>
      <c r="AC44">
        <f t="shared" si="25"/>
        <v>126</v>
      </c>
      <c r="AE44">
        <v>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s="17">
        <v>0</v>
      </c>
      <c r="AM44">
        <v>1</v>
      </c>
      <c r="AN44">
        <v>2</v>
      </c>
      <c r="AO44">
        <v>3</v>
      </c>
      <c r="AP44">
        <v>4</v>
      </c>
      <c r="AQ44">
        <v>5</v>
      </c>
      <c r="AR44">
        <v>6</v>
      </c>
      <c r="AS44">
        <v>7</v>
      </c>
      <c r="AT44">
        <v>7</v>
      </c>
    </row>
    <row r="45" spans="4:48" x14ac:dyDescent="0.2">
      <c r="N45">
        <v>6</v>
      </c>
      <c r="V45" s="17">
        <f t="shared" si="18"/>
        <v>0</v>
      </c>
      <c r="W45">
        <f t="shared" si="19"/>
        <v>18</v>
      </c>
      <c r="X45">
        <f t="shared" si="20"/>
        <v>36</v>
      </c>
      <c r="Y45">
        <f t="shared" si="21"/>
        <v>54</v>
      </c>
      <c r="Z45">
        <f t="shared" si="22"/>
        <v>72</v>
      </c>
      <c r="AA45">
        <f t="shared" si="23"/>
        <v>90</v>
      </c>
      <c r="AB45">
        <f t="shared" si="24"/>
        <v>108</v>
      </c>
      <c r="AC45">
        <f t="shared" si="25"/>
        <v>126</v>
      </c>
      <c r="AE45">
        <v>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s="17">
        <v>0</v>
      </c>
      <c r="AN45">
        <v>1</v>
      </c>
      <c r="AO45">
        <v>2</v>
      </c>
      <c r="AP45">
        <v>3</v>
      </c>
      <c r="AQ45">
        <v>4</v>
      </c>
      <c r="AR45">
        <v>5</v>
      </c>
      <c r="AS45">
        <v>6</v>
      </c>
      <c r="AT45">
        <v>7</v>
      </c>
    </row>
    <row r="46" spans="4:48" x14ac:dyDescent="0.2">
      <c r="N46">
        <v>7</v>
      </c>
      <c r="W46" s="17">
        <f t="shared" si="19"/>
        <v>0</v>
      </c>
      <c r="X46">
        <f t="shared" si="20"/>
        <v>18</v>
      </c>
      <c r="Y46">
        <f t="shared" si="21"/>
        <v>36</v>
      </c>
      <c r="Z46">
        <f t="shared" si="22"/>
        <v>54</v>
      </c>
      <c r="AA46">
        <f t="shared" si="23"/>
        <v>72</v>
      </c>
      <c r="AB46">
        <f t="shared" si="24"/>
        <v>90</v>
      </c>
      <c r="AC46">
        <f t="shared" si="25"/>
        <v>108</v>
      </c>
      <c r="AE46">
        <v>7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 s="17">
        <v>0</v>
      </c>
      <c r="AO46">
        <v>1</v>
      </c>
      <c r="AP46">
        <v>2</v>
      </c>
      <c r="AQ46">
        <v>3</v>
      </c>
      <c r="AR46">
        <v>4</v>
      </c>
      <c r="AS46">
        <v>5</v>
      </c>
      <c r="AT46">
        <v>6</v>
      </c>
    </row>
    <row r="47" spans="4:48" x14ac:dyDescent="0.2">
      <c r="N47">
        <v>8</v>
      </c>
      <c r="X47" s="17">
        <f t="shared" si="20"/>
        <v>0</v>
      </c>
      <c r="Y47">
        <f t="shared" si="21"/>
        <v>18</v>
      </c>
      <c r="Z47">
        <f t="shared" si="22"/>
        <v>36</v>
      </c>
      <c r="AA47">
        <f t="shared" si="23"/>
        <v>54</v>
      </c>
      <c r="AB47">
        <f t="shared" si="24"/>
        <v>72</v>
      </c>
      <c r="AC47">
        <f t="shared" si="25"/>
        <v>90</v>
      </c>
      <c r="AE47">
        <v>8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 s="17">
        <v>0</v>
      </c>
      <c r="AP47">
        <v>1</v>
      </c>
      <c r="AQ47">
        <v>2</v>
      </c>
      <c r="AR47">
        <v>3</v>
      </c>
      <c r="AS47">
        <v>4</v>
      </c>
      <c r="AT47">
        <v>5</v>
      </c>
    </row>
    <row r="48" spans="4:48" x14ac:dyDescent="0.2">
      <c r="N48">
        <v>9</v>
      </c>
      <c r="Y48" s="17">
        <f t="shared" si="21"/>
        <v>0</v>
      </c>
      <c r="Z48">
        <f t="shared" si="22"/>
        <v>18</v>
      </c>
      <c r="AA48">
        <f t="shared" si="23"/>
        <v>36</v>
      </c>
      <c r="AB48">
        <f t="shared" si="24"/>
        <v>54</v>
      </c>
      <c r="AC48">
        <f t="shared" si="25"/>
        <v>72</v>
      </c>
      <c r="AE48">
        <v>9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 s="17">
        <v>0</v>
      </c>
      <c r="AQ48">
        <v>1</v>
      </c>
      <c r="AR48">
        <v>2</v>
      </c>
      <c r="AS48">
        <v>3</v>
      </c>
      <c r="AT48">
        <v>4</v>
      </c>
    </row>
    <row r="49" spans="6:46" x14ac:dyDescent="0.2">
      <c r="F49">
        <v>3</v>
      </c>
      <c r="G49">
        <v>10</v>
      </c>
      <c r="N49">
        <v>10</v>
      </c>
      <c r="Z49" s="17">
        <f t="shared" si="22"/>
        <v>0</v>
      </c>
      <c r="AA49">
        <f t="shared" si="23"/>
        <v>18</v>
      </c>
      <c r="AB49">
        <f t="shared" si="24"/>
        <v>36</v>
      </c>
      <c r="AC49">
        <f t="shared" si="25"/>
        <v>54</v>
      </c>
      <c r="AE49">
        <v>10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s="17">
        <v>0</v>
      </c>
      <c r="AR49">
        <v>1</v>
      </c>
      <c r="AS49">
        <v>2</v>
      </c>
      <c r="AT49">
        <v>3</v>
      </c>
    </row>
    <row r="50" spans="6:46" x14ac:dyDescent="0.2">
      <c r="N50">
        <v>11</v>
      </c>
      <c r="AA50" s="17">
        <f t="shared" si="23"/>
        <v>0</v>
      </c>
      <c r="AB50">
        <f t="shared" si="24"/>
        <v>18</v>
      </c>
      <c r="AC50">
        <f t="shared" si="25"/>
        <v>36</v>
      </c>
      <c r="AE50">
        <v>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17">
        <v>0</v>
      </c>
      <c r="AS50">
        <v>1</v>
      </c>
      <c r="AT50">
        <v>2</v>
      </c>
    </row>
    <row r="51" spans="6:46" x14ac:dyDescent="0.2">
      <c r="N51">
        <v>12</v>
      </c>
      <c r="AB51" s="17">
        <f t="shared" si="24"/>
        <v>0</v>
      </c>
      <c r="AC51">
        <f t="shared" si="25"/>
        <v>18</v>
      </c>
      <c r="AE51">
        <v>12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 s="17">
        <v>0</v>
      </c>
      <c r="AT51">
        <v>1</v>
      </c>
    </row>
    <row r="52" spans="6:46" x14ac:dyDescent="0.2">
      <c r="N52">
        <v>13</v>
      </c>
      <c r="AC52" s="17">
        <f t="shared" si="25"/>
        <v>0</v>
      </c>
      <c r="AE52">
        <v>13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 s="17">
        <v>0</v>
      </c>
    </row>
    <row r="55" spans="6:46" x14ac:dyDescent="0.2">
      <c r="O55" t="s">
        <v>987</v>
      </c>
      <c r="P55">
        <v>0</v>
      </c>
      <c r="Q55">
        <v>1</v>
      </c>
      <c r="R55">
        <v>2</v>
      </c>
      <c r="S55">
        <v>3</v>
      </c>
      <c r="T55">
        <v>4</v>
      </c>
      <c r="U55">
        <v>5</v>
      </c>
      <c r="V55">
        <v>6</v>
      </c>
      <c r="W55">
        <v>7</v>
      </c>
      <c r="X55">
        <v>8</v>
      </c>
      <c r="Y55">
        <v>9</v>
      </c>
      <c r="Z55">
        <v>10</v>
      </c>
      <c r="AA55">
        <v>11</v>
      </c>
      <c r="AB55">
        <v>12</v>
      </c>
      <c r="AC55">
        <v>13</v>
      </c>
    </row>
    <row r="56" spans="6:46" x14ac:dyDescent="0.2">
      <c r="N56" t="s">
        <v>987</v>
      </c>
      <c r="O56" s="17" cm="1">
        <f t="array" ref="O56:AC70">TRANSPOSE(O38:AC52)</f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6:46" x14ac:dyDescent="0.2">
      <c r="N57">
        <v>0</v>
      </c>
      <c r="O57">
        <v>18</v>
      </c>
      <c r="P57" s="1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6:46" x14ac:dyDescent="0.2">
      <c r="N58">
        <v>1</v>
      </c>
      <c r="O58">
        <v>36</v>
      </c>
      <c r="P58">
        <v>18</v>
      </c>
      <c r="Q58" s="17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6:46" x14ac:dyDescent="0.2">
      <c r="F59">
        <v>4</v>
      </c>
      <c r="G59">
        <v>11</v>
      </c>
      <c r="N59">
        <v>2</v>
      </c>
      <c r="O59">
        <v>54</v>
      </c>
      <c r="P59">
        <v>36</v>
      </c>
      <c r="Q59">
        <v>18</v>
      </c>
      <c r="R59" s="17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6:46" x14ac:dyDescent="0.2">
      <c r="N60">
        <v>3</v>
      </c>
      <c r="O60">
        <v>72</v>
      </c>
      <c r="P60">
        <v>54</v>
      </c>
      <c r="Q60">
        <v>36</v>
      </c>
      <c r="R60">
        <v>18</v>
      </c>
      <c r="S60" s="17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6:46" x14ac:dyDescent="0.2">
      <c r="N61">
        <v>4</v>
      </c>
      <c r="O61">
        <v>90</v>
      </c>
      <c r="P61">
        <v>72</v>
      </c>
      <c r="Q61">
        <v>54</v>
      </c>
      <c r="R61">
        <v>36</v>
      </c>
      <c r="S61">
        <v>18</v>
      </c>
      <c r="T61" s="17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6:46" x14ac:dyDescent="0.2">
      <c r="N62">
        <v>5</v>
      </c>
      <c r="O62">
        <v>108</v>
      </c>
      <c r="P62">
        <v>90</v>
      </c>
      <c r="Q62">
        <v>72</v>
      </c>
      <c r="R62">
        <v>54</v>
      </c>
      <c r="S62">
        <v>36</v>
      </c>
      <c r="T62">
        <v>18</v>
      </c>
      <c r="U62" s="17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6:46" x14ac:dyDescent="0.2">
      <c r="N63">
        <v>6</v>
      </c>
      <c r="O63">
        <v>126</v>
      </c>
      <c r="P63">
        <v>108</v>
      </c>
      <c r="Q63">
        <v>90</v>
      </c>
      <c r="R63">
        <v>72</v>
      </c>
      <c r="S63">
        <v>54</v>
      </c>
      <c r="T63">
        <v>36</v>
      </c>
      <c r="U63">
        <v>18</v>
      </c>
      <c r="V63" s="17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6:46" x14ac:dyDescent="0.2">
      <c r="N64">
        <v>7</v>
      </c>
      <c r="O64">
        <v>126</v>
      </c>
      <c r="P64">
        <v>108</v>
      </c>
      <c r="Q64">
        <v>108</v>
      </c>
      <c r="R64">
        <v>90</v>
      </c>
      <c r="S64">
        <v>72</v>
      </c>
      <c r="T64">
        <v>54</v>
      </c>
      <c r="U64">
        <v>36</v>
      </c>
      <c r="V64">
        <v>18</v>
      </c>
      <c r="W64" s="17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6:31" x14ac:dyDescent="0.2">
      <c r="N65">
        <v>8</v>
      </c>
      <c r="O65">
        <v>108</v>
      </c>
      <c r="P65">
        <v>126</v>
      </c>
      <c r="Q65">
        <v>126</v>
      </c>
      <c r="R65">
        <v>108</v>
      </c>
      <c r="S65">
        <v>90</v>
      </c>
      <c r="T65">
        <v>72</v>
      </c>
      <c r="U65">
        <v>54</v>
      </c>
      <c r="V65">
        <v>36</v>
      </c>
      <c r="W65">
        <v>18</v>
      </c>
      <c r="X65" s="17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6:31" x14ac:dyDescent="0.2">
      <c r="N66">
        <v>9</v>
      </c>
      <c r="O66">
        <v>90</v>
      </c>
      <c r="P66">
        <v>108</v>
      </c>
      <c r="Q66">
        <v>126</v>
      </c>
      <c r="R66">
        <v>126</v>
      </c>
      <c r="S66">
        <v>108</v>
      </c>
      <c r="T66">
        <v>90</v>
      </c>
      <c r="U66">
        <v>72</v>
      </c>
      <c r="V66">
        <v>54</v>
      </c>
      <c r="W66">
        <v>36</v>
      </c>
      <c r="X66">
        <v>18</v>
      </c>
      <c r="Y66" s="17">
        <v>0</v>
      </c>
      <c r="Z66">
        <v>0</v>
      </c>
      <c r="AA66">
        <v>0</v>
      </c>
      <c r="AB66">
        <v>0</v>
      </c>
      <c r="AC66">
        <v>0</v>
      </c>
    </row>
    <row r="67" spans="6:31" x14ac:dyDescent="0.2">
      <c r="N67">
        <v>10</v>
      </c>
      <c r="O67">
        <v>72</v>
      </c>
      <c r="P67">
        <v>90</v>
      </c>
      <c r="Q67">
        <v>108</v>
      </c>
      <c r="R67">
        <v>126</v>
      </c>
      <c r="S67">
        <v>126</v>
      </c>
      <c r="T67">
        <v>108</v>
      </c>
      <c r="U67">
        <v>90</v>
      </c>
      <c r="V67">
        <v>72</v>
      </c>
      <c r="W67">
        <v>54</v>
      </c>
      <c r="X67">
        <v>36</v>
      </c>
      <c r="Y67">
        <v>18</v>
      </c>
      <c r="Z67" s="17">
        <v>0</v>
      </c>
      <c r="AA67">
        <v>0</v>
      </c>
      <c r="AB67">
        <v>0</v>
      </c>
      <c r="AC67">
        <v>0</v>
      </c>
    </row>
    <row r="68" spans="6:31" x14ac:dyDescent="0.2">
      <c r="N68">
        <v>11</v>
      </c>
      <c r="O68">
        <v>54</v>
      </c>
      <c r="P68">
        <v>72</v>
      </c>
      <c r="Q68">
        <v>90</v>
      </c>
      <c r="R68">
        <v>108</v>
      </c>
      <c r="S68">
        <v>126</v>
      </c>
      <c r="T68">
        <v>126</v>
      </c>
      <c r="U68">
        <v>108</v>
      </c>
      <c r="V68">
        <v>90</v>
      </c>
      <c r="W68">
        <v>72</v>
      </c>
      <c r="X68">
        <v>54</v>
      </c>
      <c r="Y68">
        <v>36</v>
      </c>
      <c r="Z68">
        <v>18</v>
      </c>
      <c r="AA68" s="17">
        <v>0</v>
      </c>
      <c r="AB68">
        <v>0</v>
      </c>
      <c r="AC68">
        <v>0</v>
      </c>
    </row>
    <row r="69" spans="6:31" x14ac:dyDescent="0.2">
      <c r="F69">
        <v>5</v>
      </c>
      <c r="G69">
        <v>12</v>
      </c>
      <c r="N69">
        <v>12</v>
      </c>
      <c r="O69">
        <v>36</v>
      </c>
      <c r="P69">
        <v>54</v>
      </c>
      <c r="Q69">
        <v>72</v>
      </c>
      <c r="R69">
        <v>90</v>
      </c>
      <c r="S69">
        <v>108</v>
      </c>
      <c r="T69">
        <v>126</v>
      </c>
      <c r="U69">
        <v>126</v>
      </c>
      <c r="V69">
        <v>108</v>
      </c>
      <c r="W69">
        <v>90</v>
      </c>
      <c r="X69">
        <v>72</v>
      </c>
      <c r="Y69">
        <v>54</v>
      </c>
      <c r="Z69">
        <v>36</v>
      </c>
      <c r="AA69">
        <v>18</v>
      </c>
      <c r="AB69" s="17">
        <v>0</v>
      </c>
      <c r="AC69">
        <v>0</v>
      </c>
    </row>
    <row r="70" spans="6:31" x14ac:dyDescent="0.2">
      <c r="N70">
        <v>13</v>
      </c>
      <c r="O70">
        <v>18</v>
      </c>
      <c r="P70">
        <v>36</v>
      </c>
      <c r="Q70">
        <v>54</v>
      </c>
      <c r="R70">
        <v>72</v>
      </c>
      <c r="S70">
        <v>90</v>
      </c>
      <c r="T70">
        <v>108</v>
      </c>
      <c r="U70">
        <v>126</v>
      </c>
      <c r="V70">
        <v>126</v>
      </c>
      <c r="W70">
        <v>108</v>
      </c>
      <c r="X70">
        <v>90</v>
      </c>
      <c r="Y70">
        <v>72</v>
      </c>
      <c r="Z70">
        <v>54</v>
      </c>
      <c r="AA70">
        <v>36</v>
      </c>
      <c r="AB70">
        <v>18</v>
      </c>
      <c r="AC70" s="17">
        <v>0</v>
      </c>
    </row>
    <row r="73" spans="6:31" x14ac:dyDescent="0.2">
      <c r="O73" t="s">
        <v>987</v>
      </c>
      <c r="P73">
        <v>0</v>
      </c>
      <c r="Q73">
        <v>1</v>
      </c>
      <c r="R73">
        <v>2</v>
      </c>
      <c r="S73">
        <v>3</v>
      </c>
      <c r="T73">
        <v>4</v>
      </c>
      <c r="U73">
        <v>5</v>
      </c>
      <c r="V73">
        <v>6</v>
      </c>
      <c r="W73">
        <v>7</v>
      </c>
      <c r="X73">
        <v>8</v>
      </c>
      <c r="Y73">
        <v>9</v>
      </c>
      <c r="Z73">
        <v>10</v>
      </c>
      <c r="AA73">
        <v>11</v>
      </c>
      <c r="AB73">
        <v>12</v>
      </c>
      <c r="AC73">
        <v>13</v>
      </c>
    </row>
    <row r="74" spans="6:31" x14ac:dyDescent="0.2">
      <c r="N74" t="s">
        <v>987</v>
      </c>
      <c r="O74" s="17">
        <f>O56+O38</f>
        <v>0</v>
      </c>
      <c r="P74">
        <f t="shared" ref="P74:AC74" si="26">P56+P38</f>
        <v>18</v>
      </c>
      <c r="Q74">
        <f t="shared" si="26"/>
        <v>36</v>
      </c>
      <c r="R74">
        <f t="shared" si="26"/>
        <v>54</v>
      </c>
      <c r="S74">
        <f t="shared" si="26"/>
        <v>72</v>
      </c>
      <c r="T74">
        <f t="shared" si="26"/>
        <v>90</v>
      </c>
      <c r="U74">
        <f t="shared" si="26"/>
        <v>108</v>
      </c>
      <c r="V74">
        <f t="shared" si="26"/>
        <v>126</v>
      </c>
      <c r="W74">
        <f t="shared" si="26"/>
        <v>126</v>
      </c>
      <c r="X74">
        <f t="shared" si="26"/>
        <v>108</v>
      </c>
      <c r="Y74">
        <f t="shared" si="26"/>
        <v>90</v>
      </c>
      <c r="Z74">
        <f t="shared" si="26"/>
        <v>72</v>
      </c>
      <c r="AA74">
        <f t="shared" si="26"/>
        <v>54</v>
      </c>
      <c r="AB74">
        <f t="shared" si="26"/>
        <v>36</v>
      </c>
      <c r="AC74">
        <f t="shared" si="26"/>
        <v>18</v>
      </c>
    </row>
    <row r="75" spans="6:31" x14ac:dyDescent="0.2">
      <c r="N75">
        <v>0</v>
      </c>
      <c r="O75">
        <f t="shared" ref="O75:AC75" si="27">O57+O39</f>
        <v>18</v>
      </c>
      <c r="P75" s="17">
        <f t="shared" si="27"/>
        <v>0</v>
      </c>
      <c r="Q75">
        <f t="shared" si="27"/>
        <v>18</v>
      </c>
      <c r="R75">
        <f t="shared" si="27"/>
        <v>36</v>
      </c>
      <c r="S75">
        <f t="shared" si="27"/>
        <v>54</v>
      </c>
      <c r="T75">
        <f t="shared" si="27"/>
        <v>72</v>
      </c>
      <c r="U75">
        <f t="shared" si="27"/>
        <v>90</v>
      </c>
      <c r="V75">
        <f t="shared" si="27"/>
        <v>108</v>
      </c>
      <c r="W75">
        <f t="shared" si="27"/>
        <v>108</v>
      </c>
      <c r="X75">
        <f t="shared" si="27"/>
        <v>126</v>
      </c>
      <c r="Y75">
        <f t="shared" si="27"/>
        <v>108</v>
      </c>
      <c r="Z75">
        <f t="shared" si="27"/>
        <v>90</v>
      </c>
      <c r="AA75">
        <f t="shared" si="27"/>
        <v>72</v>
      </c>
      <c r="AB75">
        <f t="shared" si="27"/>
        <v>54</v>
      </c>
      <c r="AC75">
        <f t="shared" si="27"/>
        <v>36</v>
      </c>
      <c r="AE75" t="str">
        <f t="shared" ref="AE75:AE88" si="28">_xlfn.CONCAT(" {",_xlfn.TEXTJOIN(", ",FALSE,O75:AC75),"}, // ",N75)</f>
        <v xml:space="preserve"> {18, 0, 18, 36, 54, 72, 90, 108, 108, 126, 108, 90, 72, 54, 36}, // 0</v>
      </c>
    </row>
    <row r="76" spans="6:31" x14ac:dyDescent="0.2">
      <c r="N76">
        <v>1</v>
      </c>
      <c r="O76">
        <f t="shared" ref="O76:AC76" si="29">O58+O40</f>
        <v>36</v>
      </c>
      <c r="P76">
        <f t="shared" si="29"/>
        <v>18</v>
      </c>
      <c r="Q76" s="17">
        <f t="shared" si="29"/>
        <v>0</v>
      </c>
      <c r="R76">
        <f t="shared" si="29"/>
        <v>18</v>
      </c>
      <c r="S76">
        <f t="shared" si="29"/>
        <v>36</v>
      </c>
      <c r="T76">
        <f t="shared" si="29"/>
        <v>54</v>
      </c>
      <c r="U76">
        <f t="shared" si="29"/>
        <v>72</v>
      </c>
      <c r="V76">
        <f t="shared" si="29"/>
        <v>90</v>
      </c>
      <c r="W76">
        <f t="shared" si="29"/>
        <v>108</v>
      </c>
      <c r="X76">
        <f t="shared" si="29"/>
        <v>126</v>
      </c>
      <c r="Y76">
        <f t="shared" si="29"/>
        <v>126</v>
      </c>
      <c r="Z76">
        <f t="shared" si="29"/>
        <v>108</v>
      </c>
      <c r="AA76">
        <f t="shared" si="29"/>
        <v>90</v>
      </c>
      <c r="AB76">
        <f t="shared" si="29"/>
        <v>72</v>
      </c>
      <c r="AC76">
        <f t="shared" si="29"/>
        <v>54</v>
      </c>
      <c r="AE76" t="str">
        <f t="shared" si="28"/>
        <v xml:space="preserve"> {36, 18, 0, 18, 36, 54, 72, 90, 108, 126, 126, 108, 90, 72, 54}, // 1</v>
      </c>
    </row>
    <row r="77" spans="6:31" x14ac:dyDescent="0.2">
      <c r="N77">
        <v>2</v>
      </c>
      <c r="O77">
        <f t="shared" ref="O77:AC77" si="30">O59+O41</f>
        <v>54</v>
      </c>
      <c r="P77">
        <f t="shared" si="30"/>
        <v>36</v>
      </c>
      <c r="Q77">
        <f t="shared" si="30"/>
        <v>18</v>
      </c>
      <c r="R77" s="17">
        <f t="shared" si="30"/>
        <v>0</v>
      </c>
      <c r="S77">
        <f t="shared" si="30"/>
        <v>18</v>
      </c>
      <c r="T77">
        <f t="shared" si="30"/>
        <v>36</v>
      </c>
      <c r="U77">
        <f t="shared" si="30"/>
        <v>54</v>
      </c>
      <c r="V77">
        <f t="shared" si="30"/>
        <v>72</v>
      </c>
      <c r="W77">
        <f t="shared" si="30"/>
        <v>90</v>
      </c>
      <c r="X77">
        <f t="shared" si="30"/>
        <v>108</v>
      </c>
      <c r="Y77">
        <f t="shared" si="30"/>
        <v>126</v>
      </c>
      <c r="Z77">
        <f t="shared" si="30"/>
        <v>126</v>
      </c>
      <c r="AA77">
        <f t="shared" si="30"/>
        <v>108</v>
      </c>
      <c r="AB77">
        <f t="shared" si="30"/>
        <v>90</v>
      </c>
      <c r="AC77">
        <f t="shared" si="30"/>
        <v>72</v>
      </c>
      <c r="AE77" t="str">
        <f t="shared" si="28"/>
        <v xml:space="preserve"> {54, 36, 18, 0, 18, 36, 54, 72, 90, 108, 126, 126, 108, 90, 72}, // 2</v>
      </c>
    </row>
    <row r="78" spans="6:31" x14ac:dyDescent="0.2">
      <c r="N78">
        <v>3</v>
      </c>
      <c r="O78">
        <f t="shared" ref="O78:AC78" si="31">O60+O42</f>
        <v>72</v>
      </c>
      <c r="P78">
        <f t="shared" si="31"/>
        <v>54</v>
      </c>
      <c r="Q78">
        <f t="shared" si="31"/>
        <v>36</v>
      </c>
      <c r="R78">
        <f t="shared" si="31"/>
        <v>18</v>
      </c>
      <c r="S78" s="17">
        <f t="shared" si="31"/>
        <v>0</v>
      </c>
      <c r="T78">
        <f t="shared" si="31"/>
        <v>18</v>
      </c>
      <c r="U78">
        <f t="shared" si="31"/>
        <v>36</v>
      </c>
      <c r="V78">
        <f t="shared" si="31"/>
        <v>54</v>
      </c>
      <c r="W78">
        <f t="shared" si="31"/>
        <v>72</v>
      </c>
      <c r="X78">
        <f t="shared" si="31"/>
        <v>90</v>
      </c>
      <c r="Y78">
        <f t="shared" si="31"/>
        <v>108</v>
      </c>
      <c r="Z78">
        <f t="shared" si="31"/>
        <v>126</v>
      </c>
      <c r="AA78">
        <f t="shared" si="31"/>
        <v>126</v>
      </c>
      <c r="AB78">
        <f t="shared" si="31"/>
        <v>108</v>
      </c>
      <c r="AC78">
        <f t="shared" si="31"/>
        <v>90</v>
      </c>
      <c r="AE78" t="str">
        <f t="shared" si="28"/>
        <v xml:space="preserve"> {72, 54, 36, 18, 0, 18, 36, 54, 72, 90, 108, 126, 126, 108, 90}, // 3</v>
      </c>
    </row>
    <row r="79" spans="6:31" x14ac:dyDescent="0.2">
      <c r="F79">
        <v>6</v>
      </c>
      <c r="G79">
        <v>13</v>
      </c>
      <c r="N79">
        <v>4</v>
      </c>
      <c r="O79">
        <f t="shared" ref="O79:AC79" si="32">O61+O43</f>
        <v>90</v>
      </c>
      <c r="P79">
        <f t="shared" si="32"/>
        <v>72</v>
      </c>
      <c r="Q79">
        <f t="shared" si="32"/>
        <v>54</v>
      </c>
      <c r="R79">
        <f t="shared" si="32"/>
        <v>36</v>
      </c>
      <c r="S79">
        <f t="shared" si="32"/>
        <v>18</v>
      </c>
      <c r="T79" s="17">
        <f t="shared" si="32"/>
        <v>0</v>
      </c>
      <c r="U79">
        <f t="shared" si="32"/>
        <v>18</v>
      </c>
      <c r="V79">
        <f t="shared" si="32"/>
        <v>36</v>
      </c>
      <c r="W79">
        <f t="shared" si="32"/>
        <v>54</v>
      </c>
      <c r="X79">
        <f t="shared" si="32"/>
        <v>72</v>
      </c>
      <c r="Y79">
        <f t="shared" si="32"/>
        <v>90</v>
      </c>
      <c r="Z79">
        <f t="shared" si="32"/>
        <v>108</v>
      </c>
      <c r="AA79">
        <f t="shared" si="32"/>
        <v>126</v>
      </c>
      <c r="AB79">
        <f t="shared" si="32"/>
        <v>126</v>
      </c>
      <c r="AC79">
        <f t="shared" si="32"/>
        <v>108</v>
      </c>
      <c r="AE79" t="str">
        <f t="shared" si="28"/>
        <v xml:space="preserve"> {90, 72, 54, 36, 18, 0, 18, 36, 54, 72, 90, 108, 126, 126, 108}, // 4</v>
      </c>
    </row>
    <row r="80" spans="6:31" x14ac:dyDescent="0.2">
      <c r="N80">
        <v>5</v>
      </c>
      <c r="O80">
        <f t="shared" ref="O80:AC80" si="33">O62+O44</f>
        <v>108</v>
      </c>
      <c r="P80">
        <f t="shared" si="33"/>
        <v>90</v>
      </c>
      <c r="Q80">
        <f t="shared" si="33"/>
        <v>72</v>
      </c>
      <c r="R80">
        <f t="shared" si="33"/>
        <v>54</v>
      </c>
      <c r="S80">
        <f t="shared" si="33"/>
        <v>36</v>
      </c>
      <c r="T80">
        <f t="shared" si="33"/>
        <v>18</v>
      </c>
      <c r="U80" s="17">
        <f t="shared" si="33"/>
        <v>0</v>
      </c>
      <c r="V80">
        <f t="shared" si="33"/>
        <v>18</v>
      </c>
      <c r="W80">
        <f t="shared" si="33"/>
        <v>36</v>
      </c>
      <c r="X80">
        <f t="shared" si="33"/>
        <v>54</v>
      </c>
      <c r="Y80">
        <f t="shared" si="33"/>
        <v>72</v>
      </c>
      <c r="Z80">
        <f t="shared" si="33"/>
        <v>90</v>
      </c>
      <c r="AA80">
        <f t="shared" si="33"/>
        <v>108</v>
      </c>
      <c r="AB80">
        <f t="shared" si="33"/>
        <v>126</v>
      </c>
      <c r="AC80">
        <f t="shared" si="33"/>
        <v>126</v>
      </c>
      <c r="AE80" t="str">
        <f t="shared" si="28"/>
        <v xml:space="preserve"> {108, 90, 72, 54, 36, 18, 0, 18, 36, 54, 72, 90, 108, 126, 126}, // 5</v>
      </c>
    </row>
    <row r="81" spans="14:31" x14ac:dyDescent="0.2">
      <c r="N81">
        <v>6</v>
      </c>
      <c r="O81">
        <f t="shared" ref="O81:AC81" si="34">O63+O45</f>
        <v>126</v>
      </c>
      <c r="P81">
        <f t="shared" si="34"/>
        <v>108</v>
      </c>
      <c r="Q81">
        <f t="shared" si="34"/>
        <v>90</v>
      </c>
      <c r="R81">
        <f t="shared" si="34"/>
        <v>72</v>
      </c>
      <c r="S81">
        <f t="shared" si="34"/>
        <v>54</v>
      </c>
      <c r="T81">
        <f t="shared" si="34"/>
        <v>36</v>
      </c>
      <c r="U81">
        <f t="shared" si="34"/>
        <v>18</v>
      </c>
      <c r="V81" s="17">
        <f t="shared" si="34"/>
        <v>0</v>
      </c>
      <c r="W81">
        <f t="shared" si="34"/>
        <v>18</v>
      </c>
      <c r="X81">
        <f t="shared" si="34"/>
        <v>36</v>
      </c>
      <c r="Y81">
        <f t="shared" si="34"/>
        <v>54</v>
      </c>
      <c r="Z81">
        <f t="shared" si="34"/>
        <v>72</v>
      </c>
      <c r="AA81">
        <f t="shared" si="34"/>
        <v>90</v>
      </c>
      <c r="AB81">
        <f t="shared" si="34"/>
        <v>108</v>
      </c>
      <c r="AC81">
        <f t="shared" si="34"/>
        <v>126</v>
      </c>
      <c r="AE81" t="str">
        <f t="shared" si="28"/>
        <v xml:space="preserve"> {126, 108, 90, 72, 54, 36, 18, 0, 18, 36, 54, 72, 90, 108, 126}, // 6</v>
      </c>
    </row>
    <row r="82" spans="14:31" x14ac:dyDescent="0.2">
      <c r="N82">
        <v>7</v>
      </c>
      <c r="O82">
        <f t="shared" ref="O82:AC82" si="35">O64+O46</f>
        <v>126</v>
      </c>
      <c r="P82">
        <f t="shared" si="35"/>
        <v>108</v>
      </c>
      <c r="Q82">
        <f t="shared" si="35"/>
        <v>108</v>
      </c>
      <c r="R82">
        <f t="shared" si="35"/>
        <v>90</v>
      </c>
      <c r="S82">
        <f t="shared" si="35"/>
        <v>72</v>
      </c>
      <c r="T82">
        <f t="shared" si="35"/>
        <v>54</v>
      </c>
      <c r="U82">
        <f t="shared" si="35"/>
        <v>36</v>
      </c>
      <c r="V82">
        <f t="shared" si="35"/>
        <v>18</v>
      </c>
      <c r="W82" s="17">
        <f t="shared" si="35"/>
        <v>0</v>
      </c>
      <c r="X82">
        <f t="shared" si="35"/>
        <v>18</v>
      </c>
      <c r="Y82">
        <f t="shared" si="35"/>
        <v>36</v>
      </c>
      <c r="Z82">
        <f t="shared" si="35"/>
        <v>54</v>
      </c>
      <c r="AA82">
        <f t="shared" si="35"/>
        <v>72</v>
      </c>
      <c r="AB82">
        <f t="shared" si="35"/>
        <v>90</v>
      </c>
      <c r="AC82">
        <f t="shared" si="35"/>
        <v>108</v>
      </c>
      <c r="AE82" t="str">
        <f t="shared" si="28"/>
        <v xml:space="preserve"> {126, 108, 108, 90, 72, 54, 36, 18, 0, 18, 36, 54, 72, 90, 108}, // 7</v>
      </c>
    </row>
    <row r="83" spans="14:31" x14ac:dyDescent="0.2">
      <c r="N83">
        <v>8</v>
      </c>
      <c r="O83">
        <f t="shared" ref="O83:AC83" si="36">O65+O47</f>
        <v>108</v>
      </c>
      <c r="P83">
        <f t="shared" si="36"/>
        <v>126</v>
      </c>
      <c r="Q83">
        <f t="shared" si="36"/>
        <v>126</v>
      </c>
      <c r="R83">
        <f t="shared" si="36"/>
        <v>108</v>
      </c>
      <c r="S83">
        <f t="shared" si="36"/>
        <v>90</v>
      </c>
      <c r="T83">
        <f t="shared" si="36"/>
        <v>72</v>
      </c>
      <c r="U83">
        <f t="shared" si="36"/>
        <v>54</v>
      </c>
      <c r="V83">
        <f t="shared" si="36"/>
        <v>36</v>
      </c>
      <c r="W83">
        <f t="shared" si="36"/>
        <v>18</v>
      </c>
      <c r="X83" s="17">
        <f t="shared" si="36"/>
        <v>0</v>
      </c>
      <c r="Y83">
        <f t="shared" si="36"/>
        <v>18</v>
      </c>
      <c r="Z83">
        <f t="shared" si="36"/>
        <v>36</v>
      </c>
      <c r="AA83">
        <f t="shared" si="36"/>
        <v>54</v>
      </c>
      <c r="AB83">
        <f t="shared" si="36"/>
        <v>72</v>
      </c>
      <c r="AC83">
        <f t="shared" si="36"/>
        <v>90</v>
      </c>
      <c r="AE83" t="str">
        <f t="shared" si="28"/>
        <v xml:space="preserve"> {108, 126, 126, 108, 90, 72, 54, 36, 18, 0, 18, 36, 54, 72, 90}, // 8</v>
      </c>
    </row>
    <row r="84" spans="14:31" x14ac:dyDescent="0.2">
      <c r="N84">
        <v>9</v>
      </c>
      <c r="O84">
        <f t="shared" ref="O84:AC84" si="37">O66+O48</f>
        <v>90</v>
      </c>
      <c r="P84">
        <f t="shared" si="37"/>
        <v>108</v>
      </c>
      <c r="Q84">
        <f t="shared" si="37"/>
        <v>126</v>
      </c>
      <c r="R84">
        <f t="shared" si="37"/>
        <v>126</v>
      </c>
      <c r="S84">
        <f t="shared" si="37"/>
        <v>108</v>
      </c>
      <c r="T84">
        <f t="shared" si="37"/>
        <v>90</v>
      </c>
      <c r="U84">
        <f t="shared" si="37"/>
        <v>72</v>
      </c>
      <c r="V84">
        <f t="shared" si="37"/>
        <v>54</v>
      </c>
      <c r="W84">
        <f t="shared" si="37"/>
        <v>36</v>
      </c>
      <c r="X84">
        <f t="shared" si="37"/>
        <v>18</v>
      </c>
      <c r="Y84" s="17">
        <f t="shared" si="37"/>
        <v>0</v>
      </c>
      <c r="Z84">
        <f t="shared" si="37"/>
        <v>18</v>
      </c>
      <c r="AA84">
        <f t="shared" si="37"/>
        <v>36</v>
      </c>
      <c r="AB84">
        <f t="shared" si="37"/>
        <v>54</v>
      </c>
      <c r="AC84">
        <f t="shared" si="37"/>
        <v>72</v>
      </c>
      <c r="AE84" t="str">
        <f t="shared" si="28"/>
        <v xml:space="preserve"> {90, 108, 126, 126, 108, 90, 72, 54, 36, 18, 0, 18, 36, 54, 72}, // 9</v>
      </c>
    </row>
    <row r="85" spans="14:31" x14ac:dyDescent="0.2">
      <c r="N85">
        <v>10</v>
      </c>
      <c r="O85">
        <f t="shared" ref="O85:AC85" si="38">O67+O49</f>
        <v>72</v>
      </c>
      <c r="P85">
        <f t="shared" si="38"/>
        <v>90</v>
      </c>
      <c r="Q85">
        <f t="shared" si="38"/>
        <v>108</v>
      </c>
      <c r="R85">
        <f t="shared" si="38"/>
        <v>126</v>
      </c>
      <c r="S85">
        <f t="shared" si="38"/>
        <v>126</v>
      </c>
      <c r="T85">
        <f t="shared" si="38"/>
        <v>108</v>
      </c>
      <c r="U85">
        <f t="shared" si="38"/>
        <v>90</v>
      </c>
      <c r="V85">
        <f t="shared" si="38"/>
        <v>72</v>
      </c>
      <c r="W85">
        <f t="shared" si="38"/>
        <v>54</v>
      </c>
      <c r="X85">
        <f t="shared" si="38"/>
        <v>36</v>
      </c>
      <c r="Y85">
        <f t="shared" si="38"/>
        <v>18</v>
      </c>
      <c r="Z85" s="17">
        <f t="shared" si="38"/>
        <v>0</v>
      </c>
      <c r="AA85">
        <f t="shared" si="38"/>
        <v>18</v>
      </c>
      <c r="AB85">
        <f t="shared" si="38"/>
        <v>36</v>
      </c>
      <c r="AC85">
        <f t="shared" si="38"/>
        <v>54</v>
      </c>
      <c r="AE85" t="str">
        <f t="shared" si="28"/>
        <v xml:space="preserve"> {72, 90, 108, 126, 126, 108, 90, 72, 54, 36, 18, 0, 18, 36, 54}, // 10</v>
      </c>
    </row>
    <row r="86" spans="14:31" x14ac:dyDescent="0.2">
      <c r="N86">
        <v>11</v>
      </c>
      <c r="O86">
        <f t="shared" ref="O86:AC86" si="39">O68+O50</f>
        <v>54</v>
      </c>
      <c r="P86">
        <f t="shared" si="39"/>
        <v>72</v>
      </c>
      <c r="Q86">
        <f t="shared" si="39"/>
        <v>90</v>
      </c>
      <c r="R86">
        <f t="shared" si="39"/>
        <v>108</v>
      </c>
      <c r="S86">
        <f t="shared" si="39"/>
        <v>126</v>
      </c>
      <c r="T86">
        <f t="shared" si="39"/>
        <v>126</v>
      </c>
      <c r="U86">
        <f t="shared" si="39"/>
        <v>108</v>
      </c>
      <c r="V86">
        <f t="shared" si="39"/>
        <v>90</v>
      </c>
      <c r="W86">
        <f t="shared" si="39"/>
        <v>72</v>
      </c>
      <c r="X86">
        <f t="shared" si="39"/>
        <v>54</v>
      </c>
      <c r="Y86">
        <f t="shared" si="39"/>
        <v>36</v>
      </c>
      <c r="Z86">
        <f t="shared" si="39"/>
        <v>18</v>
      </c>
      <c r="AA86" s="17">
        <f t="shared" si="39"/>
        <v>0</v>
      </c>
      <c r="AB86">
        <f t="shared" si="39"/>
        <v>18</v>
      </c>
      <c r="AC86">
        <f t="shared" si="39"/>
        <v>36</v>
      </c>
      <c r="AE86" t="str">
        <f t="shared" si="28"/>
        <v xml:space="preserve"> {54, 72, 90, 108, 126, 126, 108, 90, 72, 54, 36, 18, 0, 18, 36}, // 11</v>
      </c>
    </row>
    <row r="87" spans="14:31" x14ac:dyDescent="0.2">
      <c r="N87">
        <v>12</v>
      </c>
      <c r="O87">
        <f t="shared" ref="O87:AC87" si="40">O69+O51</f>
        <v>36</v>
      </c>
      <c r="P87">
        <f t="shared" si="40"/>
        <v>54</v>
      </c>
      <c r="Q87">
        <f t="shared" si="40"/>
        <v>72</v>
      </c>
      <c r="R87">
        <f t="shared" si="40"/>
        <v>90</v>
      </c>
      <c r="S87">
        <f t="shared" si="40"/>
        <v>108</v>
      </c>
      <c r="T87">
        <f t="shared" si="40"/>
        <v>126</v>
      </c>
      <c r="U87">
        <f t="shared" si="40"/>
        <v>126</v>
      </c>
      <c r="V87">
        <f t="shared" si="40"/>
        <v>108</v>
      </c>
      <c r="W87">
        <f t="shared" si="40"/>
        <v>90</v>
      </c>
      <c r="X87">
        <f t="shared" si="40"/>
        <v>72</v>
      </c>
      <c r="Y87">
        <f t="shared" si="40"/>
        <v>54</v>
      </c>
      <c r="Z87">
        <f t="shared" si="40"/>
        <v>36</v>
      </c>
      <c r="AA87">
        <f t="shared" si="40"/>
        <v>18</v>
      </c>
      <c r="AB87" s="17">
        <f t="shared" si="40"/>
        <v>0</v>
      </c>
      <c r="AC87">
        <f t="shared" si="40"/>
        <v>18</v>
      </c>
      <c r="AE87" t="str">
        <f t="shared" si="28"/>
        <v xml:space="preserve"> {36, 54, 72, 90, 108, 126, 126, 108, 90, 72, 54, 36, 18, 0, 18}, // 12</v>
      </c>
    </row>
    <row r="88" spans="14:31" x14ac:dyDescent="0.2">
      <c r="N88">
        <v>13</v>
      </c>
      <c r="O88">
        <f t="shared" ref="O88:AC88" si="41">O70+O52</f>
        <v>18</v>
      </c>
      <c r="P88">
        <f t="shared" si="41"/>
        <v>36</v>
      </c>
      <c r="Q88">
        <f t="shared" si="41"/>
        <v>54</v>
      </c>
      <c r="R88">
        <f t="shared" si="41"/>
        <v>72</v>
      </c>
      <c r="S88">
        <f t="shared" si="41"/>
        <v>90</v>
      </c>
      <c r="T88">
        <f t="shared" si="41"/>
        <v>108</v>
      </c>
      <c r="U88">
        <f t="shared" si="41"/>
        <v>126</v>
      </c>
      <c r="V88">
        <f t="shared" si="41"/>
        <v>126</v>
      </c>
      <c r="W88">
        <f t="shared" si="41"/>
        <v>108</v>
      </c>
      <c r="X88">
        <f t="shared" si="41"/>
        <v>90</v>
      </c>
      <c r="Y88">
        <f t="shared" si="41"/>
        <v>72</v>
      </c>
      <c r="Z88">
        <f t="shared" si="41"/>
        <v>54</v>
      </c>
      <c r="AA88">
        <f t="shared" si="41"/>
        <v>36</v>
      </c>
      <c r="AB88">
        <f t="shared" si="41"/>
        <v>18</v>
      </c>
      <c r="AC88" s="17">
        <f t="shared" si="41"/>
        <v>0</v>
      </c>
      <c r="AE88" t="str">
        <f t="shared" si="28"/>
        <v xml:space="preserve"> {18, 36, 54, 72, 90, 108, 126, 126, 108, 90, 72, 54, 36, 18, 0}, // 13</v>
      </c>
    </row>
    <row r="98" spans="1:11" x14ac:dyDescent="0.2">
      <c r="B98" t="s">
        <v>1023</v>
      </c>
    </row>
    <row r="100" spans="1:11" x14ac:dyDescent="0.2">
      <c r="C100" t="s">
        <v>985</v>
      </c>
      <c r="D100" t="s">
        <v>986</v>
      </c>
      <c r="G100" t="s">
        <v>985</v>
      </c>
      <c r="H100" t="s">
        <v>986</v>
      </c>
    </row>
    <row r="101" spans="1:11" x14ac:dyDescent="0.2">
      <c r="A101">
        <v>0</v>
      </c>
      <c r="C101" s="20">
        <v>28</v>
      </c>
      <c r="D101" s="20">
        <v>95</v>
      </c>
      <c r="G101">
        <f t="shared" ref="G101:G114" si="42">(MOD(C101,256)*256) + INT(C101/256)</f>
        <v>7168</v>
      </c>
      <c r="H101">
        <f t="shared" ref="H101:H108" si="43">(MOD(D101,256)*256) + INT(D101/256)</f>
        <v>24320</v>
      </c>
      <c r="K101" t="str">
        <f>_xlfn.CONCAT(G101,", ",H101,", // Port ",A101)</f>
        <v>7168, 24320, // Port 0</v>
      </c>
    </row>
    <row r="102" spans="1:11" x14ac:dyDescent="0.2">
      <c r="A102">
        <v>1</v>
      </c>
      <c r="C102" s="20">
        <v>29</v>
      </c>
      <c r="D102" s="20">
        <v>164</v>
      </c>
      <c r="G102">
        <f t="shared" si="42"/>
        <v>7424</v>
      </c>
      <c r="H102">
        <f t="shared" si="43"/>
        <v>41984</v>
      </c>
      <c r="K102" t="str">
        <f t="shared" ref="K102:K114" si="44">_xlfn.CONCAT(G102,", ",H102,", // Port ",A102)</f>
        <v>7424, 41984, // Port 1</v>
      </c>
    </row>
    <row r="103" spans="1:11" x14ac:dyDescent="0.2">
      <c r="A103">
        <v>2</v>
      </c>
      <c r="C103" s="20">
        <v>60</v>
      </c>
      <c r="D103" s="20">
        <v>238</v>
      </c>
      <c r="G103">
        <f t="shared" si="42"/>
        <v>15360</v>
      </c>
      <c r="H103">
        <f t="shared" si="43"/>
        <v>60928</v>
      </c>
      <c r="K103" t="str">
        <f t="shared" si="44"/>
        <v>15360, 60928, // Port 2</v>
      </c>
    </row>
    <row r="104" spans="1:11" x14ac:dyDescent="0.2">
      <c r="A104">
        <v>3</v>
      </c>
      <c r="C104" s="20">
        <v>190</v>
      </c>
      <c r="D104" s="20">
        <v>208</v>
      </c>
      <c r="G104">
        <f t="shared" si="42"/>
        <v>48640</v>
      </c>
      <c r="H104">
        <f t="shared" si="43"/>
        <v>53248</v>
      </c>
      <c r="K104" t="str">
        <f t="shared" si="44"/>
        <v>48640, 53248, // Port 3</v>
      </c>
    </row>
    <row r="105" spans="1:11" x14ac:dyDescent="0.2">
      <c r="A105">
        <v>4</v>
      </c>
      <c r="C105" s="20">
        <v>67</v>
      </c>
      <c r="D105" s="20">
        <v>334</v>
      </c>
      <c r="G105">
        <f t="shared" si="42"/>
        <v>17152</v>
      </c>
      <c r="H105">
        <f t="shared" si="43"/>
        <v>19969</v>
      </c>
      <c r="K105" t="str">
        <f t="shared" si="44"/>
        <v>17152, 19969, // Port 4</v>
      </c>
    </row>
    <row r="106" spans="1:11" x14ac:dyDescent="0.2">
      <c r="A106">
        <v>5</v>
      </c>
      <c r="C106" s="20">
        <v>156</v>
      </c>
      <c r="D106" s="20">
        <v>265</v>
      </c>
      <c r="G106">
        <f t="shared" si="42"/>
        <v>39936</v>
      </c>
      <c r="H106">
        <f t="shared" si="43"/>
        <v>2305</v>
      </c>
      <c r="K106" t="str">
        <f t="shared" si="44"/>
        <v>39936, 2305, // Port 5</v>
      </c>
    </row>
    <row r="107" spans="1:11" x14ac:dyDescent="0.2">
      <c r="A107">
        <v>6</v>
      </c>
      <c r="C107" s="20">
        <v>179</v>
      </c>
      <c r="D107" s="20">
        <v>360</v>
      </c>
      <c r="G107">
        <f t="shared" si="42"/>
        <v>45824</v>
      </c>
      <c r="H107">
        <f t="shared" si="43"/>
        <v>26625</v>
      </c>
      <c r="K107" t="str">
        <f t="shared" si="44"/>
        <v>45824, 26625, // Port 6</v>
      </c>
    </row>
    <row r="108" spans="1:11" x14ac:dyDescent="0.2">
      <c r="A108">
        <v>7</v>
      </c>
      <c r="C108" s="20">
        <v>256</v>
      </c>
      <c r="D108" s="20">
        <v>276</v>
      </c>
      <c r="G108">
        <f t="shared" si="42"/>
        <v>1</v>
      </c>
      <c r="H108">
        <f t="shared" si="43"/>
        <v>5121</v>
      </c>
      <c r="K108" t="str">
        <f t="shared" si="44"/>
        <v>1, 5121, // Port 7</v>
      </c>
    </row>
    <row r="109" spans="1:11" x14ac:dyDescent="0.2">
      <c r="A109">
        <v>8</v>
      </c>
      <c r="C109" s="20">
        <v>301</v>
      </c>
      <c r="D109" s="20">
        <v>337</v>
      </c>
      <c r="G109">
        <f t="shared" si="42"/>
        <v>11521</v>
      </c>
      <c r="H109">
        <f>(MOD(D109,256)*256) + INT(D109/256)</f>
        <v>20737</v>
      </c>
      <c r="K109" t="str">
        <f t="shared" si="44"/>
        <v>11521, 20737, // Port 8</v>
      </c>
    </row>
    <row r="110" spans="1:11" x14ac:dyDescent="0.2">
      <c r="A110">
        <v>9</v>
      </c>
      <c r="C110" s="20">
        <v>327</v>
      </c>
      <c r="D110" s="20">
        <v>198</v>
      </c>
      <c r="G110">
        <f t="shared" si="42"/>
        <v>18177</v>
      </c>
      <c r="H110">
        <f t="shared" ref="H110:H114" si="45">(MOD(D110,256)*256) + INT(D110/256)</f>
        <v>50688</v>
      </c>
      <c r="K110" t="str">
        <f t="shared" si="44"/>
        <v>18177, 50688, // Port 9</v>
      </c>
    </row>
    <row r="111" spans="1:11" x14ac:dyDescent="0.2">
      <c r="A111">
        <v>10</v>
      </c>
      <c r="C111" s="20">
        <v>324</v>
      </c>
      <c r="D111" s="20">
        <v>128</v>
      </c>
      <c r="G111">
        <f t="shared" si="42"/>
        <v>17409</v>
      </c>
      <c r="H111">
        <f t="shared" si="45"/>
        <v>32768</v>
      </c>
      <c r="K111" t="str">
        <f t="shared" si="44"/>
        <v>17409, 32768, // Port 10</v>
      </c>
    </row>
    <row r="112" spans="1:11" x14ac:dyDescent="0.2">
      <c r="A112">
        <v>11</v>
      </c>
      <c r="C112" s="20">
        <v>258</v>
      </c>
      <c r="D112" s="20">
        <v>59</v>
      </c>
      <c r="G112">
        <f t="shared" si="42"/>
        <v>513</v>
      </c>
      <c r="H112">
        <f t="shared" si="45"/>
        <v>15104</v>
      </c>
      <c r="K112" t="str">
        <f t="shared" si="44"/>
        <v>513, 15104, // Port 11</v>
      </c>
    </row>
    <row r="113" spans="1:11" x14ac:dyDescent="0.2">
      <c r="A113">
        <v>12</v>
      </c>
      <c r="C113" s="20">
        <v>193</v>
      </c>
      <c r="D113" s="20">
        <v>106</v>
      </c>
      <c r="G113">
        <f t="shared" si="42"/>
        <v>49408</v>
      </c>
      <c r="H113">
        <f t="shared" si="45"/>
        <v>27136</v>
      </c>
      <c r="K113" t="str">
        <f t="shared" si="44"/>
        <v>49408, 27136, // Port 12</v>
      </c>
    </row>
    <row r="114" spans="1:11" x14ac:dyDescent="0.2">
      <c r="A114">
        <v>13</v>
      </c>
      <c r="C114" s="20">
        <v>147</v>
      </c>
      <c r="D114" s="20">
        <v>12</v>
      </c>
      <c r="G114">
        <f t="shared" si="42"/>
        <v>37632</v>
      </c>
      <c r="H114">
        <f t="shared" si="45"/>
        <v>3072</v>
      </c>
      <c r="K114" t="str">
        <f t="shared" si="44"/>
        <v>37632, 3072, // Port 13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3EDA-BDBF-4A49-8373-1513F25F3910}">
  <sheetPr codeName="Sheet3"/>
  <dimension ref="G26:V67"/>
  <sheetViews>
    <sheetView topLeftCell="B1" workbookViewId="0">
      <selection activeCell="J48" sqref="H48:J48"/>
    </sheetView>
  </sheetViews>
  <sheetFormatPr baseColWidth="10" defaultRowHeight="16" x14ac:dyDescent="0.2"/>
  <sheetData>
    <row r="26" spans="8:8" x14ac:dyDescent="0.2">
      <c r="H26" t="s">
        <v>992</v>
      </c>
    </row>
    <row r="27" spans="8:8" x14ac:dyDescent="0.2">
      <c r="H27" t="s">
        <v>993</v>
      </c>
    </row>
    <row r="28" spans="8:8" x14ac:dyDescent="0.2">
      <c r="H28" t="s">
        <v>994</v>
      </c>
    </row>
    <row r="29" spans="8:8" x14ac:dyDescent="0.2">
      <c r="H29" t="s">
        <v>995</v>
      </c>
    </row>
    <row r="31" spans="8:8" x14ac:dyDescent="0.2">
      <c r="H31" t="s">
        <v>996</v>
      </c>
    </row>
    <row r="32" spans="8:8" x14ac:dyDescent="0.2">
      <c r="H32" t="s">
        <v>997</v>
      </c>
    </row>
    <row r="33" spans="8:10" x14ac:dyDescent="0.2">
      <c r="H33" t="s">
        <v>998</v>
      </c>
    </row>
    <row r="34" spans="8:10" x14ac:dyDescent="0.2">
      <c r="H34" t="s">
        <v>999</v>
      </c>
    </row>
    <row r="36" spans="8:10" x14ac:dyDescent="0.2">
      <c r="H36" t="s">
        <v>1000</v>
      </c>
    </row>
    <row r="37" spans="8:10" x14ac:dyDescent="0.2">
      <c r="H37" t="s">
        <v>1001</v>
      </c>
    </row>
    <row r="38" spans="8:10" x14ac:dyDescent="0.2">
      <c r="H38" t="s">
        <v>1002</v>
      </c>
    </row>
    <row r="39" spans="8:10" x14ac:dyDescent="0.2">
      <c r="H39" t="s">
        <v>1003</v>
      </c>
    </row>
    <row r="40" spans="8:10" x14ac:dyDescent="0.2">
      <c r="H40" t="s">
        <v>1004</v>
      </c>
    </row>
    <row r="41" spans="8:10" x14ac:dyDescent="0.2">
      <c r="H41" t="s">
        <v>1005</v>
      </c>
    </row>
    <row r="42" spans="8:10" x14ac:dyDescent="0.2">
      <c r="H42" t="s">
        <v>1006</v>
      </c>
    </row>
    <row r="44" spans="8:10" x14ac:dyDescent="0.2">
      <c r="H44" t="s">
        <v>1007</v>
      </c>
    </row>
    <row r="48" spans="8:10" x14ac:dyDescent="0.2">
      <c r="H48">
        <v>18</v>
      </c>
      <c r="I48">
        <v>22</v>
      </c>
      <c r="J48">
        <v>35</v>
      </c>
    </row>
    <row r="51" spans="7:22" x14ac:dyDescent="0.2">
      <c r="G51" t="s">
        <v>1008</v>
      </c>
      <c r="H51" t="s">
        <v>1009</v>
      </c>
      <c r="I51" t="s">
        <v>1010</v>
      </c>
      <c r="J51" t="s">
        <v>1011</v>
      </c>
      <c r="K51" t="s">
        <v>1012</v>
      </c>
      <c r="L51" t="s">
        <v>1013</v>
      </c>
      <c r="M51" t="s">
        <v>1014</v>
      </c>
      <c r="N51" t="s">
        <v>1015</v>
      </c>
      <c r="O51" t="s">
        <v>1016</v>
      </c>
      <c r="P51" t="s">
        <v>1017</v>
      </c>
      <c r="Q51" t="s">
        <v>1018</v>
      </c>
      <c r="R51" t="s">
        <v>1019</v>
      </c>
      <c r="S51" t="s">
        <v>1020</v>
      </c>
      <c r="T51" t="s">
        <v>1021</v>
      </c>
      <c r="V51" t="s">
        <v>1022</v>
      </c>
    </row>
    <row r="54" spans="7:22" x14ac:dyDescent="0.2">
      <c r="H54">
        <v>36</v>
      </c>
      <c r="I54">
        <v>18</v>
      </c>
      <c r="J54">
        <v>40</v>
      </c>
      <c r="K54">
        <v>65</v>
      </c>
      <c r="L54">
        <v>58</v>
      </c>
      <c r="M54">
        <v>98</v>
      </c>
      <c r="N54">
        <v>90</v>
      </c>
      <c r="O54">
        <v>123</v>
      </c>
      <c r="P54">
        <v>141</v>
      </c>
      <c r="Q54">
        <v>116</v>
      </c>
      <c r="R54">
        <v>92</v>
      </c>
      <c r="S54">
        <v>72</v>
      </c>
      <c r="T54">
        <v>46</v>
      </c>
      <c r="U54">
        <v>24</v>
      </c>
    </row>
    <row r="55" spans="7:22" x14ac:dyDescent="0.2">
      <c r="H55">
        <v>18</v>
      </c>
      <c r="I55">
        <v>36</v>
      </c>
      <c r="J55">
        <v>22</v>
      </c>
      <c r="K55">
        <v>47</v>
      </c>
      <c r="L55">
        <v>40</v>
      </c>
      <c r="M55">
        <v>80</v>
      </c>
      <c r="N55">
        <v>72</v>
      </c>
      <c r="O55">
        <v>105</v>
      </c>
      <c r="P55">
        <v>132</v>
      </c>
      <c r="Q55">
        <v>130</v>
      </c>
      <c r="R55">
        <v>110</v>
      </c>
      <c r="S55">
        <v>90</v>
      </c>
      <c r="T55">
        <v>64</v>
      </c>
      <c r="U55">
        <v>42</v>
      </c>
    </row>
    <row r="56" spans="7:22" x14ac:dyDescent="0.2">
      <c r="H56">
        <v>40</v>
      </c>
      <c r="I56">
        <v>22</v>
      </c>
      <c r="J56">
        <v>44</v>
      </c>
      <c r="K56">
        <v>25</v>
      </c>
      <c r="L56">
        <v>57</v>
      </c>
      <c r="M56">
        <v>97</v>
      </c>
      <c r="N56">
        <v>89</v>
      </c>
      <c r="O56">
        <v>122</v>
      </c>
      <c r="P56">
        <v>149</v>
      </c>
      <c r="Q56">
        <v>147</v>
      </c>
      <c r="R56">
        <v>132</v>
      </c>
      <c r="S56">
        <v>112</v>
      </c>
      <c r="T56">
        <v>86</v>
      </c>
      <c r="U56">
        <v>64</v>
      </c>
    </row>
    <row r="57" spans="7:22" x14ac:dyDescent="0.2">
      <c r="H57">
        <v>65</v>
      </c>
      <c r="I57">
        <v>47</v>
      </c>
      <c r="J57">
        <v>25</v>
      </c>
      <c r="K57">
        <v>50</v>
      </c>
      <c r="L57">
        <v>32</v>
      </c>
      <c r="M57">
        <v>72</v>
      </c>
      <c r="N57">
        <v>64</v>
      </c>
      <c r="O57">
        <v>97</v>
      </c>
      <c r="P57">
        <v>124</v>
      </c>
      <c r="Q57">
        <v>122</v>
      </c>
      <c r="R57">
        <v>146</v>
      </c>
      <c r="S57">
        <v>137</v>
      </c>
      <c r="T57">
        <v>111</v>
      </c>
      <c r="U57">
        <v>89</v>
      </c>
    </row>
    <row r="58" spans="7:22" x14ac:dyDescent="0.2">
      <c r="H58">
        <v>58</v>
      </c>
      <c r="I58">
        <v>40</v>
      </c>
      <c r="J58">
        <v>57</v>
      </c>
      <c r="K58">
        <v>32</v>
      </c>
      <c r="L58">
        <v>64</v>
      </c>
      <c r="M58">
        <v>40</v>
      </c>
      <c r="N58">
        <v>32</v>
      </c>
      <c r="O58">
        <v>65</v>
      </c>
      <c r="P58">
        <v>92</v>
      </c>
      <c r="Q58">
        <v>90</v>
      </c>
      <c r="R58">
        <v>114</v>
      </c>
      <c r="S58">
        <v>130</v>
      </c>
      <c r="T58">
        <v>104</v>
      </c>
      <c r="U58">
        <v>82</v>
      </c>
    </row>
    <row r="59" spans="7:22" x14ac:dyDescent="0.2">
      <c r="H59">
        <v>98</v>
      </c>
      <c r="I59">
        <v>80</v>
      </c>
      <c r="J59">
        <v>97</v>
      </c>
      <c r="K59">
        <v>72</v>
      </c>
      <c r="L59">
        <v>40</v>
      </c>
      <c r="M59">
        <v>70</v>
      </c>
      <c r="N59">
        <v>35</v>
      </c>
      <c r="O59">
        <v>68</v>
      </c>
      <c r="P59">
        <v>95</v>
      </c>
      <c r="Q59">
        <v>93</v>
      </c>
      <c r="R59">
        <v>117</v>
      </c>
      <c r="S59">
        <v>137</v>
      </c>
      <c r="T59">
        <v>144</v>
      </c>
      <c r="U59">
        <v>122</v>
      </c>
    </row>
    <row r="60" spans="7:22" x14ac:dyDescent="0.2">
      <c r="H60">
        <v>90</v>
      </c>
      <c r="I60">
        <v>72</v>
      </c>
      <c r="J60">
        <v>89</v>
      </c>
      <c r="K60">
        <v>64</v>
      </c>
      <c r="L60">
        <v>32</v>
      </c>
      <c r="M60">
        <v>35</v>
      </c>
      <c r="N60">
        <v>64</v>
      </c>
      <c r="O60">
        <v>33</v>
      </c>
      <c r="P60">
        <v>60</v>
      </c>
      <c r="Q60">
        <v>58</v>
      </c>
      <c r="R60">
        <v>82</v>
      </c>
      <c r="S60">
        <v>102</v>
      </c>
      <c r="T60">
        <v>128</v>
      </c>
      <c r="U60">
        <v>114</v>
      </c>
    </row>
    <row r="61" spans="7:22" x14ac:dyDescent="0.2">
      <c r="H61">
        <v>123</v>
      </c>
      <c r="I61">
        <v>105</v>
      </c>
      <c r="J61">
        <v>122</v>
      </c>
      <c r="K61">
        <v>97</v>
      </c>
      <c r="L61">
        <v>65</v>
      </c>
      <c r="M61">
        <v>68</v>
      </c>
      <c r="N61">
        <v>33</v>
      </c>
      <c r="O61">
        <v>50</v>
      </c>
      <c r="P61">
        <v>27</v>
      </c>
      <c r="Q61">
        <v>25</v>
      </c>
      <c r="R61">
        <v>49</v>
      </c>
      <c r="S61">
        <v>69</v>
      </c>
      <c r="T61">
        <v>95</v>
      </c>
      <c r="U61">
        <v>117</v>
      </c>
    </row>
    <row r="62" spans="7:22" x14ac:dyDescent="0.2">
      <c r="H62">
        <v>141</v>
      </c>
      <c r="I62">
        <v>132</v>
      </c>
      <c r="J62">
        <v>149</v>
      </c>
      <c r="K62">
        <v>124</v>
      </c>
      <c r="L62">
        <v>92</v>
      </c>
      <c r="M62">
        <v>95</v>
      </c>
      <c r="N62">
        <v>60</v>
      </c>
      <c r="O62">
        <v>27</v>
      </c>
      <c r="P62">
        <v>50</v>
      </c>
      <c r="Q62">
        <v>25</v>
      </c>
      <c r="R62">
        <v>49</v>
      </c>
      <c r="S62">
        <v>69</v>
      </c>
      <c r="T62">
        <v>95</v>
      </c>
      <c r="U62">
        <v>117</v>
      </c>
    </row>
    <row r="63" spans="7:22" x14ac:dyDescent="0.2">
      <c r="H63">
        <v>116</v>
      </c>
      <c r="I63">
        <v>130</v>
      </c>
      <c r="J63">
        <v>147</v>
      </c>
      <c r="K63">
        <v>122</v>
      </c>
      <c r="L63">
        <v>90</v>
      </c>
      <c r="M63">
        <v>93</v>
      </c>
      <c r="N63">
        <v>58</v>
      </c>
      <c r="O63">
        <v>25</v>
      </c>
      <c r="P63">
        <v>25</v>
      </c>
      <c r="Q63">
        <v>48</v>
      </c>
      <c r="R63">
        <v>24</v>
      </c>
      <c r="S63">
        <v>44</v>
      </c>
      <c r="T63">
        <v>70</v>
      </c>
      <c r="U63">
        <v>92</v>
      </c>
    </row>
    <row r="64" spans="7:22" x14ac:dyDescent="0.2">
      <c r="H64">
        <v>92</v>
      </c>
      <c r="I64">
        <v>110</v>
      </c>
      <c r="J64">
        <v>132</v>
      </c>
      <c r="K64">
        <v>146</v>
      </c>
      <c r="L64">
        <v>114</v>
      </c>
      <c r="M64">
        <v>117</v>
      </c>
      <c r="N64">
        <v>82</v>
      </c>
      <c r="O64">
        <v>49</v>
      </c>
      <c r="P64">
        <v>49</v>
      </c>
      <c r="Q64">
        <v>24</v>
      </c>
      <c r="R64">
        <v>40</v>
      </c>
      <c r="S64">
        <v>20</v>
      </c>
      <c r="T64">
        <v>46</v>
      </c>
      <c r="U64">
        <v>68</v>
      </c>
    </row>
    <row r="65" spans="8:21" x14ac:dyDescent="0.2">
      <c r="H65">
        <v>72</v>
      </c>
      <c r="I65">
        <v>90</v>
      </c>
      <c r="J65">
        <v>112</v>
      </c>
      <c r="K65">
        <v>137</v>
      </c>
      <c r="L65">
        <v>130</v>
      </c>
      <c r="M65">
        <v>137</v>
      </c>
      <c r="N65">
        <v>102</v>
      </c>
      <c r="O65">
        <v>69</v>
      </c>
      <c r="P65">
        <v>69</v>
      </c>
      <c r="Q65">
        <v>44</v>
      </c>
      <c r="R65">
        <v>20</v>
      </c>
      <c r="S65">
        <v>40</v>
      </c>
      <c r="T65">
        <v>26</v>
      </c>
      <c r="U65">
        <v>48</v>
      </c>
    </row>
    <row r="66" spans="8:21" x14ac:dyDescent="0.2">
      <c r="H66">
        <v>46</v>
      </c>
      <c r="I66">
        <v>64</v>
      </c>
      <c r="J66">
        <v>86</v>
      </c>
      <c r="K66">
        <v>111</v>
      </c>
      <c r="L66">
        <v>104</v>
      </c>
      <c r="M66">
        <v>144</v>
      </c>
      <c r="N66">
        <v>128</v>
      </c>
      <c r="O66">
        <v>95</v>
      </c>
      <c r="P66">
        <v>95</v>
      </c>
      <c r="Q66">
        <v>70</v>
      </c>
      <c r="R66">
        <v>46</v>
      </c>
      <c r="S66">
        <v>26</v>
      </c>
      <c r="T66">
        <v>44</v>
      </c>
      <c r="U66">
        <v>22</v>
      </c>
    </row>
    <row r="67" spans="8:21" x14ac:dyDescent="0.2">
      <c r="H67">
        <v>24</v>
      </c>
      <c r="I67">
        <v>42</v>
      </c>
      <c r="J67">
        <v>64</v>
      </c>
      <c r="K67">
        <v>89</v>
      </c>
      <c r="L67">
        <v>82</v>
      </c>
      <c r="M67">
        <v>122</v>
      </c>
      <c r="N67">
        <v>114</v>
      </c>
      <c r="O67">
        <v>117</v>
      </c>
      <c r="P67">
        <v>117</v>
      </c>
      <c r="Q67">
        <v>92</v>
      </c>
      <c r="R67">
        <v>68</v>
      </c>
      <c r="S67">
        <v>48</v>
      </c>
      <c r="T67">
        <v>22</v>
      </c>
      <c r="U67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Hidden</vt:lpstr>
      <vt:lpstr>Stances</vt:lpstr>
      <vt:lpstr>Map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Holmes</dc:creator>
  <cp:lastModifiedBy>Simon Holmes</cp:lastModifiedBy>
  <dcterms:created xsi:type="dcterms:W3CDTF">2024-08-30T01:52:25Z</dcterms:created>
  <dcterms:modified xsi:type="dcterms:W3CDTF">2025-03-10T00:25:06Z</dcterms:modified>
</cp:coreProperties>
</file>