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4F1AA9CC-B2EF-6244-AAA1-D811E3B51216}" xr6:coauthVersionLast="47" xr6:coauthVersionMax="47" xr10:uidLastSave="{00000000-0000-0000-0000-000000000000}"/>
  <bookViews>
    <workbookView xWindow="7620" yWindow="500" windowWidth="47420" windowHeight="30420" activeTab="1" xr2:uid="{50E1C641-7614-0542-B3D9-BEFC89310226}"/>
  </bookViews>
  <sheets>
    <sheet name="Hidden" sheetId="6" r:id="rId1"/>
    <sheet name="Level_00" sheetId="8" r:id="rId2"/>
    <sheet name="Level_00 (2)" sheetId="27" r:id="rId3"/>
    <sheet name="Level_01" sheetId="20" r:id="rId4"/>
    <sheet name="Level_02" sheetId="21" r:id="rId5"/>
    <sheet name="Level_03" sheetId="19" r:id="rId6"/>
    <sheet name="Level_04" sheetId="12" r:id="rId7"/>
    <sheet name="Level_05" sheetId="13" r:id="rId8"/>
    <sheet name="Level_06" sheetId="22" r:id="rId9"/>
    <sheet name="Level_07" sheetId="23" r:id="rId10"/>
    <sheet name="Level_08" sheetId="24" r:id="rId11"/>
    <sheet name="Level_09" sheetId="25" r:id="rId12"/>
    <sheet name="Level_10" sheetId="26" r:id="rId13"/>
    <sheet name="Map" sheetId="10" state="hidden" r:id="rId14"/>
    <sheet name="Sheet2" sheetId="11" state="hidden" r:id="rId15"/>
  </sheets>
  <externalReferences>
    <externalReference r:id="rId16"/>
  </externalReference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2" i="8" l="1"/>
  <c r="F128" i="19"/>
  <c r="F35" i="8" l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F79" i="27"/>
  <c r="F35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 a="1"/>
  <c r="F16" i="27" s="1"/>
  <c r="F93" i="26"/>
  <c r="F177" i="25"/>
  <c r="F142" i="24"/>
  <c r="F100" i="23"/>
  <c r="F114" i="22"/>
  <c r="F107" i="20"/>
  <c r="F121" i="21"/>
  <c r="F16" i="26" a="1"/>
  <c r="F16" i="26" s="1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5" i="26"/>
  <c r="F16" i="25" a="1"/>
  <c r="F16" i="25" s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5" i="25"/>
  <c r="F16" i="24" a="1"/>
  <c r="F16" i="24" s="1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5" i="24"/>
  <c r="F16" i="23" a="1"/>
  <c r="F16" i="23" s="1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5" i="23"/>
  <c r="F16" i="22" a="1"/>
  <c r="F16" i="22" s="1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5" i="22"/>
  <c r="F16" i="21" a="1"/>
  <c r="F16" i="21" s="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5" i="21"/>
  <c r="F16" i="20" a="1"/>
  <c r="F16" i="20" s="1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5" i="20"/>
  <c r="F35" i="19" l="1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<sst xmlns="http://schemas.openxmlformats.org/spreadsheetml/2006/main" count="1756" uniqueCount="193">
  <si>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</si>
  <si>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</si>
  <si>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</si>
  <si>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</si>
  <si>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</si>
  <si>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</si>
  <si>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</si>
  <si>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</si>
  <si>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</si>
  <si>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</si>
  <si>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</si>
  <si>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</si>
  <si>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</si>
  <si>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</si>
  <si>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</si>
  <si>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</si>
  <si>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</si>
  <si>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</si>
  <si>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</si>
  <si>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</si>
  <si>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</si>
  <si>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</si>
  <si>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</si>
  <si>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</si>
  <si>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</si>
  <si>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</si>
  <si>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</si>
  <si>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</si>
  <si>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</si>
  <si>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</si>
  <si>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</si>
  <si>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</si>
  <si>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</si>
  <si>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</si>
  <si>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</si>
  <si>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</si>
  <si>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</si>
  <si>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</si>
  <si>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</si>
  <si>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</si>
  <si>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</si>
  <si>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</si>
  <si>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</si>
  <si>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</si>
  <si>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</si>
  <si>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</si>
  <si>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</si>
  <si>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</si>
  <si>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</si>
  <si>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</si>
  <si>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</si>
  <si>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</si>
  <si>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</si>
  <si>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</si>
  <si>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</si>
  <si>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</si>
  <si>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</si>
  <si>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</si>
  <si>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</si>
  <si>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</si>
  <si>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</si>
  <si>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</si>
  <si>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</si>
  <si>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</si>
  <si>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</si>
  <si>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</si>
  <si>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</si>
  <si>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</si>
  <si>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</si>
  <si>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</si>
  <si>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</si>
  <si>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</si>
  <si>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</si>
  <si>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</si>
  <si>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</si>
  <si>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</si>
  <si>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</si>
  <si>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</si>
  <si>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</si>
  <si>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</si>
  <si>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</si>
  <si>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</si>
  <si>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</si>
  <si>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</si>
  <si>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</si>
  <si>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</si>
  <si>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</si>
  <si>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</si>
  <si>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</si>
  <si>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</si>
  <si>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</si>
  <si>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</si>
  <si>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</si>
  <si>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</si>
  <si>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</si>
  <si>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</si>
  <si>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</si>
  <si>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</si>
  <si>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</si>
  <si>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</si>
  <si>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</si>
  <si>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</si>
  <si>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</si>
  <si>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</si>
  <si>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</si>
  <si>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</si>
  <si>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</si>
  <si>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</si>
  <si>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</si>
  <si>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</si>
  <si>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</si>
  <si>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</si>
  <si>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</si>
  <si>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</si>
  <si>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</si>
  <si>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</si>
  <si>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</si>
  <si>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</si>
  <si>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</si>
  <si>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</si>
  <si>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</si>
  <si>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</si>
  <si>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</si>
  <si>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</si>
  <si>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</si>
  <si>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</si>
  <si>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</si>
  <si>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</si>
  <si>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</si>
  <si>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</si>
  <si>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</si>
  <si>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</si>
  <si>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</si>
  <si>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</si>
  <si>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</si>
  <si>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</si>
  <si>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</si>
  <si>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</si>
  <si>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</si>
  <si>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</si>
  <si>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</si>
  <si>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</si>
  <si>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</si>
  <si>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</si>
  <si>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</si>
  <si>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</si>
  <si>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</si>
  <si>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</si>
  <si>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</si>
  <si>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</si>
  <si>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</si>
  <si>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</si>
  <si>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</si>
  <si>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</si>
  <si>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</si>
  <si>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</si>
  <si>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</si>
  <si>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</si>
  <si>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</si>
  <si>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</si>
  <si>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</si>
  <si>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</si>
  <si>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</si>
  <si>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</si>
  <si>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</si>
  <si>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</si>
  <si>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</si>
  <si>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</si>
  <si>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</si>
  <si>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26,26,26,26, </t>
  </si>
  <si>
    <t xml:space="preserve"> 0, 5, 6, 2, </t>
  </si>
  <si>
    <t xml:space="preserve">42,42,42,42, </t>
  </si>
  <si>
    <t xml:space="preserve">43,43,43,43, </t>
  </si>
  <si>
    <t>63,63,63,63,</t>
  </si>
  <si>
    <t>73,73,73,73,</t>
  </si>
  <si>
    <t>43,43,</t>
  </si>
  <si>
    <t xml:space="preserve"> 1, 1,</t>
  </si>
  <si>
    <t xml:space="preserve"> 2, 2,</t>
  </si>
  <si>
    <t>42,42,</t>
  </si>
  <si>
    <t>33,33,</t>
  </si>
  <si>
    <t>31,31,</t>
  </si>
  <si>
    <t>32,32,</t>
  </si>
  <si>
    <t xml:space="preserve"> 0, 5,</t>
  </si>
  <si>
    <t xml:space="preserve"> 6, 2,</t>
  </si>
  <si>
    <t>63,63,</t>
  </si>
  <si>
    <t>73,73,</t>
  </si>
  <si>
    <t>26,26,</t>
  </si>
  <si>
    <t xml:space="preserve"> 4, 5, 1, 2,</t>
  </si>
  <si>
    <t>4,                             // ItemType::Punji</t>
  </si>
  <si>
    <t xml:space="preserve"> 4, 5,</t>
  </si>
  <si>
    <t xml:space="preserve"> 1, 2,</t>
  </si>
  <si>
    <t>23,23,</t>
  </si>
  <si>
    <t xml:space="preserve"> 0, 0,23,23,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</si>
</sst>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28" name="Picture 156" descr=" 0, 0, 3, 3,">
          <a:extLst>
            <a:ext uri="{FF2B5EF4-FFF2-40B4-BE49-F238E27FC236}">
              <a16:creationId xmlns:a16="http://schemas.microsoft.com/office/drawing/2014/main" id="{A1CC54A7-2D66-A04D-8F22-EBE0DE36775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48" name="Picture 157" descr=" 2, 2, 3, 3,">
          <a:extLst>
            <a:ext uri="{FF2B5EF4-FFF2-40B4-BE49-F238E27FC236}">
              <a16:creationId xmlns:a16="http://schemas.microsoft.com/office/drawing/2014/main" id="{71D67AFB-953D-9E4B-9E4C-D1E7E75EB97C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50" name="Picture 49" descr="42,42,42,42, ">
          <a:extLst>
            <a:ext uri="{FF2B5EF4-FFF2-40B4-BE49-F238E27FC236}">
              <a16:creationId xmlns:a16="http://schemas.microsoft.com/office/drawing/2014/main" id="{078B1276-D257-BC02-D4B0-4BFE1843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57" name="Picture 56" descr="43,43,43,43, ">
          <a:extLst>
            <a:ext uri="{FF2B5EF4-FFF2-40B4-BE49-F238E27FC236}">
              <a16:creationId xmlns:a16="http://schemas.microsoft.com/office/drawing/2014/main" id="{509DFB8D-A123-F915-4100-D37F44B5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DAD0325-C73D-DB41-B28F-1B56F4945C4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3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0177559-979B-154E-BDFE-7B577873CB50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CBEBCC1-A801-1842-9415-892408F5B64D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47105D86-351B-A442-85EB-F3331D21B16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523BA3D-C11D-E84D-B09A-CB125E1FD32B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7447EFA8-7450-EE43-9D17-FD11964D914E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44349364-4453-B14C-930B-B58941559355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2512A7C-0EF8-1049-A504-8D5E9367261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13CB1F8-E95F-D64F-B7D8-002A94347BA2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396E8E1-11C1-6649-8466-84D0EA283EB5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4E7237A-9DBA-1E4F-910C-7E3C87B0B56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988497B-51E9-1145-9CD1-8467D87D3228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6E9FF2CF-751D-1B4C-9E14-9CFF27C55EA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89B2F4E8-14AB-E849-9165-CE9E0BFA42A1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F02B12F4-1650-1D48-9722-F0ED248A1CB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B63E98E6-7211-2C4B-BA14-55740EEE384B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3A8339F-B805-9048-8B10-E78BC19C37B4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18F0D3B3-F363-E44D-87D2-88D46E179BED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BC490436-0F15-9B4C-A03C-D0348F3CEE73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BFC7334-A14D-7045-A10C-A8A01AC96B6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04D0F388-51B1-BF4E-87A2-97A0105073D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891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80" name="Picture 179" descr="33,33,31,31,">
          <a:extLst>
            <a:ext uri="{FF2B5EF4-FFF2-40B4-BE49-F238E27FC236}">
              <a16:creationId xmlns:a16="http://schemas.microsoft.com/office/drawing/2014/main" id="{AE8F115B-9439-444B-B0E1-B69F235B9192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9050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32C66D14-3196-884C-B944-80BDF2E3083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677E7EC-7905-4B45-BF54-33BD57204A77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073DB605-2BF5-154B-8D7D-FF6DBCC37BD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86" name="Picture 185" descr="Item:LockedDoor,Pos:1">
          <a:extLst>
            <a:ext uri="{FF2B5EF4-FFF2-40B4-BE49-F238E27FC236}">
              <a16:creationId xmlns:a16="http://schemas.microsoft.com/office/drawing/2014/main" id="{3BA1E0D6-DFA1-C044-81DD-7F3ECEB9290F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37500" y="604837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87" name="Picture 186" descr="Item:Chakana,Pos:1">
          <a:extLst>
            <a:ext uri="{FF2B5EF4-FFF2-40B4-BE49-F238E27FC236}">
              <a16:creationId xmlns:a16="http://schemas.microsoft.com/office/drawing/2014/main" id="{E30D4B8E-F2C4-CF42-B4A5-92AEA5284BAD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20250" y="601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93" name="Picture 192" descr="31,31,32,32,">
          <a:extLst>
            <a:ext uri="{FF2B5EF4-FFF2-40B4-BE49-F238E27FC236}">
              <a16:creationId xmlns:a16="http://schemas.microsoft.com/office/drawing/2014/main" id="{DAC1F47C-B5AE-8B43-B6EE-2E8F9E038F2C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9125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116603-81B3-A346-B98C-20128AFDF63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9775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95" name="Picture 194" descr=" 0, 5, 6, 2, ">
          <a:extLst>
            <a:ext uri="{FF2B5EF4-FFF2-40B4-BE49-F238E27FC236}">
              <a16:creationId xmlns:a16="http://schemas.microsoft.com/office/drawing/2014/main" id="{DA0BD2DD-44C2-B3ED-EE67-8E0460AB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99" name="Picture 198" descr=" 9, 0, 2,11, ">
          <a:extLst>
            <a:ext uri="{FF2B5EF4-FFF2-40B4-BE49-F238E27FC236}">
              <a16:creationId xmlns:a16="http://schemas.microsoft.com/office/drawing/2014/main" id="{EEB506ED-2D1B-9643-9F27-6677733AA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218" name="Picture 217" descr=" 0, 5, 6, 2, ">
          <a:extLst>
            <a:ext uri="{FF2B5EF4-FFF2-40B4-BE49-F238E27FC236}">
              <a16:creationId xmlns:a16="http://schemas.microsoft.com/office/drawing/2014/main" id="{78F9246D-D7B4-C844-8385-C7900BFD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73900" y="68992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C37CB688-3FBB-BB48-9DFB-F25616683B4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220" name="Picture 219" descr=" 1, 1, 2, 2,">
          <a:extLst>
            <a:ext uri="{FF2B5EF4-FFF2-40B4-BE49-F238E27FC236}">
              <a16:creationId xmlns:a16="http://schemas.microsoft.com/office/drawing/2014/main" id="{423B94CF-25D7-DB4A-89E7-3733C7898C2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1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5447B44D-73DD-574B-8409-02B4FF3E38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66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3226191B-80BD-F645-A6D0-D86EBDF7879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27" name="Picture 26" descr="42,42,42,42, ">
          <a:extLst>
            <a:ext uri="{FF2B5EF4-FFF2-40B4-BE49-F238E27FC236}">
              <a16:creationId xmlns:a16="http://schemas.microsoft.com/office/drawing/2014/main" id="{B1654C56-4BE1-8A41-87C5-64DEE0F81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9742150" y="898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29" name="Picture 28" descr="43,43,43,43, ">
          <a:extLst>
            <a:ext uri="{FF2B5EF4-FFF2-40B4-BE49-F238E27FC236}">
              <a16:creationId xmlns:a16="http://schemas.microsoft.com/office/drawing/2014/main" id="{D81E5B80-80E9-BC41-9A95-B55996871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72399" y="8826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10</xdr:col>
      <xdr:colOff>50800</xdr:colOff>
      <xdr:row>8</xdr:row>
      <xdr:rowOff>50800</xdr:rowOff>
    </xdr:from>
    <xdr:to>
      <xdr:col>10</xdr:col>
      <xdr:colOff>824800</xdr:colOff>
      <xdr:row>8</xdr:row>
      <xdr:rowOff>824800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7E307145-C24F-C44D-9C20-3E81A2707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8</xdr:row>
      <xdr:rowOff>28575</xdr:rowOff>
    </xdr:from>
    <xdr:to>
      <xdr:col>11</xdr:col>
      <xdr:colOff>818450</xdr:colOff>
      <xdr:row>8</xdr:row>
      <xdr:rowOff>802575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8CE0D48D-3261-0648-8F5C-25B8DD8A7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15875</xdr:colOff>
      <xdr:row>8</xdr:row>
      <xdr:rowOff>31750</xdr:rowOff>
    </xdr:from>
    <xdr:to>
      <xdr:col>6</xdr:col>
      <xdr:colOff>824060</xdr:colOff>
      <xdr:row>8</xdr:row>
      <xdr:rowOff>839933</xdr:rowOff>
    </xdr:to>
    <xdr:pic>
      <xdr:nvPicPr>
        <xdr:cNvPr id="74" name="Picture 73" descr="Item:Punji,Pos:1">
          <a:extLst>
            <a:ext uri="{FF2B5EF4-FFF2-40B4-BE49-F238E27FC236}">
              <a16:creationId xmlns:a16="http://schemas.microsoft.com/office/drawing/2014/main" id="{2CF40DA8-DD52-B54A-B861-D4B21B5066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59375" y="6889750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77" name="Picture 76" descr=" 4, 5, 1, 2,">
          <a:extLst>
            <a:ext uri="{FF2B5EF4-FFF2-40B4-BE49-F238E27FC236}">
              <a16:creationId xmlns:a16="http://schemas.microsoft.com/office/drawing/2014/main" id="{C6FBA8F3-2FA4-2D43-B828-5D39157D9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89477</xdr:colOff>
      <xdr:row>7</xdr:row>
      <xdr:rowOff>43295</xdr:rowOff>
    </xdr:from>
    <xdr:to>
      <xdr:col>12</xdr:col>
      <xdr:colOff>40412</xdr:colOff>
      <xdr:row>7</xdr:row>
      <xdr:rowOff>851478</xdr:rowOff>
    </xdr:to>
    <xdr:pic>
      <xdr:nvPicPr>
        <xdr:cNvPr id="78" name="Picture 77" descr="Item:Punji,Pos:1">
          <a:extLst>
            <a:ext uri="{FF2B5EF4-FFF2-40B4-BE49-F238E27FC236}">
              <a16:creationId xmlns:a16="http://schemas.microsoft.com/office/drawing/2014/main" id="{495C0C5A-8A6E-9C48-8EF2-872B0E4EC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9519227" y="60440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22225</xdr:rowOff>
    </xdr:from>
    <xdr:to>
      <xdr:col>12</xdr:col>
      <xdr:colOff>812100</xdr:colOff>
      <xdr:row>8</xdr:row>
      <xdr:rowOff>796225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BB6D54-070A-3543-AA25-5F52C2587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774000</xdr:colOff>
      <xdr:row>8</xdr:row>
      <xdr:rowOff>774000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06853B2-9C2B-A748-82AE-B258C1046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6858000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7CAC15C-7432-6144-A04F-9A46B25D6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A912141D-FC0D-7147-82C9-F7F685B7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410353-BB17-8445-8ACE-39BEAE73A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262AA70-5305-BC4E-A6B2-4FA2F2BF7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EE35B30A-46D5-2E47-B061-35A297E55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2BB888F-7A39-BB45-AC5F-F784673B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DBCC24E-3E75-704F-92DD-A0CE6BB9E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07CDBCB8-5C6B-5E43-8576-8D0B36489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0889FBC-1BA4-5649-8697-9F4A201D2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F44859A-3C0B-D04C-BFA8-9BC7439D5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DAE1686-0F51-6C45-81B3-4688E7BF2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EC7F488-8B3F-8843-B515-3138D12C0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7CA30F6-7DEB-D843-9B7F-FE5E255F3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1A38FA0-8497-ED42-8892-EABB4F75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55654F8-5EE6-9949-BCF3-3D9F229A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5BAA42A-CAAD-B641-8195-4F9718CE6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2B042D1-7F0E-6146-AFFA-CC8265BBC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1FE50F-84C7-0446-BB73-6AF8B4046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29A99DE-E152-C74F-9F0B-BF76FCFA3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65158BA-17CA-064E-8D4A-16EC6833E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4F98189-6D01-5144-928A-2BABFF6AA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AB4FF31-1EB5-BB44-A7C4-DBB78621B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24BD68-A1D9-1540-A660-F9C4AA85F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D47AB83-D84E-934F-B3CB-D474FADA9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16AA914-D882-C144-8160-F299786C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47411A0-4BFB-7541-939A-01E7B568D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449A706-8F09-5844-A842-9226D12C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D153519-7B0A-DB4E-9B55-AA2F92822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2CD544A-5ECF-E743-9388-E506710CE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4C16E03-5466-2340-9308-00C6E018C2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EB3D2C6-C416-8F47-810D-772A0407F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DE44D9F-6692-6342-887B-17525CA9E6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5F764027-098E-C44E-96A1-5BCD92CB85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AA29676-FBA3-2145-B218-F88AE2735C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87F53731-0191-BF4F-B79B-7E5B33B25D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0E9FD544-D5CC-AC4F-AF67-6C375BD84B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C6BB7EB-2E3B-D14A-9A06-9A96A6A583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7D43DEB-87CE-7846-B9A3-D40FE7E292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9E40224-9433-1D4B-A70F-54F14393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26D4BAE-F72D-234B-B984-8E4CE0CFDD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E4991AE-126D-4D4D-84AE-4FDBB1342D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558C565-0302-9144-BA6A-E71211EB3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2AEE949-6DAA-8849-8A98-1FEEC16E0D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6A695310-C44D-8A49-B4A9-FDED6F449D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B033B4-12E9-5743-B58D-68CC091BA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ECECCCF-584C-4149-862F-5B9096A913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878FABB-0421-6E42-9EA0-B9B01B9D20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9EF1C4C4-EF0E-5E4A-956F-D533878B9B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8205448-5EE2-AD4A-8288-5632DEBEC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817C0D7-13AC-2E43-A06D-E5C7C6D09C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690A4389-73F7-C644-9922-81D3A95D2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1B20B44-E1E1-8F40-8915-421E9D9B4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5D4D31B-226A-F740-91C5-47F3E6348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04D151-DD0A-884F-A357-60647C34B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D2DB486-AAAE-3A4A-A0FF-B24CDB65E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FD64BD-A312-0041-9790-EC38E5A6C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28C09E7-EFFE-EE40-92F0-E6953B914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A9D9931C-8627-474A-B737-159FCD187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AADBE87A-2702-1E42-9038-B4F04203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146B531-DED5-1A41-8F79-BC4066124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69FA388-715B-7E42-964E-667DE777D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B9481D5B-690E-A749-9B08-E0C2C0125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6FEBAFF8-432A-E14F-B7C8-492973BD9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D8B12068-D315-5D44-84E6-DA1F5AB56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BCA319E8-343B-894F-AAFF-531050E22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D6E63E7B-5168-8242-8FF2-66A02742B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B0B2813-1A33-2A49-A679-AC191DFC1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A14A67D2-916E-C84E-BEC5-F30F1F5EC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F8304888-2DB2-A94D-92FF-43FB9C7F2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225C4785-DE96-F246-B235-FACF3D0D9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F7BECB48-64FB-204C-AA9C-62C2F5380700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994686D4-B74E-B74A-A95B-EBB05FAE60F4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74" name="Picture 73" descr="42,42,42,42, ">
          <a:extLst>
            <a:ext uri="{FF2B5EF4-FFF2-40B4-BE49-F238E27FC236}">
              <a16:creationId xmlns:a16="http://schemas.microsoft.com/office/drawing/2014/main" id="{C439D44B-B3B1-6E48-A0D9-1FCC5D88D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4255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75" name="Picture 74" descr="43,43,43,43, ">
          <a:extLst>
            <a:ext uri="{FF2B5EF4-FFF2-40B4-BE49-F238E27FC236}">
              <a16:creationId xmlns:a16="http://schemas.microsoft.com/office/drawing/2014/main" id="{19EA0C7D-574B-FC4B-864C-38FD86F8C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44139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19B18770-362B-F941-A339-C15B84D8A85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EA011A2-E850-AB41-8B1D-E079307640A6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94EF7CB6-8D8C-8744-BDA7-C28902A38BFE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0012F30-42FE-5B4E-AAB8-34A242A6C796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F4B1C03-9A03-9548-BD5A-943CC393A474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15D24F33-97AE-7B49-92FB-A9BB18EEEB4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3C9D5DC-8400-5B46-BECA-A7C436518737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05A1BC7-0CC2-F14E-B322-B5E8165826C6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AEDE8B3-3CEC-3A46-BDC3-43B74A9FC255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73B340-855C-0943-BD09-C7AA5671F37A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54F0D84-E00F-9A4A-9534-8DEDEDF55B90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3F2AA0-0892-FE43-85EF-DA9051D4C952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31122BEC-2BD9-684A-B4FD-412E524B69A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C117A707-D82A-CD41-A1FE-EBAC63F693F9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36DFB3A-8567-2D47-8211-CA73734185C9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E33E6211-E7CA-F14C-9D28-0E09A16C11A6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5805FAAE-DD4B-994C-9E62-B50C4644E61A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F51FD81-77DD-8248-BBF3-FDBBFFD7B201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F26D282D-801F-5046-8C8C-BF54C2CE5002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5E0B6686-9772-E140-B27F-FAA9A5801BD6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CAA31481-B979-4940-8244-86971ACED21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C6076642-AF61-D644-BAFE-8153F034C2E5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46BA5F3-7037-6C4D-AEAD-56F1003E0ED0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BD52379-D814-FF4E-8F79-B4F28724A34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F6C6676-A1E7-8C41-B6CA-86E9BE6FD6B2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5469BBDC-0542-F345-97E8-D9A08A7DE335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73AC7161-B957-1946-AE9F-275FA9B48B1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640F7AA-549C-5942-9900-B16616D5F5B9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FD499E85-0F7D-F245-BE90-249ECD2ADA3A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A2F386-D625-F244-B890-689AC404B078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35E5A380-B494-2847-949F-FD4EC62BCFA3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5CA219A2-D2ED-DF40-9557-F5DA45EE422F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3D574119-BAD1-9249-BD0B-F7D959FF860C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C6C7716-B5C8-554A-B326-E7639F622782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5C529C1C-CCED-6A41-8772-F1F13185F43F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948F078-DD0B-664F-88F6-9AAA198B6563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88CD375F-01DE-8F48-A8A7-03DE3097DB1E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D2497E-385B-2C4F-A0C7-B93E418F262C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5EDA7618-8C42-AC49-B204-87629561C529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DBD0AAA-CFE2-6F44-8CAB-57F0A3423C2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15E16C7F-E64B-9A48-9BE7-28E571292A40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7C3A1A1A-591A-4040-8F52-BDCE6655D00B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3534A70E-326F-EB40-8459-7D45213DE292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319B703A-FDEC-0E42-9CD3-1AA58E36BBC4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5C838BE6-6086-9E44-934E-5B05F1D11672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A0DF4F1C-D669-594E-A05F-B4C7A4030FAC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B9AB7181-5F60-0248-AAD1-C855CACD77B7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72719AA9-7FD4-FC45-8608-8952BBEE3D37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FF350FD1-FB6A-1346-A476-97220854A155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EA4F5D0C-8ED3-6449-A877-4CC4E6663C5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88978F6A-C73B-154B-8600-C5650DE07D18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FE894FD2-5E61-3846-89C8-9F3EB3C1A2F5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7462285A-BD9A-BE47-95CA-DDBE452761F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318EDBBC-6DFF-B240-A78D-D7A96DC06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A24E01AD-3BE0-094B-8ECD-5E7A608B2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BF8F84E0-CEB5-E14B-A815-41C352FC7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903FCE6A-8DD4-514A-B9DC-356F0E7A8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9B13AD1E-36CD-6041-B070-6629339B7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F03D42B8-8422-0B43-8C8B-E2AEB0DAC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B7985148-8569-164E-943E-D4525CAB1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58DFC38D-382A-5043-9A38-40ADB4D87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A9ECA67F-D897-B546-926D-B5EDF0216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3686993-2C94-A14E-B2A6-D37423769B84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1BCBEDDB-1E72-1B4E-8341-7309CA6AD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22919D7F-E97D-7341-A63C-D683BB876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DC1F54E1-A368-D647-9B77-D6CE4BD44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4A5A730A-8340-534F-8101-ED9EDF1FC70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35074CDE-D48F-2548-A16E-12820B86257A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BE2455A2-F854-DC44-AD9D-79C7BD8D2A8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D168497-AA92-C34B-890C-D94E7A70A8F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6BEA11C3-D0D0-0A4C-A73E-61ABD2159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CB32365D-2229-A343-B6A4-05150EE6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B6A6F32-E759-C54E-AB2C-4A27984A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EA1ECFB-7B73-5D4C-B73B-4AB4A8CA253D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9698414-7F2E-C843-8AF2-03D47980195F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D1FA9AA-8D29-3744-B89A-FEFE7560157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00BB8A-EE0A-AD49-91DC-C0DC4873C2F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AFB2205-3B48-CE46-B96F-124AC77CF09B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479C118-C02A-2544-A866-487742016D3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6B3C6A5-2DFC-854E-A93D-D3A540EB7E0C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0F3373-9844-534C-84C6-0C927D052E46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BA8D39F-16B0-7C46-A13A-5AB7F733A988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CBA8ED4-2BB1-644A-A3F4-923E46839073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EDC8F74-7259-0E49-B3AC-50ADFC2EC853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3D91D28-5DB8-A044-A883-005085D30159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25661FA-77C4-114B-8C3E-F5E6E35132C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97EB1E1-C127-3D4F-A5E4-098F904AAD05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C074ED9-8AFF-5E43-B320-F1C93755285D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91865D7-6DC9-F843-A9D4-C23BF74FD6E4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E75C129-1D03-E142-AB2C-79FA934D8F80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2EED3275-EC9F-D840-935D-A01424ACDD77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9E4D33D-6932-EB45-A8F3-8AD4D1AC887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6787FC7-577B-E945-B703-6BC205B5D0B5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21DACD4-2FC5-514B-9903-7B33CA97783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658296E-BE66-304F-B273-CE296BA89F2C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FAAD1F9-1C07-FB45-91ED-D7588EE7F907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9634F2A9-CB60-9C40-9C03-18D51AC38981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01295C6-8775-E349-8EBB-F53226285C8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C83A950-98AC-0D48-9B04-48B6772A692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40D0AA2-F301-C744-89F5-4F959B0BA332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7AB2CBC-17F0-E74B-BA77-2622DA9CC97F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09D2F68-C358-AD42-BF4A-A58172880E41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843B136-51B4-5A40-8991-428763FB5179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E5679436-A457-6745-AF2F-DF6B3BAFF68E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42D8540-7059-F146-BA4A-EFC2DD161D21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9AB484-B248-7648-8A41-C0FE3F8D9D00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9862FC7-F772-B748-8585-1F2A04B2AAD5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775696B-2C45-A94A-8E08-4738782F250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00F1750-D79E-7742-AC91-A38038DD5604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3AB6F2E-01EB-EA44-838D-8F65BD1BCF9D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601082-938A-E54A-ABE4-7F222A70AA3E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1E07285-ECC9-F64B-AC4D-941AE9CDE997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3EFAB48-2028-E947-8C30-384A0CB6CC03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7692F3D-9EAE-F24D-A66B-C29C836AFC35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87F41DC-8814-4344-81C2-44CC827721C8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77DF053-91FD-1C47-908B-457DD5BDD2A0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F465DD6C-7C12-0F4E-8045-7F560D5266DE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8EC996-4836-EA46-8372-48360AB630F0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185BD49-5E5B-0A4D-B3EF-9873D97C6314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BE97A6-EDD3-4A4D-97BE-F9EE67880A87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396A8F2-B5F9-CE42-A11A-B73298FCFF4C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2701C2-4858-1143-A0B8-AA437D9269A7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5A904A5-E871-8444-BE62-39D2E76B79B3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04ED1E0-016D-B545-88D9-5E2F2B0E7A7A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F4337B1-5230-F445-ADC4-CE87BA3A2531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4F4FFA4-1499-2C43-B1A0-750FB08E0FD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ACE1172-7E73-494B-B067-FD7498D3092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53AF332-EA62-1E4A-A9B1-9C03FAFBF874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61E295A5-9846-8D4E-BF46-E73DD13154C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FDC14F8-8FF2-9C45-B0F3-7002425E6A0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056F1D4-AC0B-3441-AF3C-BDE6D211E24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CB73255-80A0-9F45-8FF2-99BE2DDB420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BCE885D-CA32-E944-907A-0E0C03DDB23D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30D63F-0B3F-DB42-A085-38313466C7CF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7E19AEE-2E1F-2149-A557-65E33D9D2291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855C0FBD-C46E-5A4B-B557-A04AD839B2B0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DF3AABC2-8C8C-B549-A906-74DC799D87B1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58E0109-873D-9642-B1D8-0A4489AAF9A9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441279B-D6E2-9144-8010-70C2D739D1DC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521B01F-C0C4-664B-A89F-57D1D7325E3E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614F0A9E-041C-8A42-B7DC-8338FB33EE9E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1A9B0B26-E5CC-5D40-A907-B6D463F1B6F8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482B6F2-310D-1A40-8789-C7E727F0B9F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31750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2513F5BF-C207-0442-8B7C-9C910C38A108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844550"/>
          <a:ext cx="787401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37A3201A-01D8-6D40-859F-D76792017F54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E85F994-1C73-C748-8C5D-2C9AA0D1052D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4D486B8-E3A4-9341-B002-540C6B58655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575F682-90F3-7E43-AED9-FA0DE412FDB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82DC9E4-086A-2B44-96FE-DE535F3149DC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634E052-BD07-4B42-9B8F-F3AAD9A1DCA9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7B3C5E7-737C-394A-9469-4047F3635C68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31750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87453737-5521-8341-AAD4-86CDEF135683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6</xdr:row>
      <xdr:rowOff>31750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39425EC-31B2-1046-9B76-0AA7A5C44FA5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4C99B65-5E58-EE46-AA8E-82AFB9E1486E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E875593-375A-4E4E-A461-5673EB9A628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8</xdr:row>
      <xdr:rowOff>31750</xdr:rowOff>
    </xdr:from>
    <xdr:ext cx="776112" cy="776112"/>
    <xdr:pic>
      <xdr:nvPicPr>
        <xdr:cNvPr id="85" name="Picture 84" descr="18,18,18,18,">
          <a:extLst>
            <a:ext uri="{FF2B5EF4-FFF2-40B4-BE49-F238E27FC236}">
              <a16:creationId xmlns:a16="http://schemas.microsoft.com/office/drawing/2014/main" id="{1B9934F4-2A45-EB47-894C-4E02A869B305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53025" y="165735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6" name="Picture 85" descr="12,12,12,12,">
          <a:extLst>
            <a:ext uri="{FF2B5EF4-FFF2-40B4-BE49-F238E27FC236}">
              <a16:creationId xmlns:a16="http://schemas.microsoft.com/office/drawing/2014/main" id="{95736D8E-FF93-494F-8EA5-736DD8E14A5B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7" name="Picture 86" descr="12,12,12,12,">
          <a:extLst>
            <a:ext uri="{FF2B5EF4-FFF2-40B4-BE49-F238E27FC236}">
              <a16:creationId xmlns:a16="http://schemas.microsoft.com/office/drawing/2014/main" id="{2FF0CE08-85C5-1445-B167-1BA9871A06C9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A7CB1668-BBE3-1D48-A7B2-B67C10FC622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9" name="Picture 88" descr="12,12, 7, 7,">
          <a:extLst>
            <a:ext uri="{FF2B5EF4-FFF2-40B4-BE49-F238E27FC236}">
              <a16:creationId xmlns:a16="http://schemas.microsoft.com/office/drawing/2014/main" id="{F0385779-76B1-AD45-8C85-96D1204D3E29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86484" cy="774000"/>
    <xdr:pic>
      <xdr:nvPicPr>
        <xdr:cNvPr id="90" name="Picture 89" descr=" 8, 8, 7, 7,">
          <a:extLst>
            <a:ext uri="{FF2B5EF4-FFF2-40B4-BE49-F238E27FC236}">
              <a16:creationId xmlns:a16="http://schemas.microsoft.com/office/drawing/2014/main" id="{EB29F848-9109-0C4A-8A4B-574C99EF8A6D}"/>
            </a:ext>
            <a:ext uri="{147F2762-F138-4A5C-976F-8EAC2B608ADB}">
              <a16:predDERef xmlns:a16="http://schemas.microsoft.com/office/drawing/2014/main" pred="{8809E325-3CDD-4634-906E-D6E16EA8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02125" y="844550"/>
          <a:ext cx="786484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6CD19223-6497-4346-A523-AFDB3B9ACEAE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250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06F0F7AD-8B19-FD46-8386-8035CA84F221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16732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C2E47FF3-E392-B54B-A330-B85B23E011B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6508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7F3CAD2E-070A-3448-B54B-697BF4DAFEEE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854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041B765B-AD62-9544-B081-E71F10DC3B8B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1057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04DF9AED-080A-0C4D-A2C1-2F83152654BA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7" name="Picture 96" descr="31,31,31,31,">
          <a:extLst>
            <a:ext uri="{FF2B5EF4-FFF2-40B4-BE49-F238E27FC236}">
              <a16:creationId xmlns:a16="http://schemas.microsoft.com/office/drawing/2014/main" id="{8EE38A37-5F20-4043-A65C-390B6893C880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14700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7074BE65-AD1F-6F4B-8CDE-6BCEE0F6B6D4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4476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381DD73-17E1-884B-8774-0E46A541462B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100" name="Picture 99" descr="20, 0, 2,20,">
          <a:extLst>
            <a:ext uri="{FF2B5EF4-FFF2-40B4-BE49-F238E27FC236}">
              <a16:creationId xmlns:a16="http://schemas.microsoft.com/office/drawing/2014/main" id="{A9A7C30A-F648-464E-B9FF-AACB4B05668C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6508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101" name="Picture 100" descr="20, 0, 2,20,">
          <a:extLst>
            <a:ext uri="{FF2B5EF4-FFF2-40B4-BE49-F238E27FC236}">
              <a16:creationId xmlns:a16="http://schemas.microsoft.com/office/drawing/2014/main" id="{C82CFBC8-F118-DE4E-90DD-EC32CFF44C7E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102" name="Picture 101" descr="20, 0, 2,20,">
          <a:extLst>
            <a:ext uri="{FF2B5EF4-FFF2-40B4-BE49-F238E27FC236}">
              <a16:creationId xmlns:a16="http://schemas.microsoft.com/office/drawing/2014/main" id="{F9F21FEF-35F2-FB44-9343-04BA3FF38C3A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103" name="Picture 102" descr="20, 0, 2,20,">
          <a:extLst>
            <a:ext uri="{FF2B5EF4-FFF2-40B4-BE49-F238E27FC236}">
              <a16:creationId xmlns:a16="http://schemas.microsoft.com/office/drawing/2014/main" id="{7E219D08-BCA5-2A46-B0F9-1842B1CE0B33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1470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104" name="Picture 103" descr="20, 0, 2,20,">
          <a:extLst>
            <a:ext uri="{FF2B5EF4-FFF2-40B4-BE49-F238E27FC236}">
              <a16:creationId xmlns:a16="http://schemas.microsoft.com/office/drawing/2014/main" id="{CE823B71-7269-2444-8AC0-1F3CD001EE9F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1673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105" name="Picture 104" descr="Item:Chakana,Pos:1">
          <a:extLst>
            <a:ext uri="{FF2B5EF4-FFF2-40B4-BE49-F238E27FC236}">
              <a16:creationId xmlns:a16="http://schemas.microsoft.com/office/drawing/2014/main" id="{CB007E24-A0C3-6348-ABD4-FFE53F8A6190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604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6" name="Picture 105" descr="Item:Flame,Pos:1">
          <a:extLst>
            <a:ext uri="{FF2B5EF4-FFF2-40B4-BE49-F238E27FC236}">
              <a16:creationId xmlns:a16="http://schemas.microsoft.com/office/drawing/2014/main" id="{39DD9979-F4B9-FA46-836F-CF6C54861E15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8445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CDFE2420-F04C-CB48-BDF9-F638EA2ADBCC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1CB778F-312D-8542-8A15-4631323CC19F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1285DF3A-899C-5046-866B-056C3AD71FB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1057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29FF7161-1852-9A42-875A-4DAF779535F5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1063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784156E2-9A64-414F-BA0C-389EC4FE6AFD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77296B6B-2359-484F-83B8-8439A986D8E4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576DE7D0-504D-D74A-AA6B-971915BB8877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44432A3E-1534-6243-B669-C9A5966E40F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4381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FEBFFDA-4674-9343-92A4-95F792208C2C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DCA6EE3-6865-7349-B110-02776A1823B3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A272839-04C4-F548-B03F-A1FB11CDEA3E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B4FBC63-A2A6-1040-8583-91D8C6FF7078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1A34D1F-059A-2C4B-9AB3-480E6B5B1AF9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8766EC79-5155-5946-809B-ED0349BEFF5A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995F164-DFC1-034F-A6F7-CF71F0C7AB4E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02B8D8BC-5BBE-5648-9ADF-088BBD76A402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8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936CC22-789D-EA4B-9185-3EBDADF63BE8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D3D7E1B-3ACA-0B40-B8CF-AC932C86A43D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5BD7CE9-C7FD-7B47-AD1E-8F33F394B7F5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84FC4D3A-ED8C-CF4F-8DEF-D5784ADAF513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19BDCE24-9B5F-6648-9A90-A33164DAE6D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B8EE8626-9230-3147-B6DA-45636A35200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369EA63-FE7A-C240-8419-AD89E7D46C9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171E7273-B129-CC42-9532-377083D4D835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DE21F90-1525-2A4A-9A2D-8B25A2420F0A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3C36CE95-7F16-D140-91E2-AEC9D444234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89B6C20-F1E2-E145-8B65-AEC0827049EF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AD48BD7-0770-6D45-8A9C-5972BD87083C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2</xdr:row>
      <xdr:rowOff>31750</xdr:rowOff>
    </xdr:from>
    <xdr:ext cx="796637" cy="796638"/>
    <xdr:pic>
      <xdr:nvPicPr>
        <xdr:cNvPr id="135" name="Picture 134" descr="Item:Lever_LH,Pos:1,Data:1">
          <a:extLst>
            <a:ext uri="{FF2B5EF4-FFF2-40B4-BE49-F238E27FC236}">
              <a16:creationId xmlns:a16="http://schemas.microsoft.com/office/drawing/2014/main" id="{50EAE430-7A0F-1A4E-8F86-ECBD96D06C4A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86900" y="43815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6</xdr:row>
      <xdr:rowOff>31750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2C546C6C-B8A7-9E4F-BCD6-DF85C335B1E5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869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37" name="Picture 136" descr="Item:MysteryCrate,Pos:1,ItemType:17">
          <a:extLst>
            <a:ext uri="{FF2B5EF4-FFF2-40B4-BE49-F238E27FC236}">
              <a16:creationId xmlns:a16="http://schemas.microsoft.com/office/drawing/2014/main" id="{AB19E3C3-5432-114D-8254-5F98E0FFB84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12509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9AE33327-76D5-CC4F-9C51-73E3F83B053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9BF2BC8C-DA57-6F49-AFB8-A3E0130E2CBE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40" name="Picture 139" descr="12,12, 7, 7,">
          <a:extLst>
            <a:ext uri="{FF2B5EF4-FFF2-40B4-BE49-F238E27FC236}">
              <a16:creationId xmlns:a16="http://schemas.microsoft.com/office/drawing/2014/main" id="{79A8F06E-2CFA-AE40-BFD6-A002304D4BD5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29B3732F-4619-E349-8D66-7BDA8182156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86484" cy="774000"/>
    <xdr:pic>
      <xdr:nvPicPr>
        <xdr:cNvPr id="142" name="Picture 141" descr=" 8, 8, 7, 7,">
          <a:extLst>
            <a:ext uri="{FF2B5EF4-FFF2-40B4-BE49-F238E27FC236}">
              <a16:creationId xmlns:a16="http://schemas.microsoft.com/office/drawing/2014/main" id="{75844EDB-5877-884E-BB48-B926D2F4EE9C}"/>
            </a:ext>
            <a:ext uri="{147F2762-F138-4A5C-976F-8EAC2B608ADB}">
              <a16:predDERef xmlns:a16="http://schemas.microsoft.com/office/drawing/2014/main" pred="{2026AB99-9033-BE4B-B38E-797BE2A90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E39E7707-5489-3349-B6CC-0D9F9D4A2E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7876" cy="777876"/>
    <xdr:pic>
      <xdr:nvPicPr>
        <xdr:cNvPr id="144" name="Picture 143" descr=" 2, 2, 3, 3,">
          <a:extLst>
            <a:ext uri="{FF2B5EF4-FFF2-40B4-BE49-F238E27FC236}">
              <a16:creationId xmlns:a16="http://schemas.microsoft.com/office/drawing/2014/main" id="{9DB3B3BC-BA84-514A-BD22-DA76F5317F22}"/>
            </a:ext>
            <a:ext uri="{147F2762-F138-4A5C-976F-8EAC2B608ADB}">
              <a16:predDERef xmlns:a16="http://schemas.microsoft.com/office/drawing/2014/main" pred="{FFF3CF69-DBE3-448E-BEFD-7C1A49CE0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563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45" name="Picture 144" descr=" 0, 5, 6, 2, ">
          <a:extLst>
            <a:ext uri="{FF2B5EF4-FFF2-40B4-BE49-F238E27FC236}">
              <a16:creationId xmlns:a16="http://schemas.microsoft.com/office/drawing/2014/main" id="{D1D29366-4337-C642-9F1F-67B159C1F57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9AD46F9C-69B0-1044-9FAA-4BA22F5B2ECD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47" name="Picture 146" descr=" 9, 0, 2,11, ">
          <a:extLst>
            <a:ext uri="{FF2B5EF4-FFF2-40B4-BE49-F238E27FC236}">
              <a16:creationId xmlns:a16="http://schemas.microsoft.com/office/drawing/2014/main" id="{AA5F8D99-C5BB-AD49-8AE8-FC187BF86FFA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3E05FB2B-9F83-B143-9182-0394B3167997}"/>
            </a:ext>
            <a:ext uri="{147F2762-F138-4A5C-976F-8EAC2B608ADB}">
              <a16:predDERef xmlns:a16="http://schemas.microsoft.com/office/drawing/2014/main" pred="{788C15DF-909B-4AE7-9593-5F7EC886E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10160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B9950A3-82DC-B644-B699-F9BCE803D711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A42773E1-827B-C14B-B0D9-25B4306AD71C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11B1D27A-525C-F14B-8022-014046919751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1219200"/>
          <a:ext cx="776111" cy="776111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152" name="Picture 151" descr=" 0, 0, 1, 1">
          <a:extLst>
            <a:ext uri="{FF2B5EF4-FFF2-40B4-BE49-F238E27FC236}">
              <a16:creationId xmlns:a16="http://schemas.microsoft.com/office/drawing/2014/main" id="{30BA3770-AF30-EE46-A33E-5F6DA175897F}"/>
            </a:ext>
            <a:ext uri="{147F2762-F138-4A5C-976F-8EAC2B608ADB}">
              <a16:predDERef xmlns:a16="http://schemas.microsoft.com/office/drawing/2014/main" pred="{A2A9E515-7D3B-44F8-B4B2-999094D80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85091" cy="819727"/>
    <xdr:pic>
      <xdr:nvPicPr>
        <xdr:cNvPr id="153" name="Picture 152" descr="Item:PinchBar,Pos:1">
          <a:extLst>
            <a:ext uri="{FF2B5EF4-FFF2-40B4-BE49-F238E27FC236}">
              <a16:creationId xmlns:a16="http://schemas.microsoft.com/office/drawing/2014/main" id="{8D9AE429-E974-2F49-9A65-BF234B709D35}"/>
            </a:ext>
            <a:ext uri="{147F2762-F138-4A5C-976F-8EAC2B608ADB}">
              <a16:predDERef xmlns:a16="http://schemas.microsoft.com/office/drawing/2014/main" pred="{AA767272-B9E3-4E71-B779-C762CF02B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09000" y="121920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A5581A7C-92B6-7B49-8D28-6B97911DEFCC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12192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CC880E68-BC00-1440-9A98-7C938C109A19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25D92792-90A2-974D-A3E1-ABCB6E4BA66E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6A15D300-C1EA-2742-86CA-962F7E12C5CF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41AF647E-A38E-4847-8D7A-CF68D2D53AAF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F2708D0-3090-8D47-8B8D-01C2A19F57FA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094F4764-3B58-6D44-A78C-B26BBB1F5CC7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61" name="Picture 160" descr="Item:Lever_Portal_Closed,Pos:2">
          <a:extLst>
            <a:ext uri="{FF2B5EF4-FFF2-40B4-BE49-F238E27FC236}">
              <a16:creationId xmlns:a16="http://schemas.microsoft.com/office/drawing/2014/main" id="{CD02F4C0-BE7C-C44E-84BC-E3FF12051F55}"/>
            </a:ext>
            <a:ext uri="{147F2762-F138-4A5C-976F-8EAC2B608ADB}">
              <a16:predDERef xmlns:a16="http://schemas.microsoft.com/office/drawing/2014/main" pred="{D83FC5BE-AF84-47BD-B48D-397A1E318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3D3678B2-D591-0948-B7C3-5A74ABBB71C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63" name="Picture 162" descr=" 0, 5, 6, 2, ">
          <a:extLst>
            <a:ext uri="{FF2B5EF4-FFF2-40B4-BE49-F238E27FC236}">
              <a16:creationId xmlns:a16="http://schemas.microsoft.com/office/drawing/2014/main" id="{F6B06982-DB56-0545-82F6-7298BB153CD7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64" name="Picture 163" descr=" 0, 5, 6, 2, ">
          <a:extLst>
            <a:ext uri="{FF2B5EF4-FFF2-40B4-BE49-F238E27FC236}">
              <a16:creationId xmlns:a16="http://schemas.microsoft.com/office/drawing/2014/main" id="{FA9B61FE-CC88-E44F-A107-3BE72D31701D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F07E7E8A-0F2F-4741-88B0-8E2E09CE474C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66" name="Picture 165" descr="Item:Chakana_Small,Pos:1,Data:5">
          <a:extLst>
            <a:ext uri="{FF2B5EF4-FFF2-40B4-BE49-F238E27FC236}">
              <a16:creationId xmlns:a16="http://schemas.microsoft.com/office/drawing/2014/main" id="{6A20D811-F7EB-1749-9280-B54F6ED5EA80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0222" cy="790222"/>
    <xdr:pic>
      <xdr:nvPicPr>
        <xdr:cNvPr id="167" name="Picture 166" descr="Item:Chakana_Small,Pos:1,Data:5">
          <a:extLst>
            <a:ext uri="{FF2B5EF4-FFF2-40B4-BE49-F238E27FC236}">
              <a16:creationId xmlns:a16="http://schemas.microsoft.com/office/drawing/2014/main" id="{0E55C55D-AF1C-8C49-885A-30DE26D55931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033250" y="6889750"/>
          <a:ext cx="790222" cy="790222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8E60553-3795-6747-B5D5-4EAF2D2EC1AD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96C7AAB-8F63-4E40-917C-A4FD3104A114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96286E1F-1171-9A47-AF28-BE98F1E4DEFB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F237B913-782C-C94F-AD79-0C342DC77886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F0EB35A-7006-E348-AC97-5A0F6E7E1619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5" name="Picture 74" descr="Enemy:Archer_LH,Pos:1">
          <a:extLst>
            <a:ext uri="{FF2B5EF4-FFF2-40B4-BE49-F238E27FC236}">
              <a16:creationId xmlns:a16="http://schemas.microsoft.com/office/drawing/2014/main" id="{BD8C1E78-C524-6142-A4F8-F3D7D1970425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5707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E83BD9E-27A5-5B46-AEF1-B1C5F3D9FE24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5F5939C9-503D-A24A-98C5-5757810398CC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7544E2C7-AA70-D241-B580-11CD2E30B57B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AEBB378E-7826-084B-B1D8-0FD9A6144367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BF3A7A3E-96D3-BB4B-9CAF-E2D471B7B03F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13A6B37-1630-5847-B294-1FECAB146F46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DA0E42AB-2101-F441-8564-D8EE50D4B359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8AC51FF9-F392-C04C-AB92-220F51B8D4B7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0481D71F-FE64-A24B-A779-E1EC3F3D0AE2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474A40E-6D62-724E-88F6-DE207DDAEB4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8" name="Picture 97" descr="Item:Potion,Pos:1">
          <a:extLst>
            <a:ext uri="{FF2B5EF4-FFF2-40B4-BE49-F238E27FC236}">
              <a16:creationId xmlns:a16="http://schemas.microsoft.com/office/drawing/2014/main" id="{F7742B56-4B50-8C4F-9E67-6310CA1929B3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9" name="Picture 98" descr="Item:Potion,Pos:1">
          <a:extLst>
            <a:ext uri="{FF2B5EF4-FFF2-40B4-BE49-F238E27FC236}">
              <a16:creationId xmlns:a16="http://schemas.microsoft.com/office/drawing/2014/main" id="{07900447-E6A5-8A45-8ED2-B2F05BDAC158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100" name="Picture 99" descr="Item:Potion,Pos:1">
          <a:extLst>
            <a:ext uri="{FF2B5EF4-FFF2-40B4-BE49-F238E27FC236}">
              <a16:creationId xmlns:a16="http://schemas.microsoft.com/office/drawing/2014/main" id="{D1DFDFF4-6A11-4F45-9A00-176A39A42522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BD18AF01-58CA-884A-BAD7-B696077A04A7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6" name="Picture 105" descr="12,12,12,12,">
          <a:extLst>
            <a:ext uri="{FF2B5EF4-FFF2-40B4-BE49-F238E27FC236}">
              <a16:creationId xmlns:a16="http://schemas.microsoft.com/office/drawing/2014/main" id="{73F4EE4B-5256-454C-86A4-7E452BF08C60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7" name="Picture 106" descr="12,12,12,12,">
          <a:extLst>
            <a:ext uri="{FF2B5EF4-FFF2-40B4-BE49-F238E27FC236}">
              <a16:creationId xmlns:a16="http://schemas.microsoft.com/office/drawing/2014/main" id="{2E988E6B-E1AA-C143-B2C6-13705BD8C774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45F439ED-BC51-8D4E-B16D-330924D065BA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9" name="Picture 108" descr="Item:Sword,Pos:1">
          <a:extLst>
            <a:ext uri="{FF2B5EF4-FFF2-40B4-BE49-F238E27FC236}">
              <a16:creationId xmlns:a16="http://schemas.microsoft.com/office/drawing/2014/main" id="{8BD4C17E-5EB8-8E41-91F1-CA0564493911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10" name="Picture 109" descr="Item:Trebochet_Left,Pos:1">
          <a:extLst>
            <a:ext uri="{FF2B5EF4-FFF2-40B4-BE49-F238E27FC236}">
              <a16:creationId xmlns:a16="http://schemas.microsoft.com/office/drawing/2014/main" id="{DE2B6CFE-4EDC-9642-A285-3EA554F07364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11" name="Picture 110" descr="Enemy:SwordFighter_LH,Pos:1">
          <a:extLst>
            <a:ext uri="{FF2B5EF4-FFF2-40B4-BE49-F238E27FC236}">
              <a16:creationId xmlns:a16="http://schemas.microsoft.com/office/drawing/2014/main" id="{CBD39ECA-06DF-F145-A707-FD3801CBEF8E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6581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12" name="Picture 111" descr="Enemy:Archer_LH,Pos:1">
          <a:extLst>
            <a:ext uri="{FF2B5EF4-FFF2-40B4-BE49-F238E27FC236}">
              <a16:creationId xmlns:a16="http://schemas.microsoft.com/office/drawing/2014/main" id="{2E9C17E2-C55D-1542-A094-6497517C2B4B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4653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4064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22" name="Picture 121" descr="Item:LifeSaver,Pos:1">
          <a:extLst>
            <a:ext uri="{FF2B5EF4-FFF2-40B4-BE49-F238E27FC236}">
              <a16:creationId xmlns:a16="http://schemas.microsoft.com/office/drawing/2014/main" id="{0C0778E7-E569-3041-B068-DAC0AA152E81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1016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DABF5A-6962-3249-95B6-A30F2B0685C8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2AB5C551-04E9-E048-9EC5-E776E1CF542F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83ED938-ABF0-C841-A50A-F65EA8AFB659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D7719411-76ED-7442-98AF-73913F8AE6D0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57E98B89-C561-AC40-9D34-500F318E2887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8" name="Picture 127" descr=" 0, 0,38,38,">
          <a:extLst>
            <a:ext uri="{FF2B5EF4-FFF2-40B4-BE49-F238E27FC236}">
              <a16:creationId xmlns:a16="http://schemas.microsoft.com/office/drawing/2014/main" id="{1ADA1F50-F86B-564E-B718-07D61175C2BB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8128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DB38725B-261F-FD40-922D-A514642BB2C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30" name="Picture 129" descr=" 0, 0,40,40,">
          <a:extLst>
            <a:ext uri="{FF2B5EF4-FFF2-40B4-BE49-F238E27FC236}">
              <a16:creationId xmlns:a16="http://schemas.microsoft.com/office/drawing/2014/main" id="{0C95F74C-2768-D343-8FB3-4898FF88E72B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5193A1CB-0ECD-B941-8172-B626363E70C8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758F86A3-DA0C-384B-9A1F-607C3A233601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76FFFDAE-F77B-DB4B-B924-B390F7CAD3EA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28C7A667-B6E7-3942-87CE-1918F5FC7D6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1E995FF6-7AB1-5048-AA43-3ABAD36B67FB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091DD6F-ABA8-D948-B8C0-9F58DA43B73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9" name="Picture 148" descr="Item:Lever_RH,Pos:1,Data:1">
          <a:extLst>
            <a:ext uri="{FF2B5EF4-FFF2-40B4-BE49-F238E27FC236}">
              <a16:creationId xmlns:a16="http://schemas.microsoft.com/office/drawing/2014/main" id="{F195B9BA-2BF5-1240-AA0D-4C7FCD2EBF46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EF2DF065-7D00-1246-B932-1083BF86768B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93599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668EF65C-2E0D-3D41-A121-51341DEC49D7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52" name="Picture 151" descr="Item:Lever_LH,Pos:1,Data:1">
          <a:extLst>
            <a:ext uri="{FF2B5EF4-FFF2-40B4-BE49-F238E27FC236}">
              <a16:creationId xmlns:a16="http://schemas.microsoft.com/office/drawing/2014/main" id="{175E2420-4E73-0647-BA15-233C669E1CA2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1016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2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4" name="Picture 153" descr=" 9, 0, 2,11, ">
          <a:extLst>
            <a:ext uri="{FF2B5EF4-FFF2-40B4-BE49-F238E27FC236}">
              <a16:creationId xmlns:a16="http://schemas.microsoft.com/office/drawing/2014/main" id="{D5DADAC4-A97F-8442-AB4B-2017542BE0F0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85090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5" name="Picture 154" descr=" 9, 0, 2,11, ">
          <a:extLst>
            <a:ext uri="{FF2B5EF4-FFF2-40B4-BE49-F238E27FC236}">
              <a16:creationId xmlns:a16="http://schemas.microsoft.com/office/drawing/2014/main" id="{258CF880-42F1-C14A-BB15-7212FB5A2C16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A77B20BD-756E-CC4B-90C6-AFD06143D19D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CD49D877-32B6-E640-9620-D754B145BFF3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8" name="Picture 157" descr=" 0,22,22, 2,">
          <a:extLst>
            <a:ext uri="{FF2B5EF4-FFF2-40B4-BE49-F238E27FC236}">
              <a16:creationId xmlns:a16="http://schemas.microsoft.com/office/drawing/2014/main" id="{E2E3DECD-5D12-6645-8296-865CDE1B5611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BDB47A2B-CAD8-244C-A2E6-7C3156F7E6BD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6DDADED4-0019-7446-BC22-5416A3121513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5F09E63-FA8C-5F48-AF1C-329CF770DE20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C2C11449-9C81-F947-814D-C9DBBF6369C3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2703670-496C-354A-AEA6-2E65ACE0142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4" name="Picture 163" descr=" 8, 8, 7, 7,">
          <a:extLst>
            <a:ext uri="{FF2B5EF4-FFF2-40B4-BE49-F238E27FC236}">
              <a16:creationId xmlns:a16="http://schemas.microsoft.com/office/drawing/2014/main" id="{8707BEDD-68F9-554F-8280-5699DE006662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5" name="Picture 164" descr="12,12, 7, 7,">
          <a:extLst>
            <a:ext uri="{FF2B5EF4-FFF2-40B4-BE49-F238E27FC236}">
              <a16:creationId xmlns:a16="http://schemas.microsoft.com/office/drawing/2014/main" id="{CA5534F2-2FD2-7744-8929-6BAFA7D8A232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6" name="Picture 165" descr="12,12,12,12,">
          <a:extLst>
            <a:ext uri="{FF2B5EF4-FFF2-40B4-BE49-F238E27FC236}">
              <a16:creationId xmlns:a16="http://schemas.microsoft.com/office/drawing/2014/main" id="{CDA3FC95-E2CE-0447-8D3F-A48ED93C0634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7" name="Picture 166" descr="12,12,12,12,">
          <a:extLst>
            <a:ext uri="{FF2B5EF4-FFF2-40B4-BE49-F238E27FC236}">
              <a16:creationId xmlns:a16="http://schemas.microsoft.com/office/drawing/2014/main" id="{B7863A39-1104-9344-97BF-F831C367ED3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8" name="Picture 167" descr="Item:Chakana,Pos:1">
          <a:extLst>
            <a:ext uri="{FF2B5EF4-FFF2-40B4-BE49-F238E27FC236}">
              <a16:creationId xmlns:a16="http://schemas.microsoft.com/office/drawing/2014/main" id="{1A86FEBD-ED30-A54A-AEB1-5CCC29B72B5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1016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9" name="Picture 168" descr=" 0, 0, 3, 3,">
          <a:extLst>
            <a:ext uri="{FF2B5EF4-FFF2-40B4-BE49-F238E27FC236}">
              <a16:creationId xmlns:a16="http://schemas.microsoft.com/office/drawing/2014/main" id="{5179DEE4-5AFB-D54F-A607-E2412AF507A0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05400" y="1016000"/>
          <a:ext cx="793750" cy="7937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8595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22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81" name="Picture 156" descr=" 0, 0, 3, 3,">
          <a:extLst>
            <a:ext uri="{FF2B5EF4-FFF2-40B4-BE49-F238E27FC236}">
              <a16:creationId xmlns:a16="http://schemas.microsoft.com/office/drawing/2014/main" id="{E0C11FA0-5E7C-1540-AD42-102B8279AF3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65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99" name="Picture 157" descr=" 2, 2, 3, 3,">
          <a:extLst>
            <a:ext uri="{FF2B5EF4-FFF2-40B4-BE49-F238E27FC236}">
              <a16:creationId xmlns:a16="http://schemas.microsoft.com/office/drawing/2014/main" id="{9A6B3A16-4774-A142-B4FD-5376967CB292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96874" y="10334624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7</xdr:col>
      <xdr:colOff>856550</xdr:colOff>
      <xdr:row>3</xdr:row>
      <xdr:rowOff>786700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6854811-41F5-A94B-8719-D12D93839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2584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C38F6514-4434-A74F-827A-630EFB92E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54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61" name="Picture 160" descr="43,43,43,43, ">
          <a:extLst>
            <a:ext uri="{FF2B5EF4-FFF2-40B4-BE49-F238E27FC236}">
              <a16:creationId xmlns:a16="http://schemas.microsoft.com/office/drawing/2014/main" id="{7E8676E0-E606-484A-858A-6B7EAB876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6999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AA612C6D-82CF-D44B-AC74-69450110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387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6B26DC72-37E3-F642-8760-2FE3FBCB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387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9483564E-6E19-7D4A-A7F4-21AB02D96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8B20F88F-E59C-3C4C-A278-B07695A13E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224086" y="1761836"/>
          <a:ext cx="808185" cy="8081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A637AB53-F4E9-894F-8703-EF3F135A7F1F}"/>
            </a:ext>
            <a:ext uri="{147F2762-F138-4A5C-976F-8EAC2B608ADB}">
              <a16:predDERef xmlns:a16="http://schemas.microsoft.com/office/drawing/2014/main" pred="{10A002A3-F88D-420F-BABD-6F32CE0D8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9387C161-C565-2045-BFE4-CD63345845E4}"/>
            </a:ext>
            <a:ext uri="{147F2762-F138-4A5C-976F-8EAC2B608ADB}">
              <a16:predDERef xmlns:a16="http://schemas.microsoft.com/office/drawing/2014/main" pred="{C2434036-3E21-4AE3-B551-9C522240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0C30D974-C400-1445-8BE6-3DAC94ECF976}"/>
            </a:ext>
            <a:ext uri="{147F2762-F138-4A5C-976F-8EAC2B608ADB}">
              <a16:predDERef xmlns:a16="http://schemas.microsoft.com/office/drawing/2014/main" pred="{D63CBA9D-EFA7-4078-A162-B7367AB5C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5ABE2F6C-AA48-F34F-93C6-332DE4FC5473}"/>
            </a:ext>
            <a:ext uri="{147F2762-F138-4A5C-976F-8EAC2B608ADB}">
              <a16:predDERef xmlns:a16="http://schemas.microsoft.com/office/drawing/2014/main" pred="{842DA9BA-F631-457E-A85A-20BB3E2C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15875</xdr:rowOff>
    </xdr:from>
    <xdr:to>
      <xdr:col>32</xdr:col>
      <xdr:colOff>0</xdr:colOff>
      <xdr:row>11</xdr:row>
      <xdr:rowOff>809625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3F50BDDD-861B-3844-911E-CF2EFD30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11</xdr:row>
      <xdr:rowOff>857249</xdr:rowOff>
    </xdr:from>
    <xdr:to>
      <xdr:col>32</xdr:col>
      <xdr:colOff>31749</xdr:colOff>
      <xdr:row>12</xdr:row>
      <xdr:rowOff>809624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77E00AB8-E414-DE44-BCAC-039A1B897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286999"/>
          <a:ext cx="809625" cy="8096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A88F126-F0B1-FF42-B4AE-3A1F23B4659B}"/>
            </a:ext>
            <a:ext uri="{147F2762-F138-4A5C-976F-8EAC2B608ADB}">
              <a16:predDERef xmlns:a16="http://schemas.microsoft.com/office/drawing/2014/main" pred="{3C0FBEF3-E94D-49E2-9885-3E2F634D1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7551AE53-53AC-8049-9EB1-4EE2AB6FED81}"/>
            </a:ext>
            <a:ext uri="{147F2762-F138-4A5C-976F-8EAC2B608ADB}">
              <a16:predDERef xmlns:a16="http://schemas.microsoft.com/office/drawing/2014/main" pred="{8BB1C39B-9590-41F5-9029-F7ACF4C1B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37038AF-A9C7-6946-9EB9-CF4D2EEE02D1}"/>
            </a:ext>
            <a:ext uri="{147F2762-F138-4A5C-976F-8EAC2B608ADB}">
              <a16:predDERef xmlns:a16="http://schemas.microsoft.com/office/drawing/2014/main" pred="{C190B95F-D0D1-4B07-81F2-3CD7AE27D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A5E0128B-4603-D049-9C19-73317BCEED5F}"/>
            </a:ext>
            <a:ext uri="{147F2762-F138-4A5C-976F-8EAC2B608ADB}">
              <a16:predDERef xmlns:a16="http://schemas.microsoft.com/office/drawing/2014/main" pred="{E008B464-0CD5-45F9-9600-70660A7F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63500</xdr:rowOff>
    </xdr:from>
    <xdr:to>
      <xdr:col>32</xdr:col>
      <xdr:colOff>0</xdr:colOff>
      <xdr:row>12</xdr:row>
      <xdr:rowOff>0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03A375C1-CD4E-9746-9839-3EB23C64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47624</xdr:rowOff>
    </xdr:from>
    <xdr:to>
      <xdr:col>32</xdr:col>
      <xdr:colOff>31749</xdr:colOff>
      <xdr:row>12</xdr:row>
      <xdr:rowOff>857249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FC07F92A-2671-C34E-B5AA-251808A6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33462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7A8EEBB-65D3-484B-8D5E-4AB73DCC7E6B}"/>
            </a:ext>
            <a:ext uri="{147F2762-F138-4A5C-976F-8EAC2B608ADB}">
              <a16:predDERef xmlns:a16="http://schemas.microsoft.com/office/drawing/2014/main" pred="{7A75087A-52EB-4F74-B281-626B42F68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5B7980DE-6025-A443-A256-020C88F854D2}"/>
            </a:ext>
            <a:ext uri="{147F2762-F138-4A5C-976F-8EAC2B608ADB}">
              <a16:predDERef xmlns:a16="http://schemas.microsoft.com/office/drawing/2014/main" pred="{C77F1C02-FF8E-443D-8DFF-300E5A42C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048F6D0-2EFC-2F43-9FF4-2D3B362641EB}"/>
            </a:ext>
            <a:ext uri="{147F2762-F138-4A5C-976F-8EAC2B608ADB}">
              <a16:predDERef xmlns:a16="http://schemas.microsoft.com/office/drawing/2014/main" pred="{7FC41493-9CF7-4F45-B73B-7DACFC45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3D44A6F7-7B83-5F4B-B840-9397829CC480}"/>
            </a:ext>
            <a:ext uri="{147F2762-F138-4A5C-976F-8EAC2B608ADB}">
              <a16:predDERef xmlns:a16="http://schemas.microsoft.com/office/drawing/2014/main" pred="{1A9E702A-FC41-4BCB-A8AA-9056DDC74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612B40DB-0E31-EA4A-B504-CA7593C3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2DAB788A-231C-7847-97C1-711600B4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414389C7-8B74-7542-B47F-D61A398572C3}"/>
            </a:ext>
            <a:ext uri="{147F2762-F138-4A5C-976F-8EAC2B608ADB}">
              <a16:predDERef xmlns:a16="http://schemas.microsoft.com/office/drawing/2014/main" pred="{3830DB4B-CF84-46B0-888B-5F4E2421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616294EA-35AD-F441-92CA-36443F024912}"/>
            </a:ext>
            <a:ext uri="{147F2762-F138-4A5C-976F-8EAC2B608ADB}">
              <a16:predDERef xmlns:a16="http://schemas.microsoft.com/office/drawing/2014/main" pred="{E2185B0E-9A7D-4B9D-A1F3-8ED3385A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6DC899E0-F147-EB47-8AA6-C4B6FF7FA0D0}"/>
            </a:ext>
            <a:ext uri="{147F2762-F138-4A5C-976F-8EAC2B608ADB}">
              <a16:predDERef xmlns:a16="http://schemas.microsoft.com/office/drawing/2014/main" pred="{5AD304E1-8E59-4090-B379-71461C9BD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DF26649-AC77-0345-BB29-620B4C43CA0E}"/>
            </a:ext>
            <a:ext uri="{147F2762-F138-4A5C-976F-8EAC2B608ADB}">
              <a16:predDERef xmlns:a16="http://schemas.microsoft.com/office/drawing/2014/main" pred="{E343B584-EB5C-4FA6-B99A-5E406CCA0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47625</xdr:rowOff>
    </xdr:from>
    <xdr:to>
      <xdr:col>32</xdr:col>
      <xdr:colOff>0</xdr:colOff>
      <xdr:row>11</xdr:row>
      <xdr:rowOff>841375</xdr:rowOff>
    </xdr:to>
    <xdr:pic>
      <xdr:nvPicPr>
        <xdr:cNvPr id="157" name="Picture 156" descr="42,42,42,42, ">
          <a:extLst>
            <a:ext uri="{FF2B5EF4-FFF2-40B4-BE49-F238E27FC236}">
              <a16:creationId xmlns:a16="http://schemas.microsoft.com/office/drawing/2014/main" id="{EEF1750D-1DC2-ED49-BB66-3F215706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31749</xdr:rowOff>
    </xdr:from>
    <xdr:to>
      <xdr:col>32</xdr:col>
      <xdr:colOff>31749</xdr:colOff>
      <xdr:row>12</xdr:row>
      <xdr:rowOff>841374</xdr:rowOff>
    </xdr:to>
    <xdr:pic>
      <xdr:nvPicPr>
        <xdr:cNvPr id="158" name="Picture 157" descr="43,43,43,43, ">
          <a:extLst>
            <a:ext uri="{FF2B5EF4-FFF2-40B4-BE49-F238E27FC236}">
              <a16:creationId xmlns:a16="http://schemas.microsoft.com/office/drawing/2014/main" id="{ECFC1F24-5B24-7343-B15A-D0844D9C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318749"/>
          <a:ext cx="809625" cy="8096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AE752666-A70A-6F4B-A731-3873CE47229F}"/>
            </a:ext>
            <a:ext uri="{147F2762-F138-4A5C-976F-8EAC2B608ADB}">
              <a16:predDERef xmlns:a16="http://schemas.microsoft.com/office/drawing/2014/main" pred="{5270F8E8-8714-444D-BB3C-558684408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5BC3464C-9BAC-4440-8C72-976720992490}"/>
            </a:ext>
            <a:ext uri="{147F2762-F138-4A5C-976F-8EAC2B608ADB}">
              <a16:predDERef xmlns:a16="http://schemas.microsoft.com/office/drawing/2014/main" pred="{AE4760DD-4873-4DCB-A2BB-89754AE89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DAFC3839-CC5E-044D-BE1E-E21933F14540}"/>
            </a:ext>
            <a:ext uri="{147F2762-F138-4A5C-976F-8EAC2B608ADB}">
              <a16:predDERef xmlns:a16="http://schemas.microsoft.com/office/drawing/2014/main" pred="{149E3F0D-6244-4D39-AE12-F616E3E4B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5A46D291-7AC4-6246-9E65-5439BD7C6C68}"/>
            </a:ext>
            <a:ext uri="{147F2762-F138-4A5C-976F-8EAC2B608ADB}">
              <a16:predDERef xmlns:a16="http://schemas.microsoft.com/office/drawing/2014/main" pred="{FFAF390B-FA93-4547-8E30-045AB6F12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09" name="Picture 108" descr="42,42,42,42, ">
          <a:extLst>
            <a:ext uri="{FF2B5EF4-FFF2-40B4-BE49-F238E27FC236}">
              <a16:creationId xmlns:a16="http://schemas.microsoft.com/office/drawing/2014/main" id="{4A9FFF0C-3545-F545-BC68-EC88826B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110" name="Picture 109" descr="43,43,43,43, ">
          <a:extLst>
            <a:ext uri="{FF2B5EF4-FFF2-40B4-BE49-F238E27FC236}">
              <a16:creationId xmlns:a16="http://schemas.microsoft.com/office/drawing/2014/main" id="{2C4CFA6B-A107-4A41-906F-C8E09D51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imonholmes/Downloads/ArraysEdit2(1).xlsm" TargetMode="External"/><Relationship Id="rId1" Type="http://schemas.openxmlformats.org/officeDocument/2006/relationships/externalLinkPath" Target="/Users/simonholmes/Downloads/ArraysEdit2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dden"/>
      <sheetName val="Stances"/>
      <sheetName val="Level_00"/>
      <sheetName val="Level_01"/>
      <sheetName val="Level_02"/>
      <sheetName val="Level_03"/>
      <sheetName val="Level_04"/>
      <sheetName val="Level_05"/>
      <sheetName val="Map"/>
      <sheetName val="Sheet2"/>
      <sheetName val="Level_06"/>
      <sheetName val="Level_07"/>
      <sheetName val="Level_08"/>
      <sheetName val="Level_09"/>
      <sheetName val="Level_10"/>
      <sheetName val="Blank"/>
    </sheetNames>
    <sheetDataSet>
      <sheetData sheetId="0">
        <row r="24">
          <cell r="F24" t="str">
            <v xml:space="preserve"> 0, 0,</v>
          </cell>
          <cell r="G24" t="str">
            <v xml:space="preserve"> 0, 0,</v>
          </cell>
          <cell r="H24" t="str">
            <v xml:space="preserve"> 0, 0,</v>
          </cell>
          <cell r="I24" t="str">
            <v xml:space="preserve"> 0, 0,</v>
          </cell>
          <cell r="J24" t="str">
            <v xml:space="preserve"> 0, 0,</v>
          </cell>
          <cell r="K24" t="str">
            <v xml:space="preserve"> 0, 0,</v>
          </cell>
          <cell r="L24" t="str">
            <v xml:space="preserve"> 0, 0,</v>
          </cell>
          <cell r="M24" t="str">
            <v xml:space="preserve"> 0, 0,</v>
          </cell>
          <cell r="N24" t="str">
            <v xml:space="preserve"> 0, 0,</v>
          </cell>
          <cell r="O24" t="str">
            <v xml:space="preserve"> 0, 0,</v>
          </cell>
          <cell r="P24" t="str">
            <v xml:space="preserve"> 0, 0,</v>
          </cell>
          <cell r="Q24" t="str">
            <v xml:space="preserve"> 0, 0,</v>
          </cell>
          <cell r="R24" t="str">
            <v xml:space="preserve"> 0, 0,</v>
          </cell>
          <cell r="S24" t="str">
            <v xml:space="preserve"> 0, 0,</v>
          </cell>
          <cell r="T24" t="str">
            <v xml:space="preserve"> 0, 0,</v>
          </cell>
          <cell r="U24" t="str">
            <v xml:space="preserve"> 0, 0,</v>
          </cell>
          <cell r="V24" t="str">
            <v xml:space="preserve"> 0, 0,</v>
          </cell>
          <cell r="W24" t="str">
            <v xml:space="preserve"> 0, 0,</v>
          </cell>
          <cell r="X24" t="str">
            <v xml:space="preserve"> 0, 0,</v>
          </cell>
          <cell r="Y24" t="str">
            <v xml:space="preserve"> 0, 0,</v>
          </cell>
          <cell r="Z24" t="str">
            <v xml:space="preserve"> 0, 0,</v>
          </cell>
          <cell r="AA24" t="str">
            <v xml:space="preserve"> 0, 0,</v>
          </cell>
          <cell r="AB24" t="str">
            <v xml:space="preserve"> 0, 0,</v>
          </cell>
          <cell r="AC24" t="str">
            <v xml:space="preserve"> 0, 0,</v>
          </cell>
          <cell r="AD24" t="str">
            <v xml:space="preserve"> 0, 0,</v>
          </cell>
        </row>
        <row r="25">
          <cell r="F25" t="str">
            <v xml:space="preserve"> 0, 0,</v>
          </cell>
          <cell r="G25" t="str">
            <v xml:space="preserve"> 0, 0,</v>
          </cell>
          <cell r="H25" t="str">
            <v xml:space="preserve"> 0, 0,</v>
          </cell>
          <cell r="I25" t="str">
            <v xml:space="preserve"> 0, 0,</v>
          </cell>
          <cell r="J25" t="str">
            <v xml:space="preserve"> 0, 0,</v>
          </cell>
          <cell r="K25" t="str">
            <v xml:space="preserve"> 0, 0,</v>
          </cell>
          <cell r="L25" t="str">
            <v xml:space="preserve"> 0, 0,</v>
          </cell>
          <cell r="M25" t="str">
            <v xml:space="preserve"> 0, 0,</v>
          </cell>
          <cell r="N25" t="str">
            <v xml:space="preserve"> 0, 0,</v>
          </cell>
          <cell r="O25" t="str">
            <v xml:space="preserve"> 0, 0,</v>
          </cell>
          <cell r="P25" t="str">
            <v xml:space="preserve"> 0, 0,</v>
          </cell>
          <cell r="Q25" t="str">
            <v xml:space="preserve"> 0, 0,</v>
          </cell>
          <cell r="R25" t="str">
            <v xml:space="preserve"> 0, 0,</v>
          </cell>
          <cell r="S25" t="str">
            <v xml:space="preserve"> 0, 0,</v>
          </cell>
          <cell r="T25" t="str">
            <v xml:space="preserve"> 0, 0,</v>
          </cell>
          <cell r="U25" t="str">
            <v xml:space="preserve"> 0, 0,</v>
          </cell>
          <cell r="V25" t="str">
            <v xml:space="preserve"> 0, 0,</v>
          </cell>
          <cell r="W25" t="str">
            <v xml:space="preserve"> 0, 0,</v>
          </cell>
          <cell r="X25" t="str">
            <v xml:space="preserve"> 0, 0,</v>
          </cell>
          <cell r="Y25" t="str">
            <v xml:space="preserve"> 0, 0,</v>
          </cell>
          <cell r="Z25" t="str">
            <v xml:space="preserve"> 0, 0,</v>
          </cell>
          <cell r="AA25" t="str">
            <v xml:space="preserve"> 0, 0,</v>
          </cell>
          <cell r="AB25" t="str">
            <v xml:space="preserve"> 0, 0,</v>
          </cell>
          <cell r="AC25" t="str">
            <v xml:space="preserve"> 0, 0,</v>
          </cell>
          <cell r="AD25" t="str">
            <v xml:space="preserve"> 0, 0,</v>
          </cell>
        </row>
        <row r="26">
          <cell r="F26" t="str">
            <v>64,64,</v>
          </cell>
          <cell r="G26" t="str">
            <v>74,74,</v>
          </cell>
          <cell r="H26" t="str">
            <v>74,74,</v>
          </cell>
          <cell r="I26" t="str">
            <v>74,74,</v>
          </cell>
          <cell r="J26" t="str">
            <v>63,63,</v>
          </cell>
          <cell r="K26" t="str">
            <v>73,73,</v>
          </cell>
          <cell r="L26" t="str">
            <v>73,73,</v>
          </cell>
          <cell r="M26" t="str">
            <v xml:space="preserve"> 0, 0,</v>
          </cell>
          <cell r="N26" t="str">
            <v xml:space="preserve"> 1, 1,</v>
          </cell>
          <cell r="O26" t="str">
            <v xml:space="preserve"> 8, 8,</v>
          </cell>
          <cell r="P26" t="str">
            <v xml:space="preserve"> 1, 1,</v>
          </cell>
          <cell r="Q26" t="str">
            <v xml:space="preserve"> 9,10,</v>
          </cell>
          <cell r="R26" t="str">
            <v xml:space="preserve"> 0, 0,</v>
          </cell>
          <cell r="S26" t="str">
            <v xml:space="preserve"> 0, 0,</v>
          </cell>
          <cell r="T26" t="str">
            <v xml:space="preserve"> 0, 0,</v>
          </cell>
          <cell r="U26" t="str">
            <v xml:space="preserve"> 0, 0,</v>
          </cell>
          <cell r="V26" t="str">
            <v xml:space="preserve"> 0, 0,</v>
          </cell>
          <cell r="W26" t="str">
            <v xml:space="preserve"> 0, 0,</v>
          </cell>
          <cell r="X26" t="str">
            <v xml:space="preserve"> 0, 0,</v>
          </cell>
          <cell r="Y26" t="str">
            <v xml:space="preserve"> 0, 0,</v>
          </cell>
          <cell r="Z26" t="str">
            <v xml:space="preserve"> 0, 0,</v>
          </cell>
          <cell r="AA26" t="str">
            <v xml:space="preserve"> 0, 0,</v>
          </cell>
          <cell r="AB26" t="str">
            <v xml:space="preserve"> 0, 0,</v>
          </cell>
          <cell r="AC26" t="str">
            <v xml:space="preserve"> 0, 0,</v>
          </cell>
          <cell r="AD26" t="str">
            <v xml:space="preserve"> 0, 0,</v>
          </cell>
        </row>
        <row r="27">
          <cell r="F27" t="str">
            <v>64,64,</v>
          </cell>
          <cell r="G27" t="str">
            <v>74,74,</v>
          </cell>
          <cell r="H27" t="str">
            <v>74,74,</v>
          </cell>
          <cell r="I27" t="str">
            <v>74,74,</v>
          </cell>
          <cell r="J27" t="str">
            <v>63,63,</v>
          </cell>
          <cell r="K27" t="str">
            <v>73,73,</v>
          </cell>
          <cell r="L27" t="str">
            <v>73,73,</v>
          </cell>
          <cell r="M27" t="str">
            <v xml:space="preserve"> 0, 0,</v>
          </cell>
          <cell r="N27" t="str">
            <v xml:space="preserve"> 2, 2,</v>
          </cell>
          <cell r="O27" t="str">
            <v>12,12,</v>
          </cell>
          <cell r="P27" t="str">
            <v xml:space="preserve"> 2, 2,</v>
          </cell>
          <cell r="Q27" t="str">
            <v xml:space="preserve"> 2, 1,</v>
          </cell>
          <cell r="R27" t="str">
            <v xml:space="preserve"> 0, 0,</v>
          </cell>
          <cell r="S27" t="str">
            <v xml:space="preserve"> 0, 0,</v>
          </cell>
          <cell r="T27" t="str">
            <v xml:space="preserve"> 0, 0,</v>
          </cell>
          <cell r="U27" t="str">
            <v xml:space="preserve"> 0, 0,</v>
          </cell>
          <cell r="V27" t="str">
            <v xml:space="preserve"> 0, 0,</v>
          </cell>
          <cell r="W27" t="str">
            <v xml:space="preserve"> 0, 0,</v>
          </cell>
          <cell r="X27" t="str">
            <v xml:space="preserve"> 0, 0,</v>
          </cell>
          <cell r="Y27" t="str">
            <v xml:space="preserve"> 0, 0,</v>
          </cell>
          <cell r="Z27" t="str">
            <v xml:space="preserve"> 0, 0,</v>
          </cell>
          <cell r="AA27" t="str">
            <v xml:space="preserve"> 0, 0,</v>
          </cell>
          <cell r="AB27" t="str">
            <v xml:space="preserve"> 0, 0,</v>
          </cell>
          <cell r="AC27" t="str">
            <v xml:space="preserve"> 0, 0,</v>
          </cell>
          <cell r="AD27" t="str">
            <v xml:space="preserve"> 0, 0,</v>
          </cell>
        </row>
        <row r="28">
          <cell r="F28" t="str">
            <v xml:space="preserve"> 0, 0,</v>
          </cell>
          <cell r="G28" t="str">
            <v>33,33,</v>
          </cell>
          <cell r="H28" t="str">
            <v xml:space="preserve"> 1, 1,</v>
          </cell>
          <cell r="I28" t="str">
            <v>33,33,</v>
          </cell>
          <cell r="J28" t="str">
            <v xml:space="preserve"> 0, 0,</v>
          </cell>
          <cell r="K28" t="str">
            <v>33,33,</v>
          </cell>
          <cell r="L28" t="str">
            <v xml:space="preserve"> 0, 0,</v>
          </cell>
          <cell r="M28" t="str">
            <v xml:space="preserve"> 0, 0,</v>
          </cell>
          <cell r="N28" t="str">
            <v xml:space="preserve"> 0, 0,</v>
          </cell>
          <cell r="O28" t="str">
            <v>12,12,</v>
          </cell>
          <cell r="P28" t="str">
            <v xml:space="preserve"> 0, 0,</v>
          </cell>
          <cell r="Q28" t="str">
            <v>62,62,</v>
          </cell>
          <cell r="R28" t="str">
            <v>72,72,</v>
          </cell>
          <cell r="S28" t="str">
            <v xml:space="preserve"> 8, 8,</v>
          </cell>
          <cell r="T28" t="str">
            <v>63,63,</v>
          </cell>
          <cell r="U28" t="str">
            <v>73,73,</v>
          </cell>
          <cell r="V28" t="str">
            <v>73,73,</v>
          </cell>
          <cell r="W28" t="str">
            <v xml:space="preserve"> 0, 0,</v>
          </cell>
          <cell r="X28" t="str">
            <v xml:space="preserve"> 0, 0,</v>
          </cell>
          <cell r="Y28" t="str">
            <v xml:space="preserve"> 0, 0,</v>
          </cell>
          <cell r="Z28" t="str">
            <v xml:space="preserve"> 0, 0,</v>
          </cell>
          <cell r="AA28" t="str">
            <v xml:space="preserve"> 0, 0,</v>
          </cell>
          <cell r="AB28" t="str">
            <v>36,37,</v>
          </cell>
          <cell r="AC28" t="str">
            <v>34,35,</v>
          </cell>
          <cell r="AD28" t="str">
            <v xml:space="preserve"> 1, 1,</v>
          </cell>
        </row>
        <row r="29">
          <cell r="F29" t="str">
            <v xml:space="preserve"> 0, 0,</v>
          </cell>
          <cell r="G29" t="str">
            <v>31,31,</v>
          </cell>
          <cell r="H29" t="str">
            <v xml:space="preserve"> 2, 2,</v>
          </cell>
          <cell r="I29" t="str">
            <v>31,31,</v>
          </cell>
          <cell r="J29" t="str">
            <v xml:space="preserve"> 0, 0,</v>
          </cell>
          <cell r="K29" t="str">
            <v>31,31,</v>
          </cell>
          <cell r="L29" t="str">
            <v xml:space="preserve"> 0, 0,</v>
          </cell>
          <cell r="M29" t="str">
            <v xml:space="preserve"> 0, 0,</v>
          </cell>
          <cell r="N29" t="str">
            <v xml:space="preserve"> 0, 0,</v>
          </cell>
          <cell r="O29" t="str">
            <v>12,12,</v>
          </cell>
          <cell r="P29" t="str">
            <v xml:space="preserve"> 0, 0,</v>
          </cell>
          <cell r="Q29" t="str">
            <v>62,62,</v>
          </cell>
          <cell r="R29" t="str">
            <v>72,72,</v>
          </cell>
          <cell r="S29" t="str">
            <v>12,12,</v>
          </cell>
          <cell r="T29" t="str">
            <v>63,63,</v>
          </cell>
          <cell r="U29" t="str">
            <v>73,73,</v>
          </cell>
          <cell r="V29" t="str">
            <v>73,73,</v>
          </cell>
          <cell r="W29" t="str">
            <v xml:space="preserve"> 0, 0,</v>
          </cell>
          <cell r="X29" t="str">
            <v xml:space="preserve"> 0, 0,</v>
          </cell>
          <cell r="Y29" t="str">
            <v xml:space="preserve"> 0, 0,</v>
          </cell>
          <cell r="Z29" t="str">
            <v xml:space="preserve"> 0, 0,</v>
          </cell>
          <cell r="AA29" t="str">
            <v xml:space="preserve"> 0, 0,</v>
          </cell>
          <cell r="AB29" t="str">
            <v>36,37,</v>
          </cell>
          <cell r="AC29" t="str">
            <v>34,35,</v>
          </cell>
          <cell r="AD29" t="str">
            <v xml:space="preserve"> 2, 2,</v>
          </cell>
        </row>
        <row r="30">
          <cell r="F30" t="str">
            <v xml:space="preserve"> 1, 1,</v>
          </cell>
          <cell r="G30" t="str">
            <v>31,31,</v>
          </cell>
          <cell r="H30" t="str">
            <v xml:space="preserve"> 1, 1,</v>
          </cell>
          <cell r="I30" t="str">
            <v>31,31,</v>
          </cell>
          <cell r="J30" t="str">
            <v xml:space="preserve"> 1, 1,</v>
          </cell>
          <cell r="K30" t="str">
            <v>31,31,</v>
          </cell>
          <cell r="L30" t="str">
            <v xml:space="preserve"> 0, 0,</v>
          </cell>
          <cell r="M30" t="str">
            <v xml:space="preserve"> 0, 0,</v>
          </cell>
          <cell r="N30" t="str">
            <v xml:space="preserve"> 0, 0,</v>
          </cell>
          <cell r="O30" t="str">
            <v>12,12,</v>
          </cell>
          <cell r="P30" t="str">
            <v xml:space="preserve"> 0, 0,</v>
          </cell>
          <cell r="Q30" t="str">
            <v xml:space="preserve"> 0, 0,</v>
          </cell>
          <cell r="R30" t="str">
            <v xml:space="preserve"> 0, 0,</v>
          </cell>
          <cell r="S30" t="str">
            <v>12,12,</v>
          </cell>
          <cell r="T30" t="str">
            <v xml:space="preserve"> 0, 0,</v>
          </cell>
          <cell r="U30" t="str">
            <v xml:space="preserve"> 0, 0,</v>
          </cell>
          <cell r="V30" t="str">
            <v xml:space="preserve"> 0, 0,</v>
          </cell>
          <cell r="W30" t="str">
            <v xml:space="preserve"> 0, 0,</v>
          </cell>
          <cell r="X30" t="str">
            <v xml:space="preserve"> 0, 0,</v>
          </cell>
          <cell r="Y30" t="str">
            <v xml:space="preserve"> 0, 0,</v>
          </cell>
          <cell r="Z30" t="str">
            <v>63,63,</v>
          </cell>
          <cell r="AA30" t="str">
            <v>73,73,</v>
          </cell>
          <cell r="AB30" t="str">
            <v>73,73,</v>
          </cell>
          <cell r="AC30" t="str">
            <v xml:space="preserve"> 8, 8,</v>
          </cell>
          <cell r="AD30" t="str">
            <v xml:space="preserve"> 1, 1,</v>
          </cell>
        </row>
        <row r="31">
          <cell r="F31" t="str">
            <v xml:space="preserve"> 2, 2,</v>
          </cell>
          <cell r="G31" t="str">
            <v>31,31,</v>
          </cell>
          <cell r="H31" t="str">
            <v xml:space="preserve"> 2, 2,</v>
          </cell>
          <cell r="I31" t="str">
            <v>31,31,</v>
          </cell>
          <cell r="J31" t="str">
            <v xml:space="preserve"> 2, 2,</v>
          </cell>
          <cell r="K31" t="str">
            <v>31,31,</v>
          </cell>
          <cell r="L31" t="str">
            <v xml:space="preserve"> 0, 0,</v>
          </cell>
          <cell r="M31" t="str">
            <v xml:space="preserve"> 0, 0,</v>
          </cell>
          <cell r="N31" t="str">
            <v xml:space="preserve"> 0, 0,</v>
          </cell>
          <cell r="O31" t="str">
            <v xml:space="preserve"> 7, 7,</v>
          </cell>
          <cell r="P31" t="str">
            <v xml:space="preserve"> 0, 0,</v>
          </cell>
          <cell r="Q31" t="str">
            <v xml:space="preserve"> 0, 0,</v>
          </cell>
          <cell r="R31" t="str">
            <v xml:space="preserve"> 0, 0,</v>
          </cell>
          <cell r="S31" t="str">
            <v xml:space="preserve"> 7, 7,</v>
          </cell>
          <cell r="T31" t="str">
            <v xml:space="preserve"> 0, 0,</v>
          </cell>
          <cell r="U31" t="str">
            <v xml:space="preserve"> 0, 0,</v>
          </cell>
          <cell r="V31" t="str">
            <v xml:space="preserve"> 0, 0,</v>
          </cell>
          <cell r="W31" t="str">
            <v xml:space="preserve"> 0, 0,</v>
          </cell>
          <cell r="X31" t="str">
            <v xml:space="preserve"> 0, 0,</v>
          </cell>
          <cell r="Y31" t="str">
            <v xml:space="preserve"> 0, 0,</v>
          </cell>
          <cell r="Z31" t="str">
            <v>63,63,</v>
          </cell>
          <cell r="AA31" t="str">
            <v>73,73,</v>
          </cell>
          <cell r="AB31" t="str">
            <v>73,73,</v>
          </cell>
          <cell r="AC31" t="str">
            <v>12,12,</v>
          </cell>
          <cell r="AD31" t="str">
            <v xml:space="preserve"> 2, 2,</v>
          </cell>
        </row>
        <row r="32">
          <cell r="F32" t="str">
            <v xml:space="preserve"> 0, 0,</v>
          </cell>
          <cell r="G32" t="str">
            <v>31,31,</v>
          </cell>
          <cell r="H32" t="str">
            <v xml:space="preserve"> 0, 0,</v>
          </cell>
          <cell r="I32" t="str">
            <v>31,31,</v>
          </cell>
          <cell r="J32" t="str">
            <v xml:space="preserve"> 0, 0,</v>
          </cell>
          <cell r="K32" t="str">
            <v>31,31,</v>
          </cell>
          <cell r="L32" t="str">
            <v xml:space="preserve"> 0, 0,</v>
          </cell>
          <cell r="M32" t="str">
            <v xml:space="preserve"> 1, 1,</v>
          </cell>
          <cell r="N32" t="str">
            <v xml:space="preserve"> 8, 8,</v>
          </cell>
          <cell r="O32" t="str">
            <v>64,64,</v>
          </cell>
          <cell r="P32" t="str">
            <v>74,74,</v>
          </cell>
          <cell r="Q32" t="str">
            <v>74,74,</v>
          </cell>
          <cell r="R32" t="str">
            <v>74,74,</v>
          </cell>
          <cell r="S32" t="str">
            <v xml:space="preserve"> 1, 1,</v>
          </cell>
          <cell r="T32" t="str">
            <v xml:space="preserve"> 0, 0,</v>
          </cell>
          <cell r="U32" t="str">
            <v xml:space="preserve"> 0, 0,</v>
          </cell>
          <cell r="V32" t="str">
            <v xml:space="preserve"> 0, 0,</v>
          </cell>
          <cell r="W32" t="str">
            <v xml:space="preserve"> 0, 0,</v>
          </cell>
          <cell r="X32" t="str">
            <v xml:space="preserve"> 0, 0,</v>
          </cell>
          <cell r="Y32" t="str">
            <v xml:space="preserve"> 0, 0,</v>
          </cell>
          <cell r="Z32" t="str">
            <v xml:space="preserve"> 0, 0,</v>
          </cell>
          <cell r="AA32" t="str">
            <v xml:space="preserve"> 0, 0,</v>
          </cell>
          <cell r="AB32" t="str">
            <v xml:space="preserve"> 0, 0,</v>
          </cell>
          <cell r="AC32" t="str">
            <v>12,12,</v>
          </cell>
          <cell r="AD32" t="str">
            <v xml:space="preserve"> 1, 1,</v>
          </cell>
        </row>
        <row r="33">
          <cell r="F33" t="str">
            <v xml:space="preserve"> 0, 0,</v>
          </cell>
          <cell r="G33" t="str">
            <v>31,31,</v>
          </cell>
          <cell r="H33" t="str">
            <v xml:space="preserve"> 0, 0,</v>
          </cell>
          <cell r="I33" t="str">
            <v>31,31,</v>
          </cell>
          <cell r="J33" t="str">
            <v xml:space="preserve"> 0, 0,</v>
          </cell>
          <cell r="K33" t="str">
            <v>31,31,</v>
          </cell>
          <cell r="L33" t="str">
            <v xml:space="preserve"> 0, 0,</v>
          </cell>
          <cell r="M33" t="str">
            <v xml:space="preserve"> 2, 2,</v>
          </cell>
          <cell r="N33" t="str">
            <v>12,12,</v>
          </cell>
          <cell r="O33" t="str">
            <v>64,64,</v>
          </cell>
          <cell r="P33" t="str">
            <v>74,74,</v>
          </cell>
          <cell r="Q33" t="str">
            <v>74,74,</v>
          </cell>
          <cell r="R33" t="str">
            <v>74,74,</v>
          </cell>
          <cell r="S33" t="str">
            <v xml:space="preserve"> 2, 2,</v>
          </cell>
          <cell r="T33" t="str">
            <v xml:space="preserve"> 0, 0,</v>
          </cell>
          <cell r="U33" t="str">
            <v xml:space="preserve"> 0, 0,</v>
          </cell>
          <cell r="V33" t="str">
            <v xml:space="preserve"> 0, 0,</v>
          </cell>
          <cell r="W33" t="str">
            <v xml:space="preserve"> 0, 0,</v>
          </cell>
          <cell r="X33" t="str">
            <v xml:space="preserve"> 0, 0,</v>
          </cell>
          <cell r="Y33" t="str">
            <v xml:space="preserve"> 0, 0,</v>
          </cell>
          <cell r="Z33" t="str">
            <v xml:space="preserve"> 0, 0,</v>
          </cell>
          <cell r="AA33" t="str">
            <v xml:space="preserve"> 0, 0,</v>
          </cell>
          <cell r="AB33" t="str">
            <v xml:space="preserve"> 0, 0,</v>
          </cell>
          <cell r="AC33" t="str">
            <v>12,12,</v>
          </cell>
          <cell r="AD33" t="str">
            <v xml:space="preserve"> 2, 2,</v>
          </cell>
        </row>
        <row r="34">
          <cell r="F34" t="str">
            <v xml:space="preserve"> 0, 0,</v>
          </cell>
          <cell r="G34" t="str">
            <v>31,31,</v>
          </cell>
          <cell r="H34" t="str">
            <v xml:space="preserve"> 1, 1,</v>
          </cell>
          <cell r="I34" t="str">
            <v>31,31,</v>
          </cell>
          <cell r="J34" t="str">
            <v xml:space="preserve"> 0, 0,</v>
          </cell>
          <cell r="K34" t="str">
            <v>31,31,</v>
          </cell>
          <cell r="L34" t="str">
            <v xml:space="preserve"> 0, 0,</v>
          </cell>
          <cell r="M34" t="str">
            <v xml:space="preserve"> 0, 0,</v>
          </cell>
          <cell r="N34" t="str">
            <v>12,12,</v>
          </cell>
          <cell r="O34" t="str">
            <v xml:space="preserve"> 0, 0,</v>
          </cell>
          <cell r="P34" t="str">
            <v xml:space="preserve"> 0, 0,</v>
          </cell>
          <cell r="Q34" t="str">
            <v xml:space="preserve"> 0, 0,</v>
          </cell>
          <cell r="R34" t="str">
            <v>24,24,</v>
          </cell>
          <cell r="S34" t="str">
            <v xml:space="preserve"> 0, 0,</v>
          </cell>
          <cell r="T34" t="str">
            <v xml:space="preserve"> 0, 0,</v>
          </cell>
          <cell r="U34" t="str">
            <v xml:space="preserve"> 0, 0,</v>
          </cell>
          <cell r="V34" t="str">
            <v xml:space="preserve"> 0, 0,</v>
          </cell>
          <cell r="W34" t="str">
            <v xml:space="preserve"> 0, 0,</v>
          </cell>
          <cell r="X34" t="str">
            <v xml:space="preserve"> 0, 0,</v>
          </cell>
          <cell r="Y34" t="str">
            <v xml:space="preserve"> 0, 0,</v>
          </cell>
          <cell r="Z34" t="str">
            <v>63,63,</v>
          </cell>
          <cell r="AA34" t="str">
            <v>73,73,</v>
          </cell>
          <cell r="AB34" t="str">
            <v>73,73,</v>
          </cell>
          <cell r="AC34" t="str">
            <v>12,12,</v>
          </cell>
          <cell r="AD34" t="str">
            <v xml:space="preserve"> 1, 1,</v>
          </cell>
        </row>
        <row r="35">
          <cell r="F35" t="str">
            <v xml:space="preserve"> 0, 0,</v>
          </cell>
          <cell r="G35" t="str">
            <v>31,31,</v>
          </cell>
          <cell r="H35" t="str">
            <v xml:space="preserve"> 2, 2,</v>
          </cell>
          <cell r="I35" t="str">
            <v>31,31,</v>
          </cell>
          <cell r="J35" t="str">
            <v xml:space="preserve"> 0, 0,</v>
          </cell>
          <cell r="K35" t="str">
            <v>32,32,</v>
          </cell>
          <cell r="L35" t="str">
            <v xml:space="preserve"> 0, 0,</v>
          </cell>
          <cell r="M35" t="str">
            <v xml:space="preserve"> 0, 0,</v>
          </cell>
          <cell r="N35" t="str">
            <v>12,12,</v>
          </cell>
          <cell r="O35" t="str">
            <v xml:space="preserve"> 0, 0,</v>
          </cell>
          <cell r="P35" t="str">
            <v xml:space="preserve"> 0, 0,</v>
          </cell>
          <cell r="Q35" t="str">
            <v xml:space="preserve"> 0, 0,</v>
          </cell>
          <cell r="R35" t="str">
            <v>24,24,</v>
          </cell>
          <cell r="S35" t="str">
            <v xml:space="preserve"> 0, 0,</v>
          </cell>
          <cell r="T35" t="str">
            <v xml:space="preserve"> 0, 0,</v>
          </cell>
          <cell r="U35" t="str">
            <v xml:space="preserve"> 0, 0,</v>
          </cell>
          <cell r="V35" t="str">
            <v xml:space="preserve"> 0, 0,</v>
          </cell>
          <cell r="W35" t="str">
            <v xml:space="preserve"> 0, 0,</v>
          </cell>
          <cell r="X35" t="str">
            <v xml:space="preserve"> 0, 0,</v>
          </cell>
          <cell r="Y35" t="str">
            <v xml:space="preserve"> 0, 0,</v>
          </cell>
          <cell r="Z35" t="str">
            <v>63,63,</v>
          </cell>
          <cell r="AA35" t="str">
            <v>73,73,</v>
          </cell>
          <cell r="AB35" t="str">
            <v>73,73,</v>
          </cell>
          <cell r="AC35" t="str">
            <v>12,12,</v>
          </cell>
          <cell r="AD35" t="str">
            <v xml:space="preserve"> 2, 2,</v>
          </cell>
        </row>
        <row r="36">
          <cell r="F36" t="str">
            <v xml:space="preserve"> 0, 0,</v>
          </cell>
          <cell r="G36" t="str">
            <v>31,31,</v>
          </cell>
          <cell r="H36" t="str">
            <v xml:space="preserve"> 0, 0,</v>
          </cell>
          <cell r="I36" t="str">
            <v>31,31,</v>
          </cell>
          <cell r="J36" t="str">
            <v xml:space="preserve"> 0, 0,</v>
          </cell>
          <cell r="K36" t="str">
            <v xml:space="preserve"> 0, 0,</v>
          </cell>
          <cell r="L36" t="str">
            <v xml:space="preserve"> 0, 0,</v>
          </cell>
          <cell r="M36" t="str">
            <v xml:space="preserve"> 0, 0,</v>
          </cell>
          <cell r="N36" t="str">
            <v>12,12,</v>
          </cell>
          <cell r="O36" t="str">
            <v xml:space="preserve"> 0, 0,</v>
          </cell>
          <cell r="P36" t="str">
            <v xml:space="preserve"> 8, 8,</v>
          </cell>
          <cell r="Q36" t="str">
            <v>62,62,</v>
          </cell>
          <cell r="R36" t="str">
            <v>72,72,</v>
          </cell>
          <cell r="S36" t="str">
            <v xml:space="preserve"> 9,10,</v>
          </cell>
          <cell r="T36" t="str">
            <v xml:space="preserve"> 0, 0,</v>
          </cell>
          <cell r="U36" t="str">
            <v xml:space="preserve"> 0, 0,</v>
          </cell>
          <cell r="V36" t="str">
            <v xml:space="preserve"> 0, 0,</v>
          </cell>
          <cell r="W36" t="str">
            <v xml:space="preserve"> 0, 0,</v>
          </cell>
          <cell r="X36" t="str">
            <v xml:space="preserve"> 0, 0,</v>
          </cell>
          <cell r="Y36" t="str">
            <v xml:space="preserve"> 0, 0,</v>
          </cell>
          <cell r="Z36" t="str">
            <v xml:space="preserve"> 0, 0,</v>
          </cell>
          <cell r="AA36" t="str">
            <v>25,25,</v>
          </cell>
          <cell r="AB36" t="str">
            <v xml:space="preserve"> 0, 0,</v>
          </cell>
          <cell r="AC36" t="str">
            <v>12,12,</v>
          </cell>
          <cell r="AD36" t="str">
            <v xml:space="preserve"> 1, 1,</v>
          </cell>
        </row>
        <row r="37">
          <cell r="F37" t="str">
            <v xml:space="preserve"> 0, 0,</v>
          </cell>
          <cell r="G37" t="str">
            <v>32,32,</v>
          </cell>
          <cell r="H37" t="str">
            <v xml:space="preserve"> 0, 0,</v>
          </cell>
          <cell r="I37" t="str">
            <v>31,31,</v>
          </cell>
          <cell r="J37" t="str">
            <v xml:space="preserve"> 0, 0,</v>
          </cell>
          <cell r="K37" t="str">
            <v xml:space="preserve"> 0, 0,</v>
          </cell>
          <cell r="L37" t="str">
            <v xml:space="preserve"> 0, 0,</v>
          </cell>
          <cell r="M37" t="str">
            <v xml:space="preserve"> 0, 0,</v>
          </cell>
          <cell r="N37" t="str">
            <v>12,12,</v>
          </cell>
          <cell r="O37" t="str">
            <v xml:space="preserve"> 0, 0,</v>
          </cell>
          <cell r="P37" t="str">
            <v>12,12,</v>
          </cell>
          <cell r="Q37" t="str">
            <v>62,62,</v>
          </cell>
          <cell r="R37" t="str">
            <v>72,72,</v>
          </cell>
          <cell r="S37" t="str">
            <v xml:space="preserve"> 2, 1,</v>
          </cell>
          <cell r="T37" t="str">
            <v xml:space="preserve"> 0, 0,</v>
          </cell>
          <cell r="U37" t="str">
            <v xml:space="preserve"> 0, 0,</v>
          </cell>
          <cell r="V37" t="str">
            <v xml:space="preserve"> 0, 0,</v>
          </cell>
          <cell r="W37" t="str">
            <v xml:space="preserve"> 0, 0,</v>
          </cell>
          <cell r="X37" t="str">
            <v xml:space="preserve"> 0, 0,</v>
          </cell>
          <cell r="Y37" t="str">
            <v xml:space="preserve"> 0, 0,</v>
          </cell>
          <cell r="Z37" t="str">
            <v xml:space="preserve"> 0, 0,</v>
          </cell>
          <cell r="AA37" t="str">
            <v>25,25,</v>
          </cell>
          <cell r="AB37" t="str">
            <v xml:space="preserve"> 0, 0,</v>
          </cell>
          <cell r="AC37" t="str">
            <v xml:space="preserve"> 7, 7,</v>
          </cell>
          <cell r="AD37" t="str">
            <v xml:space="preserve"> 2, 2,</v>
          </cell>
        </row>
        <row r="38">
          <cell r="F38" t="str">
            <v xml:space="preserve"> 4, 5,</v>
          </cell>
          <cell r="G38" t="str">
            <v xml:space="preserve"> 1, 1,</v>
          </cell>
          <cell r="H38" t="str">
            <v>20, 0,</v>
          </cell>
          <cell r="I38" t="str">
            <v>31,31,</v>
          </cell>
          <cell r="J38" t="str">
            <v xml:space="preserve"> 0, 0,</v>
          </cell>
          <cell r="K38" t="str">
            <v>18,18,</v>
          </cell>
          <cell r="L38" t="str">
            <v xml:space="preserve"> 1,19,</v>
          </cell>
          <cell r="M38" t="str">
            <v xml:space="preserve"> 0, 0,</v>
          </cell>
          <cell r="N38" t="str">
            <v>12,12,</v>
          </cell>
          <cell r="O38" t="str">
            <v xml:space="preserve"> 0, 0,</v>
          </cell>
          <cell r="P38" t="str">
            <v>12,12,</v>
          </cell>
          <cell r="Q38" t="str">
            <v xml:space="preserve"> 0, 0,</v>
          </cell>
          <cell r="R38" t="str">
            <v xml:space="preserve"> 0, 0,</v>
          </cell>
          <cell r="S38" t="str">
            <v>62,62,</v>
          </cell>
          <cell r="T38" t="str">
            <v>72,72,</v>
          </cell>
          <cell r="U38" t="str">
            <v xml:space="preserve"> 0, 0,</v>
          </cell>
          <cell r="V38" t="str">
            <v xml:space="preserve"> 0, 0,</v>
          </cell>
          <cell r="W38" t="str">
            <v xml:space="preserve"> 0, 0,</v>
          </cell>
          <cell r="X38" t="str">
            <v>64,64,</v>
          </cell>
          <cell r="Y38" t="str">
            <v>74,74,</v>
          </cell>
          <cell r="Z38" t="str">
            <v>74,74,</v>
          </cell>
          <cell r="AA38" t="str">
            <v>74,74,</v>
          </cell>
          <cell r="AB38" t="str">
            <v>63,63,</v>
          </cell>
          <cell r="AC38" t="str">
            <v>73,73,</v>
          </cell>
          <cell r="AD38" t="str">
            <v>73,73,</v>
          </cell>
        </row>
        <row r="39">
          <cell r="F39" t="str">
            <v xml:space="preserve"> 1, 2,</v>
          </cell>
          <cell r="G39" t="str">
            <v xml:space="preserve"> 2, 2,</v>
          </cell>
          <cell r="H39" t="str">
            <v xml:space="preserve"> 2,20,</v>
          </cell>
          <cell r="I39" t="str">
            <v>32,32,</v>
          </cell>
          <cell r="J39" t="str">
            <v xml:space="preserve"> 0, 0,</v>
          </cell>
          <cell r="K39" t="str">
            <v>18,18,</v>
          </cell>
          <cell r="L39" t="str">
            <v xml:space="preserve"> 2, 2,</v>
          </cell>
          <cell r="M39" t="str">
            <v xml:space="preserve"> 0, 0,</v>
          </cell>
          <cell r="N39" t="str">
            <v xml:space="preserve"> 7, 7,</v>
          </cell>
          <cell r="O39" t="str">
            <v xml:space="preserve"> 0, 0,</v>
          </cell>
          <cell r="P39" t="str">
            <v xml:space="preserve"> 7, 7,</v>
          </cell>
          <cell r="Q39" t="str">
            <v xml:space="preserve"> 0, 0,</v>
          </cell>
          <cell r="R39" t="str">
            <v xml:space="preserve"> 0, 0,</v>
          </cell>
          <cell r="S39" t="str">
            <v>62,62,</v>
          </cell>
          <cell r="T39" t="str">
            <v>72,72,</v>
          </cell>
          <cell r="U39" t="str">
            <v>40,40,</v>
          </cell>
          <cell r="V39" t="str">
            <v>38,38,</v>
          </cell>
          <cell r="W39" t="str">
            <v>39,39,</v>
          </cell>
          <cell r="X39" t="str">
            <v>64,64,</v>
          </cell>
          <cell r="Y39" t="str">
            <v>74,74,</v>
          </cell>
          <cell r="Z39" t="str">
            <v>74,74,</v>
          </cell>
          <cell r="AA39" t="str">
            <v>74,74,</v>
          </cell>
          <cell r="AB39" t="str">
            <v>63,63,</v>
          </cell>
          <cell r="AC39" t="str">
            <v>73,73,</v>
          </cell>
          <cell r="AD39" t="str">
            <v>73,73,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172</v>
      </c>
      <c r="K13" s="6" t="s">
        <v>66</v>
      </c>
      <c r="L13" s="6" t="s">
        <v>68</v>
      </c>
      <c r="M13" s="6" t="s">
        <v>68</v>
      </c>
      <c r="N13" s="6" t="s">
        <v>68</v>
      </c>
      <c r="O13" s="6" t="s">
        <v>66</v>
      </c>
      <c r="P13" s="6" t="s">
        <v>68</v>
      </c>
      <c r="Q13" s="6" t="s">
        <v>68</v>
      </c>
      <c r="R13" s="6" t="s">
        <v>68</v>
      </c>
      <c r="S13" s="6" t="s">
        <v>66</v>
      </c>
      <c r="T13" s="6" t="s">
        <v>68</v>
      </c>
      <c r="U13" s="6" t="s">
        <v>68</v>
      </c>
      <c r="V13" s="6" t="s">
        <v>68</v>
      </c>
      <c r="W13" s="6" t="s">
        <v>168</v>
      </c>
      <c r="X13" s="6" t="s">
        <v>171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6</v>
      </c>
      <c r="P14" s="6" t="s">
        <v>4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4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6</v>
      </c>
      <c r="M15" s="4" t="s">
        <v>6</v>
      </c>
      <c r="N15" s="4" t="s">
        <v>6</v>
      </c>
      <c r="O15" s="6" t="s">
        <v>6</v>
      </c>
      <c r="P15" s="6" t="s">
        <v>2</v>
      </c>
      <c r="Q15" s="6" t="s">
        <v>66</v>
      </c>
      <c r="R15" s="6" t="s">
        <v>68</v>
      </c>
      <c r="S15" s="6" t="s">
        <v>68</v>
      </c>
      <c r="T15" s="6" t="s">
        <v>68</v>
      </c>
      <c r="U15" s="6" t="s">
        <v>82</v>
      </c>
      <c r="V15" s="6" t="s">
        <v>83</v>
      </c>
      <c r="W15" s="6" t="s">
        <v>2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6</v>
      </c>
      <c r="P16" s="4" t="s">
        <v>6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2</v>
      </c>
      <c r="X16" s="4" t="s">
        <v>6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6</v>
      </c>
      <c r="U17" s="6" t="s">
        <v>6</v>
      </c>
      <c r="V17" s="6" t="s">
        <v>6</v>
      </c>
      <c r="W17" s="6" t="s">
        <v>3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6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173</v>
      </c>
      <c r="Z18" s="4" t="s">
        <v>174</v>
      </c>
      <c r="AA18" s="4" t="s">
        <v>174</v>
      </c>
      <c r="AB18" s="4" t="s">
        <v>6</v>
      </c>
      <c r="AC18" s="6" t="s">
        <v>6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192</v>
      </c>
      <c r="M19" s="4" t="s">
        <v>6</v>
      </c>
      <c r="N19" s="4" t="s">
        <v>6</v>
      </c>
      <c r="O19" s="4" t="s">
        <v>6</v>
      </c>
      <c r="P19" s="4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6</v>
      </c>
      <c r="W19" s="4" t="s">
        <v>6</v>
      </c>
      <c r="X19" s="6" t="s">
        <v>6</v>
      </c>
      <c r="Y19" s="6" t="s">
        <v>169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6</v>
      </c>
      <c r="G20" s="6" t="s">
        <v>192</v>
      </c>
      <c r="H20" s="6" t="s">
        <v>6</v>
      </c>
      <c r="I20" s="6" t="s">
        <v>6</v>
      </c>
      <c r="J20" s="6" t="s">
        <v>187</v>
      </c>
      <c r="K20" s="6" t="s">
        <v>66</v>
      </c>
      <c r="L20" s="6" t="s">
        <v>68</v>
      </c>
      <c r="M20" s="6" t="s">
        <v>68</v>
      </c>
      <c r="N20" s="6" t="s">
        <v>68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6</v>
      </c>
      <c r="X20" s="6" t="s">
        <v>170</v>
      </c>
      <c r="Y20" s="6" t="s">
        <v>173</v>
      </c>
      <c r="Z20" s="6" t="s">
        <v>174</v>
      </c>
      <c r="AA20" s="6" t="s">
        <v>174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175</v>
      </c>
      <c r="K24" t="s">
        <v>67</v>
      </c>
      <c r="L24" t="s">
        <v>69</v>
      </c>
      <c r="M24" t="s">
        <v>69</v>
      </c>
      <c r="N24" t="s">
        <v>69</v>
      </c>
      <c r="O24" t="s">
        <v>67</v>
      </c>
      <c r="P24" t="s">
        <v>69</v>
      </c>
      <c r="Q24" t="s">
        <v>69</v>
      </c>
      <c r="R24" t="s">
        <v>69</v>
      </c>
      <c r="S24" t="s">
        <v>67</v>
      </c>
      <c r="T24" t="s">
        <v>69</v>
      </c>
      <c r="U24" t="s">
        <v>69</v>
      </c>
      <c r="V24" t="s">
        <v>69</v>
      </c>
      <c r="W24" t="s">
        <v>176</v>
      </c>
      <c r="X24" t="s">
        <v>178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175</v>
      </c>
      <c r="K25" t="s">
        <v>67</v>
      </c>
      <c r="L25" t="s">
        <v>69</v>
      </c>
      <c r="M25" t="s">
        <v>69</v>
      </c>
      <c r="N25" t="s">
        <v>69</v>
      </c>
      <c r="O25" t="s">
        <v>67</v>
      </c>
      <c r="P25" t="s">
        <v>69</v>
      </c>
      <c r="Q25" t="s">
        <v>69</v>
      </c>
      <c r="R25" t="s">
        <v>69</v>
      </c>
      <c r="S25" t="s">
        <v>67</v>
      </c>
      <c r="T25" t="s">
        <v>69</v>
      </c>
      <c r="U25" t="s">
        <v>69</v>
      </c>
      <c r="V25" t="s">
        <v>69</v>
      </c>
      <c r="W25" t="s">
        <v>177</v>
      </c>
      <c r="X25" t="s">
        <v>178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179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179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180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180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5</v>
      </c>
      <c r="N28" t="s">
        <v>5</v>
      </c>
      <c r="O28" t="s">
        <v>5</v>
      </c>
      <c r="P28" t="s">
        <v>180</v>
      </c>
      <c r="Q28" t="s">
        <v>67</v>
      </c>
      <c r="R28" t="s">
        <v>69</v>
      </c>
      <c r="S28" t="s">
        <v>69</v>
      </c>
      <c r="T28" t="s">
        <v>69</v>
      </c>
      <c r="U28" t="s">
        <v>84</v>
      </c>
      <c r="V28" t="s">
        <v>85</v>
      </c>
      <c r="W28" t="s">
        <v>180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5</v>
      </c>
      <c r="N29" t="s">
        <v>5</v>
      </c>
      <c r="O29" t="s">
        <v>5</v>
      </c>
      <c r="P29" t="s">
        <v>180</v>
      </c>
      <c r="Q29" t="s">
        <v>67</v>
      </c>
      <c r="R29" t="s">
        <v>69</v>
      </c>
      <c r="S29" t="s">
        <v>69</v>
      </c>
      <c r="T29" t="s">
        <v>69</v>
      </c>
      <c r="U29" t="s">
        <v>84</v>
      </c>
      <c r="V29" t="s">
        <v>85</v>
      </c>
      <c r="W29" t="s">
        <v>180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5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180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180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5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180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181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184</v>
      </c>
      <c r="Z34" t="s">
        <v>185</v>
      </c>
      <c r="AA34" t="s">
        <v>185</v>
      </c>
      <c r="AB34" t="s">
        <v>5</v>
      </c>
      <c r="AC34" t="s">
        <v>5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184</v>
      </c>
      <c r="Z35" t="s">
        <v>185</v>
      </c>
      <c r="AA35" t="s">
        <v>185</v>
      </c>
      <c r="AB35" t="s">
        <v>5</v>
      </c>
      <c r="AC35" t="s">
        <v>5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186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191</v>
      </c>
      <c r="M37" t="s">
        <v>5</v>
      </c>
      <c r="N37" t="s">
        <v>5</v>
      </c>
      <c r="O37" t="s">
        <v>5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186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5</v>
      </c>
      <c r="H38" t="s">
        <v>5</v>
      </c>
      <c r="I38" t="s">
        <v>5</v>
      </c>
      <c r="J38" t="s">
        <v>189</v>
      </c>
      <c r="K38" t="s">
        <v>67</v>
      </c>
      <c r="L38" t="s">
        <v>69</v>
      </c>
      <c r="M38" t="s">
        <v>69</v>
      </c>
      <c r="N38" t="s">
        <v>69</v>
      </c>
      <c r="O38" t="s">
        <v>5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182</v>
      </c>
      <c r="Y38" t="s">
        <v>184</v>
      </c>
      <c r="Z38" t="s">
        <v>185</v>
      </c>
      <c r="AA38" t="s">
        <v>185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5</v>
      </c>
      <c r="G39" t="s">
        <v>191</v>
      </c>
      <c r="H39" t="s">
        <v>5</v>
      </c>
      <c r="I39" t="s">
        <v>5</v>
      </c>
      <c r="J39" t="s">
        <v>190</v>
      </c>
      <c r="K39" t="s">
        <v>67</v>
      </c>
      <c r="L39" t="s">
        <v>69</v>
      </c>
      <c r="M39" t="s">
        <v>69</v>
      </c>
      <c r="N39" t="s">
        <v>69</v>
      </c>
      <c r="O39" t="s">
        <v>5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5</v>
      </c>
      <c r="X39" t="s">
        <v>183</v>
      </c>
      <c r="Y39" t="s">
        <v>184</v>
      </c>
      <c r="Z39" t="s">
        <v>185</v>
      </c>
      <c r="AA39" t="s">
        <v>185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4"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 0, 0,  0, 0,  0, 0,  0, 0,  0,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23,23,  0, 0,  0, 0,  0, 0,  0, 0,  0, 0,  0, 0,  0, 0,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4, 5, 64,64, 74,74, 74,74, 74,74,  0, 0,  0, 0,  0, 0,  0, 0,  0, 0,  0, 0,  0,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0, 0, 23,23,  0, 0,  0, 0,  1, 2, 64,64, 74,74, 74,74, 74,74,  0, 0,  0, 0,  0, 0,  0, 0,  0, 0,  0, 0,  0, 0,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188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188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17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tr">
        <f ca="1">_xlfn.CONCAT("uint16_t ", _xlfn.TEXTAFTER(CELL("filename"),"]"), "_Enemies[] = {")</f>
        <v>uint16_t Level_00_Enemies[]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18</v>
      </c>
    </row>
    <row r="74" spans="6:15" ht="18" customHeight="1" x14ac:dyDescent="0.25">
      <c r="F74" s="7" t="s">
        <v>15</v>
      </c>
    </row>
    <row r="75" spans="6:15" ht="18" customHeight="1" x14ac:dyDescent="0.25">
      <c r="F75" s="8" t="s">
        <v>16</v>
      </c>
    </row>
    <row r="76" spans="6:15" ht="18" customHeight="1" x14ac:dyDescent="0.25">
      <c r="F76" s="8" t="s">
        <v>19</v>
      </c>
    </row>
    <row r="77" spans="6:15" ht="18" customHeight="1" x14ac:dyDescent="0.25">
      <c r="F77" s="7" t="s">
        <v>20</v>
      </c>
    </row>
    <row r="78" spans="6:15" ht="18" customHeight="1" x14ac:dyDescent="0.25">
      <c r="F78" s="7"/>
    </row>
    <row r="79" spans="6:15" ht="18" customHeight="1" x14ac:dyDescent="0.25">
      <c r="F79" s="7" t="s">
        <v>18</v>
      </c>
    </row>
    <row r="80" spans="6:15" ht="18" customHeight="1" x14ac:dyDescent="0.25">
      <c r="F80" s="7" t="s">
        <v>15</v>
      </c>
    </row>
    <row r="81" spans="6:6" ht="18" customHeight="1" x14ac:dyDescent="0.25">
      <c r="F81" s="7" t="s">
        <v>16</v>
      </c>
    </row>
    <row r="82" spans="6:6" ht="18" customHeight="1" x14ac:dyDescent="0.25">
      <c r="F82" s="7" t="s">
        <v>19</v>
      </c>
    </row>
    <row r="83" spans="6:6" ht="18" customHeight="1" x14ac:dyDescent="0.25">
      <c r="F83" s="7" t="s">
        <v>20</v>
      </c>
    </row>
    <row r="84" spans="6:6" ht="18" customHeight="1" x14ac:dyDescent="0.25">
      <c r="F84" s="7"/>
    </row>
    <row r="85" spans="6:6" ht="18" customHeight="1" x14ac:dyDescent="0.25">
      <c r="F85" s="7" t="s">
        <v>18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19</v>
      </c>
    </row>
    <row r="89" spans="6:6" ht="18" customHeight="1" x14ac:dyDescent="0.25">
      <c r="F89" s="7" t="s">
        <v>20</v>
      </c>
    </row>
    <row r="90" spans="6:6" ht="18" customHeight="1" x14ac:dyDescent="0.25">
      <c r="F90" s="7"/>
    </row>
    <row r="91" spans="6:6" ht="18" customHeight="1" x14ac:dyDescent="0.25">
      <c r="F91" s="7" t="s">
        <v>18</v>
      </c>
    </row>
    <row r="92" spans="6:6" ht="18" customHeight="1" x14ac:dyDescent="0.25">
      <c r="F92" s="7" t="s">
        <v>15</v>
      </c>
    </row>
    <row r="93" spans="6:6" ht="18" customHeight="1" x14ac:dyDescent="0.25">
      <c r="F93" s="7" t="s">
        <v>16</v>
      </c>
    </row>
    <row r="94" spans="6:6" ht="18" customHeight="1" x14ac:dyDescent="0.25">
      <c r="F94" s="7" t="s">
        <v>19</v>
      </c>
    </row>
    <row r="95" spans="6:6" ht="18" customHeight="1" x14ac:dyDescent="0.25">
      <c r="F95" s="7" t="s">
        <v>20</v>
      </c>
    </row>
    <row r="96" spans="6:6" ht="18" customHeight="1" x14ac:dyDescent="0.25">
      <c r="F96" s="7" t="s">
        <v>12</v>
      </c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4F037-9979-4B48-A29D-D22C4C252675}">
  <sheetPr codeName="Sheet10"/>
  <dimension ref="C1:AE259"/>
  <sheetViews>
    <sheetView topLeftCell="B4" zoomScale="80" zoomScaleNormal="80" workbookViewId="0">
      <selection activeCell="F35" sqref="F3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 (2)[]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 0, 0,  0, 0,  0, 0,  0, 0,  0,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23,23,  0, 0,  0, 0,  0, 0,  0, 0,  0, 0,  0, 0,  0, 0,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4, 5, 64,64, 74,74, 74,74, 74,74,  0, 0,  0, 0,  0, 0,  0, 0,  0, 0,  0, 0,  0,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0, 0, 23,23,  0, 0,  0, 0,  1, 2, 64,64, 74,74, 74,74, 74,74,  0, 0,  0, 0,  0, 0,  0, 0,  0, 0,  0, 0,  0, 0,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Level_00_Enemies[]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473D8-3B06-B341-9953-4B15FACC3AA9}">
  <sheetPr codeName="Sheet14"/>
  <dimension ref="C1:AE259"/>
  <sheetViews>
    <sheetView topLeftCell="A3" zoomScale="80" zoomScaleNormal="80" workbookViewId="0">
      <selection activeCell="E21" sqref="E2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97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112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119</v>
      </c>
    </row>
    <row r="79" spans="6:15" ht="18" customHeight="1" x14ac:dyDescent="0.25">
      <c r="F79" s="7" t="s">
        <v>104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133</v>
      </c>
    </row>
    <row r="86" spans="6:6" ht="18" customHeight="1" x14ac:dyDescent="0.25">
      <c r="F86" s="7" t="s">
        <v>126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21</v>
      </c>
    </row>
    <row r="89" spans="6:6" ht="18" customHeight="1" x14ac:dyDescent="0.25">
      <c r="F89" s="7" t="s">
        <v>134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133</v>
      </c>
    </row>
    <row r="93" spans="6:6" ht="18" customHeight="1" x14ac:dyDescent="0.25">
      <c r="F93" s="7" t="s">
        <v>111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21</v>
      </c>
    </row>
    <row r="96" spans="6:6" ht="18" customHeight="1" x14ac:dyDescent="0.25">
      <c r="F96" s="7" t="s">
        <v>134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Level_00_Enemies[]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4" zoomScale="80" zoomScaleNormal="80" workbookViewId="0">
      <selection activeCell="F16" sqref="F16:F14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Level_00_Enemies[]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140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141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143</v>
      </c>
    </row>
    <row r="132" spans="6:6" ht="18" customHeight="1" x14ac:dyDescent="0.25">
      <c r="F132" s="7" t="s">
        <v>144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146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zoomScale="80" zoomScaleNormal="80" workbookViewId="0">
      <selection activeCell="F16" sqref="F16:F15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 0, 0,  0, 0,  0, 0,  0, 0,  0,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23,23,  0, 0,  0, 0,  0, 0,  0, 0,  0, 0,  0, 0,  0, 0,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4, 5, 64,64, 74,74, 74,74, 74,74,  0, 0,  0, 0,  0, 0,  0, 0,  0, 0,  0, 0,  0,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0, 0, 23,23,  0, 0,  0, 0,  1, 2, 64,64, 74,74, 74,74, 74,74,  0, 0,  0, 0,  0, 0,  0, 0,  0, 0,  0, 0,  0, 0,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148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188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Level_00_Enemies[]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T4" sqref="T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 0, 0,  0, 0,  0, 0,  0, 0,  0,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23,23,  0, 0,  0, 0,  0, 0,  0, 0,  0, 0,  0, 0,  0, 0,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4, 5, 64,64, 74,74, 74,74, 74,74,  0, 0,  0, 0,  0, 0,  0, 0,  0, 0,  0, 0,  0,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0, 0, 23,23,  0, 0,  0, 0,  1, 2, 64,64, 74,74, 74,74, 74,74,  0, 0,  0, 0,  0, 0,  0, 0,  0, 0,  0, 0,  0, 0,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17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tr">
        <f ca="1">_xlfn.CONCAT("uint16_t ", _xlfn.TEXTAFTER(CELL("filename"),"]"), "_Enemies[] = {")</f>
        <v>uint16_t Level_00_Enemies[]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15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19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20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15</v>
      </c>
    </row>
    <row r="74" spans="6:15" ht="18" customHeight="1" x14ac:dyDescent="0.25">
      <c r="F74" s="7" t="s">
        <v>16</v>
      </c>
    </row>
    <row r="75" spans="6:15" ht="18" customHeight="1" x14ac:dyDescent="0.25">
      <c r="F75" s="8" t="s">
        <v>19</v>
      </c>
    </row>
    <row r="76" spans="6:15" ht="18" customHeight="1" x14ac:dyDescent="0.25">
      <c r="F76" s="8" t="s">
        <v>20</v>
      </c>
    </row>
    <row r="77" spans="6:15" ht="18" customHeight="1" x14ac:dyDescent="0.25">
      <c r="F77" s="7"/>
    </row>
    <row r="78" spans="6:15" ht="18" customHeight="1" x14ac:dyDescent="0.25">
      <c r="F78" s="7" t="s">
        <v>18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19</v>
      </c>
    </row>
    <row r="82" spans="6:6" ht="18" customHeight="1" x14ac:dyDescent="0.25">
      <c r="F82" s="7" t="s">
        <v>20</v>
      </c>
    </row>
    <row r="83" spans="6:6" ht="18" customHeight="1" x14ac:dyDescent="0.25">
      <c r="F83" s="7"/>
    </row>
    <row r="84" spans="6:6" ht="18" customHeight="1" x14ac:dyDescent="0.25">
      <c r="F84" s="7" t="s">
        <v>18</v>
      </c>
    </row>
    <row r="85" spans="6:6" ht="18" customHeight="1" x14ac:dyDescent="0.25">
      <c r="F85" s="7" t="s">
        <v>15</v>
      </c>
    </row>
    <row r="86" spans="6:6" ht="18" customHeight="1" x14ac:dyDescent="0.25">
      <c r="F86" s="7" t="s">
        <v>16</v>
      </c>
    </row>
    <row r="87" spans="6:6" ht="18" customHeight="1" x14ac:dyDescent="0.25">
      <c r="F87" s="7" t="s">
        <v>19</v>
      </c>
    </row>
    <row r="88" spans="6:6" ht="18" customHeight="1" x14ac:dyDescent="0.25">
      <c r="F88" s="7" t="s">
        <v>20</v>
      </c>
    </row>
    <row r="89" spans="6:6" ht="18" customHeight="1" x14ac:dyDescent="0.25">
      <c r="F89" s="7" t="s">
        <v>12</v>
      </c>
    </row>
    <row r="90" spans="6:6" ht="18" customHeight="1" x14ac:dyDescent="0.25">
      <c r="F90" s="7"/>
    </row>
    <row r="91" spans="6:6" ht="18" customHeight="1" x14ac:dyDescent="0.25">
      <c r="F91" s="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7" t="str">
        <f>_xlfn.CONCAT($F$11, ",")</f>
        <v>,</v>
      </c>
    </row>
    <row r="93" spans="6:6" ht="18" customHeight="1" x14ac:dyDescent="0.25">
      <c r="F93" s="7" t="str">
        <f>_xlfn.CONCAT($H$11, ",")</f>
        <v>,</v>
      </c>
    </row>
    <row r="94" spans="6:6" ht="18" customHeight="1" x14ac:dyDescent="0.25">
      <c r="F94" s="7" t="str">
        <f>_xlfn.CONCAT($J$11, ",")</f>
        <v>,</v>
      </c>
    </row>
    <row r="95" spans="6:6" ht="18" customHeight="1" x14ac:dyDescent="0.25">
      <c r="F95" s="7" t="s">
        <v>12</v>
      </c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AB33" sqref="AB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 0, 0, 31,31, 64,64, 74,74, 74,74, 74,74, 62,62, 72,72, 31,31,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 0, 0,  0, 0,  0, 0,  0, 0,  0, 0,  0, 0,  0, 0,  0, 0, 31,31,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0, 0,  0, 0,  0, 0,  0, 0,  0, 0,  0, 0,  0, 0,  0, 0, 31,31,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 0, 0,  0, 0,  0, 0,  0, 0,  0, 0,  0, 0,  0, 0, 31,31,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 0, 0,  0, 0,  0, 0,  0, 0,  0, 0,  0, 0,  0, 0, 32,32,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 0, 0, 63,63, 73,73, 73,73,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 0, 0, 63,63, 73,73, 73,73,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 0, 0,  0, 0,  0, 0,  0, 0,  0, 0,  0, 0,  0, 0,  0, 0,  0, 0,  0, 0, 26,26,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23,23,  0, 0,  0, 0,  0, 0,  0, 0,  0, 0,  0, 0,  0, 0,  0, 0,  0, 0,  0, 0,  0, 0,  0, 0, 26,26,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4, 5, 64,64, 74,74, 74,74, 74,74,  0, 0,  0, 0,  0, 0,  0, 0,  0, 0,  0, 0,  0, 0,  0, 0,  0, 0,  0, 5, 63,63, 73,73, 73,73,  0, 0,  0, 0,  0, 0,},</v>
      </c>
    </row>
    <row r="32" spans="6:6" ht="18" customHeight="1" x14ac:dyDescent="0.25">
      <c r="F32" s="7" t="str">
        <f>_xlfn.CONCAT("{",_xlfn.TEXTJOIN(" ",FALSE,Hidden!F39:AD39),"},")</f>
        <v>{ 0, 0, 23,23,  0, 0,  0, 0,  1, 2, 64,64, 74,74, 74,74, 74,74,  0, 0,  0, 0,  0, 0,  0, 0,  0, 0,  0, 0,  0, 0,  0, 0,  0, 0,  6, 2, 63,63, 73,73, 73,73,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Level_00_Enemies[]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Level_00_PlayerStart[]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F16" sqref="F16:F13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147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Level_00_Enemies[]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F16" sqref="F16:F12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148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149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Level_00_Enemies[]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150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151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145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152</v>
      </c>
    </row>
    <row r="117" spans="6:6" ht="18" customHeight="1" x14ac:dyDescent="0.25">
      <c r="F117" s="7" t="s">
        <v>153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F16" sqref="F16:F16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Level_00_Enemies[]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topLeftCell="A165" zoomScale="80" zoomScaleNormal="80" workbookViewId="0">
      <selection activeCell="F16" sqref="F16:F26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138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139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154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139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156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157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156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157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138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139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138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139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Level_00_Enemies[] = {</v>
      </c>
    </row>
    <row r="178" spans="6:6" ht="18" customHeight="1" x14ac:dyDescent="0.25">
      <c r="F178" s="7" t="s">
        <v>141</v>
      </c>
    </row>
    <row r="179" spans="6:6" ht="18" customHeight="1" x14ac:dyDescent="0.25">
      <c r="F179" s="7" t="s">
        <v>158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143</v>
      </c>
    </row>
    <row r="182" spans="6:6" ht="18" customHeight="1" x14ac:dyDescent="0.25">
      <c r="F182" s="7" t="s">
        <v>144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159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160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141</v>
      </c>
    </row>
    <row r="203" spans="6:6" ht="18" customHeight="1" x14ac:dyDescent="0.25">
      <c r="F203" s="7" t="s">
        <v>161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143</v>
      </c>
    </row>
    <row r="206" spans="6:6" ht="18" customHeight="1" x14ac:dyDescent="0.25">
      <c r="F206" s="7" t="s">
        <v>144</v>
      </c>
    </row>
    <row r="207" spans="6:6" ht="18" customHeight="1" x14ac:dyDescent="0.25">
      <c r="F207" s="7"/>
    </row>
    <row r="208" spans="6:6" ht="18" customHeight="1" x14ac:dyDescent="0.25">
      <c r="F208" s="7" t="s">
        <v>141</v>
      </c>
    </row>
    <row r="209" spans="6:6" ht="18" customHeight="1" x14ac:dyDescent="0.25">
      <c r="F209" s="7" t="s">
        <v>159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162</v>
      </c>
    </row>
    <row r="212" spans="6:6" ht="18" customHeight="1" x14ac:dyDescent="0.25">
      <c r="F212" s="7" t="s">
        <v>163</v>
      </c>
    </row>
    <row r="213" spans="6:6" ht="18" customHeight="1" x14ac:dyDescent="0.25">
      <c r="F213" s="7"/>
    </row>
    <row r="214" spans="6:6" ht="18" customHeight="1" x14ac:dyDescent="0.25">
      <c r="F214" s="7" t="s">
        <v>141</v>
      </c>
    </row>
    <row r="215" spans="6:6" ht="18" customHeight="1" x14ac:dyDescent="0.25">
      <c r="F215" s="7" t="s">
        <v>164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162</v>
      </c>
    </row>
    <row r="218" spans="6:6" ht="18" customHeight="1" x14ac:dyDescent="0.25">
      <c r="F218" s="7" t="s">
        <v>163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165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152</v>
      </c>
    </row>
    <row r="224" spans="6:6" ht="18" customHeight="1" x14ac:dyDescent="0.25">
      <c r="F224" s="7" t="s">
        <v>153</v>
      </c>
    </row>
    <row r="225" spans="6:6" ht="18" customHeight="1" x14ac:dyDescent="0.25">
      <c r="F225" s="7"/>
    </row>
    <row r="226" spans="6:6" ht="18" customHeight="1" x14ac:dyDescent="0.25">
      <c r="F226" s="7" t="s">
        <v>141</v>
      </c>
    </row>
    <row r="227" spans="6:6" ht="18" customHeight="1" x14ac:dyDescent="0.25">
      <c r="F227" s="7" t="s">
        <v>166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143</v>
      </c>
    </row>
    <row r="230" spans="6:6" ht="18" customHeight="1" x14ac:dyDescent="0.25">
      <c r="F230" s="7" t="s">
        <v>144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165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167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141</v>
      </c>
    </row>
    <row r="251" spans="6:6" ht="18" customHeight="1" x14ac:dyDescent="0.2">
      <c r="F251" t="s">
        <v>142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143</v>
      </c>
    </row>
    <row r="254" spans="6:6" ht="18" customHeight="1" x14ac:dyDescent="0.2">
      <c r="F254" t="s">
        <v>144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159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U10" sqref="U10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147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Level_00_Enemies[]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Hidden</vt:lpstr>
      <vt:lpstr>Level_00</vt:lpstr>
      <vt:lpstr>Level_00 (2)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2025-02-08T02:17:32Z</dcterms:modified>
</cp:coreProperties>
</file>