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28EFE0F-01CD-DD4B-8646-40F89DEB694C}" xr6:coauthVersionLast="47" xr6:coauthVersionMax="47" xr10:uidLastSave="{00000000-0000-0000-0000-000000000000}"/>
  <bookViews>
    <workbookView xWindow="24840" yWindow="500" windowWidth="300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7" i="8" l="1"/>
  <c r="F86" i="8"/>
  <c r="F85" i="8"/>
  <c r="F84" i="8"/>
  <c r="F58" i="8"/>
  <c r="K110" i="10"/>
  <c r="K109" i="10"/>
  <c r="K107" i="10"/>
  <c r="K104" i="10"/>
  <c r="K101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<sst xmlns="http://schemas.openxmlformats.org/spreadsheetml/2006/main" count="1783" uniqueCount="1117">
  <si>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</si>
  <si>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</si>
  <si>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</si>
  <si>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</si>
  <si>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</si>
  <si>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</si>
  <si>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</si>
  <si>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</si>
  <si>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</si>
  <si>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</si>
  <si>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</si>
  <si>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</si>
  <si>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</si>
  <si>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</si>
  <si>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</si>
  <si>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</si>
  <si>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</si>
  <si>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</si>
  <si>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</si>
  <si>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</si>
  <si>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</si>
  <si>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</si>
  <si>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</si>
  <si>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</si>
  <si>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</si>
  <si>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</si>
  <si>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</si>
  <si>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</si>
  <si>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</si>
  <si>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</si>
  <si>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</si>
  <si>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</si>
  <si>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</si>
  <si>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</si>
  <si>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</si>
  <si>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</si>
  <si>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</si>
  <si>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</si>
  <si>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</si>
  <si>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</si>
  <si>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</si>
  <si>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</si>
  <si>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</si>
  <si>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</si>
  <si>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</si>
  <si>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</si>
  <si>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</si>
  <si>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</si>
  <si>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</si>
  <si>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</si>
  <si>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</si>
  <si>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</si>
  <si>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</si>
  <si>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</si>
  <si>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</si>
  <si>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</si>
  <si>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</si>
  <si>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</si>
  <si>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</si>
  <si>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</si>
  <si>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</si>
  <si>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</si>
  <si>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</si>
  <si>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</si>
  <si>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</si>
  <si>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</si>
  <si>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</si>
  <si>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</si>
  <si>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</si>
  <si>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</si>
  <si>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</si>
  <si>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</si>
  <si>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</si>
  <si>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</si>
  <si>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</si>
  <si>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</si>
  <si>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</si>
  <si>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</si>
  <si>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</si>
  <si>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</si>
  <si>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</si>
  <si>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</si>
  <si>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</si>
  <si>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</si>
  <si>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</si>
  <si>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</si>
  <si>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</si>
  <si>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</si>
  <si>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</si>
  <si>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</si>
  <si>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</si>
  <si>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</si>
  <si>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</si>
  <si>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</si>
  <si>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</si>
  <si>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</si>
  <si>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</si>
  <si>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</si>
  <si>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</si>
  <si>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</si>
  <si>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</si>
  <si>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</si>
  <si>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</si>
  <si>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</si>
  <si>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</si>
  <si>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</si>
  <si>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</si>
  <si>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</si>
  <si>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</si>
  <si>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</si>
  <si>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</si>
  <si>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</si>
  <si>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</si>
  <si>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</si>
  <si>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</si>
  <si>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</si>
  <si>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</si>
  <si>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</si>
  <si>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</si>
  <si>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</si>
  <si>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</si>
  <si>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</si>
  <si>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</si>
  <si>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</si>
  <si>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</si>
  <si>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</si>
  <si>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</si>
  <si>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</si>
  <si>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</si>
  <si>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</si>
  <si>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</si>
  <si>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</si>
  <si>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</si>
  <si>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</si>
  <si>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</si>
  <si>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</si>
  <si>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</si>
  <si>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</si>
  <si>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</si>
  <si>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</si>
  <si>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</si>
  <si>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</si>
  <si>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</si>
  <si>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</si>
  <si>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</si>
  <si>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</si>
  <si>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</si>
  <si>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</si>
  <si>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</si>
  <si>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</si>
  <si>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</si>
  <si>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</si>
  <si>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</si>
  <si>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</si>
  <si>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</si>
  <si>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</si>
  <si>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</si>
  <si>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</si>
  <si>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</si>
  <si>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</si>
  <si>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</si>
  <si>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</si>
  <si>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</si>
  <si>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</si>
  <si>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</si>
  <si>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</si>
  <si>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</si>
  <si>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</si>
  <si>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</si>
  <si>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</si>
  <si>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</si>
  <si>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</si>
  <si>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</si>
  <si>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</si>
  <si>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</si>
  <si>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</si>
  <si>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</si>
  <si>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</si>
  <si>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</si>
  <si>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</si>
  <si>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</si>
  <si>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</si>
  <si>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</si>
  <si>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</si>
  <si>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</si>
  <si>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</si>
  <si>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</si>
  <si>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</si>
  <si>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</si>
  <si>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</si>
  <si>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</si>
  <si>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</si>
  <si>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</si>
  <si>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</si>
  <si>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</si>
  <si>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</si>
  <si>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</si>
  <si>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</si>
  <si>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</si>
  <si>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</si>
  <si>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</si>
  <si>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</si>
  <si>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</si>
  <si>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</si>
  <si>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</si>
  <si>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</si>
  <si>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</si>
  <si>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</si>
  <si>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</si>
  <si>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</si>
  <si>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</si>
  <si>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</si>
  <si>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</si>
  <si>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</si>
  <si>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</si>
  <si>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</si>
  <si>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</si>
  <si>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</si>
  <si>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</si>
  <si>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</si>
  <si>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</si>
  <si>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</si>
  <si>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</si>
  <si>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</si>
  <si>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</si>
  <si>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</si>
  <si>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</si>
  <si>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</si>
  <si>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</si>
  <si>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</si>
  <si>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</si>
  <si>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</si>
  <si>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</si>
  <si>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</si>
  <si>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</si>
  <si>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</si>
  <si>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</si>
  <si>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</si>
  <si>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</si>
  <si>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</si>
  <si>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</si>
  <si>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</si>
  <si>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</si>
  <si>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</si>
  <si>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</si>
  <si>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</si>
  <si>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</si>
  <si>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</si>
  <si>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</si>
  <si>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</si>
  <si>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</si>
  <si>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</si>
  <si>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</si>
  <si>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</si>
  <si>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</si>
  <si>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</si>
  <si>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</si>
  <si>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</si>
  <si>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</si>
  <si>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</si>
  <si>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</si>
  <si>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</si>
  <si>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</si>
  <si>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</si>
  <si>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</si>
  <si>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</si>
  <si>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</si>
  <si>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</si>
  <si>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</si>
  <si>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</si>
  <si>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</si>
  <si>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</si>
  <si>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</si>
  <si>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</si>
  <si>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</si>
  <si>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</si>
  <si>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</si>
  <si>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</si>
  <si>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</si>
  <si>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</si>
  <si>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</si>
  <si>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</si>
  <si>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</si>
  <si>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</si>
  <si>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</si>
  <si>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</si>
  <si>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</si>
  <si>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</si>
  <si>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</si>
  <si>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</si>
  <si>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</si>
  <si>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</si>
  <si>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</si>
  <si>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</si>
  <si>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</si>
  <si>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</si>
  <si>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</si>
  <si>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</si>
  <si>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</si>
  <si>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</si>
  <si>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</si>
  <si>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</si>
  <si>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</si>
  <si>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</si>
  <si>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</si>
  <si>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</si>
  <si>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</si>
  <si>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</si>
  <si>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</si>
  <si>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</si>
  <si>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</si>
  <si>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</si>
  <si>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</si>
  <si>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</si>
  <si>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</si>
  <si>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</si>
  <si>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</si>
  <si>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</si>
  <si>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</si>
  <si>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</si>
  <si>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</si>
  <si>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</si>
  <si>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</si>
  <si>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</si>
  <si>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</si>
  <si>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</si>
  <si>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</si>
  <si>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</si>
  <si>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</si>
  <si>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</si>
  <si>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</si>
  <si>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</si>
  <si>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</si>
  <si>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</si>
  <si>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</si>
  <si>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</si>
  <si>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</si>
  <si>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</si>
  <si>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</si>
  <si>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</si>
  <si>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</si>
  <si>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</si>
  <si>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</si>
  <si>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</si>
  <si>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</si>
  <si>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</si>
  <si>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</si>
  <si>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</si>
  <si>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</si>
  <si>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</si>
  <si>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</si>
  <si>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</si>
  <si>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</si>
  <si>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</si>
  <si>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</si>
  <si>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</si>
  <si>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</si>
  <si>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</si>
  <si>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</si>
  <si>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</si>
  <si>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</si>
  <si>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</si>
  <si>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</si>
  <si>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</si>
  <si>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</si>
  <si>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</si>
  <si>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</si>
  <si>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</si>
  <si>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</si>
  <si>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</si>
  <si>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</si>
  <si>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</si>
  <si>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</si>
  <si>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</si>
  <si>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</si>
  <si>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</si>
  <si>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</si>
  <si>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</si>
  <si>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</si>
  <si>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</si>
  <si>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</si>
  <si>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</si>
  <si>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</si>
  <si>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</si>
  <si>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</si>
  <si>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</si>
  <si>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</si>
  <si>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</si>
  <si>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</si>
  <si>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</si>
  <si>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</si>
  <si>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</si>
  <si>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</si>
  <si>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</si>
  <si>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</si>
  <si>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</si>
  <si>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</si>
  <si>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</si>
  <si>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</si>
  <si>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</si>
  <si>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</si>
  <si>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</si>
  <si>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</si>
  <si>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</si>
  <si>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</si>
  <si>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</si>
  <si>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</si>
  <si>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</si>
  <si>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</si>
  <si>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</si>
  <si>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</si>
  <si>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</si>
  <si>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</si>
  <si>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</si>
  <si>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</si>
  <si>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</si>
  <si>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</si>
  <si>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</si>
  <si>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</si>
  <si>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</si>
  <si>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</si>
  <si>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</si>
  <si>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</si>
  <si>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</si>
  <si>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</si>
  <si>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</si>
  <si>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</si>
  <si>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</si>
  <si>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</si>
  <si>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</si>
  <si>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</si>
  <si>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</si>
  <si>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</si>
  <si>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</si>
  <si>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</si>
  <si>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</si>
  <si>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</si>
  <si>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</si>
  <si>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</si>
  <si>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</si>
  <si>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</si>
  <si>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</si>
  <si>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</si>
  <si>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</si>
  <si>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</si>
  <si>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</si>
  <si>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</si>
  <si>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</si>
  <si>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</si>
  <si>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</si>
  <si>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</si>
  <si>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</si>
  <si>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</si>
  <si>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</si>
  <si>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</si>
  <si>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</si>
  <si>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</si>
  <si>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</si>
  <si>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</si>
  <si>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</si>
  <si>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</si>
  <si>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</si>
  <si>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</si>
  <si>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</si>
  <si>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</si>
  <si>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</si>
  <si>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</si>
  <si>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</si>
  <si>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</si>
  <si>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</si>
  <si>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</si>
  <si>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</si>
  <si>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</si>
  <si>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</si>
  <si>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</si>
  <si>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</si>
  <si>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</si>
  <si>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</si>
  <si>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</si>
  <si>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</si>
  <si>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</si>
  <si>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</si>
  <si>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</si>
  <si>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</si>
  <si>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</si>
  <si>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</si>
  <si>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</si>
  <si>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</si>
  <si>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</si>
  <si>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</si>
  <si>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</si>
  <si>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</si>
  <si>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</si>
  <si>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</si>
  <si>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</si>
  <si>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</si>
  <si>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</si>
  <si>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</si>
  <si>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</si>
  <si>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</si>
  <si>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</si>
  <si>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</si>
  <si>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</si>
  <si>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</si>
  <si>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</si>
  <si>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</si>
  <si>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</si>
  <si>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</si>
  <si>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</si>
  <si>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</si>
  <si>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</si>
  <si>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</si>
  <si>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</si>
  <si>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</si>
  <si>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</si>
  <si>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</si>
  <si>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</si>
  <si>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</si>
  <si>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</si>
  <si>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</si>
  <si>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</si>
  <si>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</si>
  <si>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</si>
  <si>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</si>
  <si>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</si>
  <si>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</si>
  <si>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</si>
  <si>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</si>
  <si>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</si>
  <si>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</si>
  <si>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</si>
  <si>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</si>
  <si>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</si>
  <si>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</si>
  <si>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</si>
  <si>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</si>
  <si>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</si>
  <si>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</si>
  <si>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</si>
  <si>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</si>
  <si>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</si>
  <si>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</si>
  <si>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</si>
  <si>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</si>
  <si>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</si>
  <si>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</si>
  <si>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</si>
  <si>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</si>
  <si>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</si>
  <si>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</si>
  <si>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</si>
  <si>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</si>
  <si>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</si>
  <si>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</si>
  <si>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</si>
  <si>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</si>
  <si>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</si>
  <si>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</si>
  <si>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</si>
  <si>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</si>
  <si>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</si>
  <si>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</si>
  <si>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</si>
  <si>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</si>
  <si>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</si>
  <si>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</si>
  <si>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</si>
  <si>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</si>
  <si>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</si>
  <si>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</si>
  <si>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</si>
  <si>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</si>
  <si>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</si>
  <si>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</si>
  <si>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</si>
  <si>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</si>
  <si>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</si>
  <si>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</si>
  <si>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</si>
  <si>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</si>
  <si>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</si>
  <si>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</si>
  <si>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</si>
  <si>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</si>
  <si>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</si>
  <si>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</si>
  <si>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</si>
  <si>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</si>
  <si>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</si>
  <si>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</si>
  <si>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</si>
  <si>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</si>
  <si>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</si>
  <si>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</si>
  <si>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</si>
  <si>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</si>
  <si>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</si>
  <si>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</si>
  <si>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</si>
  <si>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</si>
  <si>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</si>
  <si>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</si>
  <si>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</si>
  <si>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</si>
  <si>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</si>
  <si>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</si>
  <si>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</si>
  <si>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</si>
  <si>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</si>
  <si>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</si>
  <si>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</si>
  <si>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</si>
  <si>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</si>
  <si>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</si>
  <si>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</si>
  <si>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</si>
  <si>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</si>
  <si>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</si>
  <si>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</si>
  <si>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</si>
  <si>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</si>
  <si>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</si>
  <si>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</si>
  <si>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</si>
  <si>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</si>
  <si>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</si>
  <si>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</si>
  <si>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</si>
  <si>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</si>
  <si>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</si>
  <si>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</si>
  <si>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</si>
  <si>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</si>
  <si>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</si>
  <si>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</si>
  <si>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</si>
  <si>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</si>
  <si>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</si>
  <si>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</si>
  <si>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</si>
  <si>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</si>
  <si>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</si>
  <si>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</si>
  <si>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</si>
  <si>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</si>
  <si>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</si>
  <si>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</si>
  <si>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</si>
  <si>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</si>
  <si>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</si>
  <si>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</si>
  <si>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</si>
  <si>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</si>
  <si>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</si>
  <si>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</si>
  <si>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</si>
  <si>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</si>
  <si>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</si>
  <si>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</si>
  <si>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</si>
  <si>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</si>
  <si>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</si>
  <si>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</si>
  <si>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</si>
  <si>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</si>
  <si>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</si>
  <si>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</si>
  <si>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</si>
  <si>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</si>
  <si>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</si>
  <si>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</si>
  <si>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</si>
  <si>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</si>
  <si>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</si>
  <si>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</si>
  <si>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</si>
  <si>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</si>
  <si>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</si>
  <si>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</si>
  <si>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</si>
  <si>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</si>
  <si>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</si>
  <si>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</si>
  <si>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</si>
  <si>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</si>
  <si>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</si>
  <si>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</si>
  <si>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</si>
  <si>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</si>
  <si>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</si>
  <si>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</si>
  <si>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</si>
  <si>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</si>
  <si>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</si>
  <si>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</si>
  <si>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</si>
  <si>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</si>
  <si>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</si>
  <si>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</si>
  <si>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</si>
  <si>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</si>
  <si>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</si>
  <si>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</si>
  <si>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</si>
  <si>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</si>
  <si>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</si>
  <si>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</si>
  <si>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</si>
  <si>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</si>
  <si>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</si>
  <si>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</si>
  <si>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</si>
  <si>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</si>
  <si>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</si>
  <si>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</si>
  <si>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</si>
  <si>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</si>
  <si>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</si>
  <si>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</si>
  <si>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</si>
  <si>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</si>
  <si>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</si>
  <si>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</si>
  <si>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</si>
  <si>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</si>
  <si>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</si>
  <si>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</si>
  <si>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</si>
  <si>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</si>
  <si>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</si>
  <si>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</si>
  <si>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</si>
  <si>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</si>
  <si>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</si>
  <si>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</si>
  <si>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</si>
  <si>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</si>
  <si>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</si>
  <si>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</si>
  <si>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</si>
  <si>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</si>
  <si>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</si>
  <si>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</si>
  <si>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</si>
  <si>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</si>
  <si>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</si>
  <si>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</si>
  <si>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</si>
  <si>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</si>
  <si>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</si>
  <si>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</si>
  <si>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</si>
  <si>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</si>
  <si>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</si>
  <si>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</si>
  <si>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</si>
  <si>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</si>
  <si>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</si>
  <si>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</si>
  <si>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</si>
  <si>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</si>
  <si>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</si>
  <si>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</si>
  <si>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</si>
  <si>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</si>
  <si>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</si>
  <si>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</si>
  <si>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</si>
  <si>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</si>
  <si>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</si>
  <si>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</si>
  <si>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</si>
  <si>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</si>
  <si>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</si>
  <si>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</si>
  <si>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</si>
  <si>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</si>
  <si>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</si>
  <si>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</si>
  <si>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</si>
  <si>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</si>
  <si>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</si>
  <si>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</si>
  <si>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</si>
  <si>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</si>
  <si>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</si>
  <si>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</si>
  <si>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</si>
  <si>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</si>
  <si>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</si>
  <si>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</si>
  <si>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</si>
  <si>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</si>
  <si>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</si>
  <si>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</si>
  <si>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</si>
  <si>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</si>
  <si>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</si>
  <si>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</si>
  <si>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</si>
  <si>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</si>
  <si>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</si>
  <si>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</si>
  <si>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</si>
  <si>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</si>
  <si>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</si>
  <si>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</si>
  <si>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</si>
  <si>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</si>
  <si>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</si>
  <si>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</si>
  <si>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</si>
  <si>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</si>
  <si>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</si>
  <si>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</si>
  <si>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</si>
  <si>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</si>
  <si>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</si>
  <si>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</si>
  <si>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</si>
  <si>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</si>
  <si>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</si>
  <si>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</si>
  <si>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</si>
  <si>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</si>
  <si>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</si>
  <si>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</si>
  <si>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</si>
  <si>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</si>
  <si>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</si>
  <si>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</si>
  <si>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</si>
  <si>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</si>
  <si>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</si>
  <si>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</si>
  <si>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</si>
  <si>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</si>
  <si>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</si>
  <si>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</si>
  <si>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</si>
  <si>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</si>
  <si>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</si>
  <si>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</si>
  <si>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</si>
  <si>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</si>
  <si>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</si>
  <si>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</si>
  <si>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</si>
  <si>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</si>
  <si>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</si>
  <si>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</si>
  <si>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</si>
  <si>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</si>
  <si>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</si>
  <si>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</si>
  <si>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</si>
  <si>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</si>
  <si>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</si>
  <si>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</si>
  <si>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</si>
  <si>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</si>
  <si>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</si>
  <si>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</si>
  <si>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</si>
  <si>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</si>
  <si>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</si>
  <si>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</si>
  <si>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</si>
  <si>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</si>
  <si>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</si>
  <si>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</si>
  <si>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</si>
  <si>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</si>
  <si>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</si>
  <si>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</si>
  <si>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</si>
  <si>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</si>
  <si>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</si>
  <si>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</si>
  <si>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</si>
  <si>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</si>
  <si>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</si>
  <si>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</si>
  <si>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</si>
  <si>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</si>
  <si>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</si>
  <si>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</si>
  <si>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</si>
  <si>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</si>
  <si>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</si>
  <si>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</si>
  <si>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</si>
  <si>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</si>
  <si>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</si>
  <si>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</si>
  <si>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</si>
  <si>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</si>
  <si>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</si>
  <si>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</si>
  <si>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</si>
  <si>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</si>
  <si>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</si>
  <si>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</si>
  <si>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</si>
  <si>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</si>
  <si>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</si>
  <si>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</si>
  <si>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</si>
  <si>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</si>
  <si>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</si>
  <si>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</si>
  <si>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</si>
  <si>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</si>
  <si>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</si>
  <si>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</si>
  <si>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</si>
  <si>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</si>
  <si>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</si>
  <si>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</si>
  <si>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</si>
  <si>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</si>
  <si>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</si>
  <si>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</si>
  <si>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</si>
  <si>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</si>
  <si>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</si>
  <si>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</si>
  <si>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</si>
  <si>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</si>
  <si>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</si>
  <si>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</si>
  <si>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</si>
  <si>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</si>
  <si>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</si>
  <si>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</si>
  <si>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</si>
  <si>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</si>
  <si>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</si>
  <si>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</si>
  <si>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</si>
  <si>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</si>
  <si>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</si>
  <si>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</si>
  <si>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</si>
  <si>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</si>
  <si>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</si>
  <si>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</si>
  <si>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</si>
  <si>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</si>
  <si>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</si>
  <si>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</si>
  <si>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</si>
  <si>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</si>
  <si>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</si>
  <si>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</si>
  <si>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</si>
  <si>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</si>
  <si>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</si>
  <si>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</si>
  <si>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</si>
  <si>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</si>
  <si>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</si>
  <si>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</si>
  <si>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</si>
  <si>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</si>
  <si>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</si>
  <si>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</si>
  <si>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</si>
  <si>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</si>
  <si>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</si>
  <si>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</si>
  <si>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</si>
  <si>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</si>
  <si>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</si>
  <si>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</si>
  <si>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</si>
  <si>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</si>
  <si>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</si>
  <si>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</si>
  <si>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</si>
  <si>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</si>
  <si>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</si>
  <si>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</si>
  <si>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</si>
  <si>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</si>
  <si>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</si>
  <si>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</si>
  <si>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</si>
  <si>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</si>
  <si>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</si>
  <si>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</si>
  <si>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</si>
  <si>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</si>
  <si>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</si>
  <si>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</si>
  <si>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</si>
  <si>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</si>
  <si>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</si>
  <si>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</si>
  <si>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</si>
  <si>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</si>
  <si>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</si>
  <si>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</si>
  <si>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</si>
  <si>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</si>
  <si>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</si>
  <si>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</si>
  <si>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</si>
  <si>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</si>
  <si>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</si>
  <si>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</si>
  <si>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</si>
  <si>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</si>
  <si>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</si>
  <si>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</si>
  <si>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</si>
  <si>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</si>
  <si>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</si>
  <si>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</si>
  <si>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</si>
  <si>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</si>
  <si>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</si>
  <si>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</si>
  <si>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</si>
  <si>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</si>
  <si>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</si>
  <si>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</si>
  <si>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</si>
  <si>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</si>
  <si>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</si>
  <si>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</si>
  <si>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</si>
  <si>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</si>
  <si>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</si>
  <si>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</si>
  <si>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</si>
  <si>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</si>
  <si>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</si>
  <si>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</si>
  <si>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</si>
  <si>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</si>
  <si>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</si>
  <si>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</si>
  <si>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</si>
  <si>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</si>
  <si>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</si>
  <si>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</si>
  <si>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</si>
  <si>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</si>
  <si>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</si>
  <si>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</si>
  <si>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</si>
  <si>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</si>
  <si>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</si>
  <si>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</si>
  <si>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</si>
  <si>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</si>
  <si>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</si>
  <si>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</si>
  <si>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</si>
  <si>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</si>
  <si>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</si>
  <si>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</si>
  <si>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</si>
  <si>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</si>
  <si>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</si>
  <si>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</si>
  <si>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</si>
  <si>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</si>
  <si>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</si>
  <si>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</si>
  <si>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</si>
  <si>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</si>
  <si>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</si>
  <si>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</si>
  <si>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</si>
  <si>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</si>
  <si>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</si>
  <si>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</si>
  <si>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</si>
  <si>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</si>
  <si>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</si>
  <si>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</si>
  <si>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</si>
  <si>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</si>
  <si>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</si>
  <si>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</si>
  <si>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</si>
  <si>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</si>
  <si>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</si>
  <si>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</si>
  <si>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</si>
  <si>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</si>
  <si>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</si>
  <si>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</si>
  <si>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</si>
  <si>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</si>
  <si>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</si>
  <si>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</si>
  <si>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</si>
  <si>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</si>
  <si>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</si>
  <si>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</si>
  <si>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</si>
  <si>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</si>
  <si>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</si>
  <si>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</si>
  <si>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</si>
  <si>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</si>
  <si>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</si>
  <si>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</si>
  <si>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</si>
  <si>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</si>
  <si>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</si>
  <si>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59,                             // ItemType::Chakana_Small</t>
  </si>
  <si>
    <t>160,                             // Position X</t>
  </si>
  <si>
    <t>5,                             //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</si>
</sst>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 applyAlignment="1">
      <alignment wrapText="1"/>
    </xf>
    <xf numFmtId="0" fontId="6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7</xdr:row>
      <xdr:rowOff>42333</xdr:rowOff>
    </xdr:from>
    <xdr:to>
      <xdr:col>15</xdr:col>
      <xdr:colOff>832555</xdr:colOff>
      <xdr:row>7</xdr:row>
      <xdr:rowOff>832555</xdr:rowOff>
    </xdr:to>
    <xdr:pic>
      <xdr:nvPicPr>
        <xdr:cNvPr id="27" name="Picture 26" descr="Item:Chakana_Small,Pos:1,Data:5">
          <a:extLst>
            <a:ext uri="{FF2B5EF4-FFF2-40B4-BE49-F238E27FC236}">
              <a16:creationId xmlns:a16="http://schemas.microsoft.com/office/drawing/2014/main" id="{45E633EC-A4AE-8142-AE95-5B79093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42333" y="6067777"/>
          <a:ext cx="790222" cy="790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90" zoomScaleNormal="90" workbookViewId="0">
      <selection activeCell="F16" sqref="F16:F8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2" t="s">
        <v>1064</v>
      </c>
      <c r="M11" s="22"/>
      <c r="N11" s="22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1116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1065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1054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1056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1051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tr">
        <f ca="1">_xlfn.CONCAT("uint16_t ", _xlfn.TEXTAFTER(CELL("filename"),"]"), "_Enemies[] = {")</f>
        <v>uint16_t Level_00_Enemies[] = {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1054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1055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1058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1059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1057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1055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1058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1059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1058</v>
      </c>
    </row>
    <row r="75" spans="6:15" ht="18" customHeight="1" x14ac:dyDescent="0.25">
      <c r="F75" s="18" t="s">
        <v>1059</v>
      </c>
    </row>
    <row r="76" spans="6:15" ht="18" customHeight="1" x14ac:dyDescent="0.25">
      <c r="F76" s="18"/>
    </row>
    <row r="77" spans="6:15" ht="18" customHeight="1" x14ac:dyDescent="0.25">
      <c r="F77" s="17" t="s">
        <v>1057</v>
      </c>
    </row>
    <row r="78" spans="6:15" ht="18" customHeight="1" x14ac:dyDescent="0.25">
      <c r="F78" s="17" t="s">
        <v>1054</v>
      </c>
    </row>
    <row r="79" spans="6:15" ht="18" customHeight="1" x14ac:dyDescent="0.25">
      <c r="F79" s="17" t="s">
        <v>1055</v>
      </c>
    </row>
    <row r="80" spans="6:15" ht="18" customHeight="1" x14ac:dyDescent="0.25">
      <c r="F80" s="17" t="s">
        <v>1058</v>
      </c>
    </row>
    <row r="81" spans="6:6" ht="18" customHeight="1" x14ac:dyDescent="0.25">
      <c r="F81" s="17" t="s">
        <v>1059</v>
      </c>
    </row>
    <row r="82" spans="6:6" ht="18" customHeight="1" x14ac:dyDescent="0.25">
      <c r="F82" s="17" t="s">
        <v>1051</v>
      </c>
    </row>
    <row r="83" spans="6:6" ht="18" customHeight="1" x14ac:dyDescent="0.25">
      <c r="F83" s="17"/>
    </row>
    <row r="84" spans="6:6" ht="18" customHeight="1" x14ac:dyDescent="0.25">
      <c r="F84" s="17" t="str">
        <f ca="1">_xlfn.CONCAT("uint16_t ", _xlfn.TEXTAFTER(CELL("filename"),"]"), "_PlayerStart[] = {")</f>
        <v>uint16_t Level_00_PlayerStart[] = {</v>
      </c>
    </row>
    <row r="85" spans="6:6" ht="18" customHeight="1" x14ac:dyDescent="0.25">
      <c r="F85" s="17" t="str">
        <f>_xlfn.CONCAT($F$11, ",")</f>
        <v>0,</v>
      </c>
    </row>
    <row r="86" spans="6:6" ht="18" customHeight="1" x14ac:dyDescent="0.25">
      <c r="F86" s="17" t="str">
        <f>_xlfn.CONCAT($H$11, ",")</f>
        <v>0,</v>
      </c>
    </row>
    <row r="87" spans="6:6" ht="18" customHeight="1" x14ac:dyDescent="0.25">
      <c r="F87" s="17" t="str">
        <f>_xlfn.CONCAT($J$11, ",")</f>
        <v>107,</v>
      </c>
    </row>
    <row r="88" spans="6:6" ht="18" customHeight="1" x14ac:dyDescent="0.25">
      <c r="F88" s="17" t="s">
        <v>1051</v>
      </c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1078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100" spans="1:11" x14ac:dyDescent="0.2">
      <c r="C100" t="s">
        <v>1076</v>
      </c>
      <c r="D100" t="s">
        <v>1077</v>
      </c>
      <c r="G100" t="s">
        <v>1076</v>
      </c>
      <c r="H100" t="s">
        <v>1077</v>
      </c>
    </row>
    <row r="101" spans="1:11" x14ac:dyDescent="0.2">
      <c r="A101">
        <v>0</v>
      </c>
      <c r="C101" s="23">
        <v>68</v>
      </c>
      <c r="D101" s="23">
        <v>94</v>
      </c>
      <c r="G101">
        <f t="shared" ref="G101:G114" si="42">(MOD(C101,256)*256) + INT(C101/256)</f>
        <v>17408</v>
      </c>
      <c r="H101">
        <f t="shared" ref="H101:H108" si="43">(MOD(D101,256)*256) + INT(D101/256)</f>
        <v>24064</v>
      </c>
      <c r="K101" t="str">
        <f>_xlfn.CONCAT(G101,", ",H101,", // Port ",A101)</f>
        <v>17408, 24064, // Port 0</v>
      </c>
    </row>
    <row r="102" spans="1:11" x14ac:dyDescent="0.2">
      <c r="A102">
        <v>1</v>
      </c>
      <c r="C102" s="23">
        <v>29</v>
      </c>
      <c r="D102" s="23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3">
        <v>60</v>
      </c>
      <c r="D103" s="23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3">
        <v>190</v>
      </c>
      <c r="D104" s="23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3">
        <v>67</v>
      </c>
      <c r="D105" s="23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3">
        <v>156</v>
      </c>
      <c r="D106" s="23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3">
        <v>179</v>
      </c>
      <c r="D107" s="23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3">
        <v>256</v>
      </c>
      <c r="D108" s="23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3">
        <v>301</v>
      </c>
      <c r="D109" s="23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3">
        <v>327</v>
      </c>
      <c r="D110" s="23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3">
        <v>324</v>
      </c>
      <c r="D111" s="23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3">
        <v>258</v>
      </c>
      <c r="D112" s="23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3">
        <v>193</v>
      </c>
      <c r="D113" s="23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3">
        <v>147</v>
      </c>
      <c r="D114" s="23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2025-01-13T11:29:28Z</dcterms:modified>
</cp:coreProperties>
</file>