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207" codeName="{857A39E2-67AF-9BA6-E15C-A4B3A0C7559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simonholmes/projects/SummerFX/"/>
    </mc:Choice>
  </mc:AlternateContent>
  <xr:revisionPtr revIDLastSave="0" documentId="13_ncr:1_{ADEEFDC4-972B-924A-A304-E8F23385A69E}" xr6:coauthVersionLast="47" xr6:coauthVersionMax="47" xr10:uidLastSave="{00000000-0000-0000-0000-000000000000}"/>
  <bookViews>
    <workbookView xWindow="33400" yWindow="1180" windowWidth="30000" windowHeight="30420" activeTab="3" xr2:uid="{50E1C641-7614-0542-B3D9-BEFC89310226}"/>
  </bookViews>
  <sheets>
    <sheet name="Hidden" sheetId="6" state="hidden" r:id="rId1"/>
    <sheet name="Stances" sheetId="1" r:id="rId2"/>
    <sheet name="Level_00" sheetId="8" r:id="rId3"/>
    <sheet name="Map" sheetId="10" r:id="rId4"/>
    <sheet name="Sheet2" sheetId="11" r:id="rId5"/>
    <sheet name="Level_00 (2)" sheetId="9" r:id="rId6"/>
  </sheets>
  <definedNames>
    <definedName name="_xleta.FLOOR" hidden="1" xlm="1">#NAME?</definedName>
    <definedName name="_xleta.TEXTJOIN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114" i="10" l="1"/>
  <c r="K113" i="10"/>
  <c r="K110" i="10"/>
  <c r="K109" i="10"/>
  <c r="K107" i="10"/>
  <c r="K104" i="10"/>
  <c r="K101" i="10"/>
  <c r="H114" i="10"/>
  <c r="G114" i="10"/>
  <c r="H113" i="10"/>
  <c r="G113" i="10"/>
  <c r="H112" i="10"/>
  <c r="G112" i="10"/>
  <c r="K112" i="10" s="1"/>
  <c r="H111" i="10"/>
  <c r="K111" i="10" s="1"/>
  <c r="G111" i="10"/>
  <c r="H110" i="10"/>
  <c r="G110" i="10"/>
  <c r="H109" i="10"/>
  <c r="G109" i="10"/>
  <c r="H108" i="10"/>
  <c r="G108" i="10"/>
  <c r="K108" i="10" s="1"/>
  <c r="H107" i="10"/>
  <c r="G107" i="10"/>
  <c r="H106" i="10"/>
  <c r="G106" i="10"/>
  <c r="K106" i="10" s="1"/>
  <c r="H105" i="10"/>
  <c r="G105" i="10"/>
  <c r="K105" i="10" s="1"/>
  <c r="H104" i="10"/>
  <c r="G104" i="10"/>
  <c r="H103" i="10"/>
  <c r="G103" i="10"/>
  <c r="H102" i="10"/>
  <c r="G102" i="10"/>
  <c r="K102" i="10" s="1"/>
  <c r="H101" i="10"/>
  <c r="G101" i="10"/>
  <c r="AC52" i="10"/>
  <c r="AC51" i="10"/>
  <c r="AB51" i="10"/>
  <c r="AC50" i="10"/>
  <c r="AB50" i="10"/>
  <c r="AA50" i="10"/>
  <c r="AC49" i="10"/>
  <c r="AB49" i="10"/>
  <c r="AA49" i="10"/>
  <c r="Z49" i="10"/>
  <c r="AC48" i="10"/>
  <c r="AB48" i="10"/>
  <c r="AA48" i="10"/>
  <c r="Z48" i="10"/>
  <c r="Y48" i="10"/>
  <c r="AC47" i="10"/>
  <c r="AB47" i="10"/>
  <c r="AA47" i="10"/>
  <c r="Z47" i="10"/>
  <c r="Y47" i="10"/>
  <c r="X47" i="10"/>
  <c r="AC46" i="10"/>
  <c r="AB46" i="10"/>
  <c r="AA46" i="10"/>
  <c r="Z46" i="10"/>
  <c r="Y46" i="10"/>
  <c r="X46" i="10"/>
  <c r="W46" i="10"/>
  <c r="AC45" i="10"/>
  <c r="AB45" i="10"/>
  <c r="AA45" i="10"/>
  <c r="Z45" i="10"/>
  <c r="Y45" i="10"/>
  <c r="X45" i="10"/>
  <c r="W45" i="10"/>
  <c r="V45" i="10"/>
  <c r="AC44" i="10"/>
  <c r="AB44" i="10"/>
  <c r="AA44" i="10"/>
  <c r="Z44" i="10"/>
  <c r="Y44" i="10"/>
  <c r="X44" i="10"/>
  <c r="W44" i="10"/>
  <c r="V44" i="10"/>
  <c r="U44" i="10"/>
  <c r="AC43" i="10"/>
  <c r="AB43" i="10"/>
  <c r="AA43" i="10"/>
  <c r="Z43" i="10"/>
  <c r="Y43" i="10"/>
  <c r="X43" i="10"/>
  <c r="W43" i="10"/>
  <c r="V43" i="10"/>
  <c r="U43" i="10"/>
  <c r="T43" i="10"/>
  <c r="AC42" i="10"/>
  <c r="AB42" i="10"/>
  <c r="AA42" i="10"/>
  <c r="Z42" i="10"/>
  <c r="Y42" i="10"/>
  <c r="X42" i="10"/>
  <c r="W42" i="10"/>
  <c r="V42" i="10"/>
  <c r="U42" i="10"/>
  <c r="T42" i="10"/>
  <c r="S42" i="10"/>
  <c r="AC41" i="10"/>
  <c r="AB41" i="10"/>
  <c r="AA41" i="10"/>
  <c r="Z41" i="10"/>
  <c r="Y41" i="10"/>
  <c r="X41" i="10"/>
  <c r="W41" i="10"/>
  <c r="V41" i="10"/>
  <c r="U41" i="10"/>
  <c r="T41" i="10"/>
  <c r="S41" i="10"/>
  <c r="R41" i="10"/>
  <c r="AC40" i="10"/>
  <c r="AB40" i="10"/>
  <c r="AA40" i="10"/>
  <c r="Z40" i="10"/>
  <c r="Y40" i="10"/>
  <c r="X40" i="10"/>
  <c r="W40" i="10"/>
  <c r="V40" i="10"/>
  <c r="U40" i="10"/>
  <c r="T40" i="10"/>
  <c r="S40" i="10"/>
  <c r="R40" i="10"/>
  <c r="Q40" i="10"/>
  <c r="AC39" i="10"/>
  <c r="AB39" i="10"/>
  <c r="AA39" i="10"/>
  <c r="Z39" i="10"/>
  <c r="Y39" i="10"/>
  <c r="X39" i="10"/>
  <c r="W39" i="10"/>
  <c r="V39" i="10"/>
  <c r="U39" i="10"/>
  <c r="T39" i="10"/>
  <c r="S39" i="10"/>
  <c r="R39" i="10"/>
  <c r="Q39" i="10"/>
  <c r="AC38" i="10"/>
  <c r="AB38" i="10"/>
  <c r="AA38" i="10"/>
  <c r="Z38" i="10"/>
  <c r="Y38" i="10"/>
  <c r="X38" i="10"/>
  <c r="W38" i="10"/>
  <c r="V38" i="10"/>
  <c r="U38" i="10"/>
  <c r="T38" i="10"/>
  <c r="S38" i="10"/>
  <c r="R38" i="10"/>
  <c r="Q38" i="10"/>
  <c r="P38" i="10"/>
  <c r="O38" i="10"/>
  <c r="Z31" i="10"/>
  <c r="W28" i="10"/>
  <c r="T25" i="10"/>
  <c r="Q23" i="10"/>
  <c r="O32" i="10"/>
  <c r="P32" i="10"/>
  <c r="O31" i="10"/>
  <c r="P31" i="10"/>
  <c r="O30" i="10"/>
  <c r="R32" i="10"/>
  <c r="P30" i="10"/>
  <c r="O29" i="10"/>
  <c r="S32" i="10"/>
  <c r="R31" i="10"/>
  <c r="P29" i="10"/>
  <c r="O28" i="10"/>
  <c r="S31" i="10"/>
  <c r="R30" i="10"/>
  <c r="P28" i="10"/>
  <c r="O27" i="10"/>
  <c r="U32" i="10"/>
  <c r="S30" i="10"/>
  <c r="R29" i="10"/>
  <c r="P27" i="10"/>
  <c r="O26" i="10"/>
  <c r="V32" i="10"/>
  <c r="U31" i="10"/>
  <c r="S29" i="10"/>
  <c r="R28" i="10"/>
  <c r="P26" i="10"/>
  <c r="O25" i="10"/>
  <c r="V31" i="10"/>
  <c r="U30" i="10"/>
  <c r="S28" i="10"/>
  <c r="R27" i="10"/>
  <c r="P25" i="10"/>
  <c r="O24" i="10"/>
  <c r="X32" i="10"/>
  <c r="V30" i="10"/>
  <c r="U29" i="10"/>
  <c r="S27" i="10"/>
  <c r="R26" i="10"/>
  <c r="Q25" i="10"/>
  <c r="Q26" i="10" s="1"/>
  <c r="P24" i="10"/>
  <c r="O23" i="10"/>
  <c r="Y32" i="10"/>
  <c r="X31" i="10"/>
  <c r="V29" i="10"/>
  <c r="U28" i="10"/>
  <c r="T27" i="10"/>
  <c r="T28" i="10" s="1"/>
  <c r="T29" i="10" s="1"/>
  <c r="T30" i="10" s="1"/>
  <c r="T31" i="10" s="1"/>
  <c r="T32" i="10" s="1"/>
  <c r="S26" i="10"/>
  <c r="R25" i="10"/>
  <c r="Q24" i="10"/>
  <c r="P23" i="10"/>
  <c r="O22" i="10"/>
  <c r="Z32" i="10"/>
  <c r="Y31" i="10"/>
  <c r="X30" i="10"/>
  <c r="W29" i="10"/>
  <c r="W30" i="10" s="1"/>
  <c r="W31" i="10" s="1"/>
  <c r="W32" i="10" s="1"/>
  <c r="V28" i="10"/>
  <c r="U27" i="10"/>
  <c r="T26" i="10"/>
  <c r="S25" i="10"/>
  <c r="R24" i="10"/>
  <c r="P22" i="10"/>
  <c r="O21" i="10"/>
  <c r="AA32" i="10"/>
  <c r="Y30" i="10"/>
  <c r="X29" i="10"/>
  <c r="V27" i="10"/>
  <c r="U26" i="10"/>
  <c r="S24" i="10"/>
  <c r="R23" i="10"/>
  <c r="Q22" i="10"/>
  <c r="P21" i="10"/>
  <c r="O20" i="10"/>
  <c r="AB32" i="10"/>
  <c r="AA31" i="10"/>
  <c r="Z30" i="10"/>
  <c r="Y29" i="10"/>
  <c r="X28" i="10"/>
  <c r="W27" i="10"/>
  <c r="V26" i="10"/>
  <c r="U25" i="10"/>
  <c r="T24" i="10"/>
  <c r="S23" i="10"/>
  <c r="R22" i="10"/>
  <c r="Q21" i="10"/>
  <c r="P20" i="10"/>
  <c r="O19" i="10"/>
  <c r="AE25" i="10"/>
  <c r="AE24" i="10"/>
  <c r="AE23" i="10"/>
  <c r="AE22" i="10"/>
  <c r="AE21" i="10"/>
  <c r="AE20" i="10"/>
  <c r="AE19" i="10"/>
  <c r="AE18" i="10"/>
  <c r="AC30" i="10"/>
  <c r="AA28" i="10"/>
  <c r="Z27" i="10"/>
  <c r="X25" i="10"/>
  <c r="W24" i="10"/>
  <c r="U22" i="10"/>
  <c r="T21" i="10"/>
  <c r="S20" i="10"/>
  <c r="R19" i="10"/>
  <c r="Q18" i="10"/>
  <c r="H15" i="10"/>
  <c r="G15" i="10"/>
  <c r="F15" i="10"/>
  <c r="K15" i="10" s="1"/>
  <c r="F6" i="10"/>
  <c r="G6" i="10"/>
  <c r="H6" i="10"/>
  <c r="K6" i="10" s="1"/>
  <c r="F7" i="10"/>
  <c r="G7" i="10"/>
  <c r="H7" i="10"/>
  <c r="F8" i="10"/>
  <c r="G8" i="10"/>
  <c r="H8" i="10"/>
  <c r="F9" i="10"/>
  <c r="G9" i="10"/>
  <c r="H9" i="10"/>
  <c r="F10" i="10"/>
  <c r="G10" i="10"/>
  <c r="H10" i="10"/>
  <c r="F11" i="10"/>
  <c r="G11" i="10"/>
  <c r="H11" i="10"/>
  <c r="F12" i="10"/>
  <c r="G12" i="10"/>
  <c r="H12" i="10"/>
  <c r="K12" i="10" s="1"/>
  <c r="F13" i="10"/>
  <c r="G13" i="10"/>
  <c r="H13" i="10"/>
  <c r="F14" i="10"/>
  <c r="G14" i="10"/>
  <c r="H14" i="10"/>
  <c r="K9" i="10"/>
  <c r="H5" i="10"/>
  <c r="G5" i="10"/>
  <c r="F5" i="10"/>
  <c r="K5" i="10" s="1"/>
  <c r="H4" i="10"/>
  <c r="G4" i="10"/>
  <c r="F4" i="10"/>
  <c r="K4" i="10" s="1"/>
  <c r="H3" i="10"/>
  <c r="G3" i="10"/>
  <c r="F3" i="10"/>
  <c r="K3" i="10" s="1"/>
  <c r="H2" i="10"/>
  <c r="G2" i="10"/>
  <c r="F2" i="10"/>
  <c r="F80" i="8"/>
  <c r="F79" i="8"/>
  <c r="F78" i="8"/>
  <c r="F77" i="8"/>
  <c r="F51" i="8"/>
  <c r="F35" i="8"/>
  <c r="N694" i="1"/>
  <c r="M694" i="1"/>
  <c r="L694" i="1"/>
  <c r="K694" i="1"/>
  <c r="J694" i="1"/>
  <c r="N693" i="1"/>
  <c r="M693" i="1"/>
  <c r="L693" i="1"/>
  <c r="K693" i="1"/>
  <c r="J693" i="1"/>
  <c r="N692" i="1"/>
  <c r="M692" i="1"/>
  <c r="L692" i="1"/>
  <c r="K692" i="1"/>
  <c r="J692" i="1"/>
  <c r="N691" i="1"/>
  <c r="M691" i="1"/>
  <c r="L691" i="1"/>
  <c r="K691" i="1"/>
  <c r="J691" i="1"/>
  <c r="N690" i="1"/>
  <c r="M690" i="1"/>
  <c r="L690" i="1"/>
  <c r="K690" i="1"/>
  <c r="J690" i="1"/>
  <c r="N689" i="1"/>
  <c r="M689" i="1"/>
  <c r="L689" i="1"/>
  <c r="K689" i="1"/>
  <c r="J689" i="1"/>
  <c r="N688" i="1"/>
  <c r="M688" i="1"/>
  <c r="L688" i="1"/>
  <c r="K688" i="1"/>
  <c r="J688" i="1"/>
  <c r="N687" i="1"/>
  <c r="M687" i="1"/>
  <c r="L687" i="1"/>
  <c r="K687" i="1"/>
  <c r="J687" i="1"/>
  <c r="N686" i="1"/>
  <c r="M686" i="1"/>
  <c r="L686" i="1"/>
  <c r="K686" i="1"/>
  <c r="J686" i="1"/>
  <c r="N685" i="1"/>
  <c r="M685" i="1"/>
  <c r="L685" i="1"/>
  <c r="K685" i="1"/>
  <c r="J685" i="1"/>
  <c r="N684" i="1"/>
  <c r="M684" i="1"/>
  <c r="L684" i="1"/>
  <c r="K684" i="1"/>
  <c r="J684" i="1"/>
  <c r="N683" i="1"/>
  <c r="M683" i="1"/>
  <c r="L683" i="1"/>
  <c r="K683" i="1"/>
  <c r="J683" i="1"/>
  <c r="N682" i="1"/>
  <c r="M682" i="1"/>
  <c r="L682" i="1"/>
  <c r="K682" i="1"/>
  <c r="J682" i="1"/>
  <c r="N681" i="1"/>
  <c r="M681" i="1"/>
  <c r="L681" i="1"/>
  <c r="K681" i="1"/>
  <c r="J681" i="1"/>
  <c r="N680" i="1"/>
  <c r="M680" i="1"/>
  <c r="L680" i="1"/>
  <c r="K680" i="1"/>
  <c r="J680" i="1"/>
  <c r="N679" i="1"/>
  <c r="M679" i="1"/>
  <c r="L679" i="1"/>
  <c r="K679" i="1"/>
  <c r="J679" i="1"/>
  <c r="N322" i="1"/>
  <c r="M322" i="1"/>
  <c r="L322" i="1"/>
  <c r="K322" i="1"/>
  <c r="J322" i="1"/>
  <c r="N321" i="1"/>
  <c r="M321" i="1"/>
  <c r="L321" i="1"/>
  <c r="K321" i="1"/>
  <c r="J321" i="1"/>
  <c r="N320" i="1"/>
  <c r="M320" i="1"/>
  <c r="L320" i="1"/>
  <c r="K320" i="1"/>
  <c r="J320" i="1"/>
  <c r="N319" i="1"/>
  <c r="M319" i="1"/>
  <c r="L319" i="1"/>
  <c r="K319" i="1"/>
  <c r="J319" i="1"/>
  <c r="N318" i="1"/>
  <c r="M318" i="1"/>
  <c r="L318" i="1"/>
  <c r="K318" i="1"/>
  <c r="J318" i="1"/>
  <c r="N317" i="1"/>
  <c r="M317" i="1"/>
  <c r="L317" i="1"/>
  <c r="K317" i="1"/>
  <c r="J317" i="1"/>
  <c r="N316" i="1"/>
  <c r="M316" i="1"/>
  <c r="L316" i="1"/>
  <c r="K316" i="1"/>
  <c r="J316" i="1"/>
  <c r="N315" i="1"/>
  <c r="M315" i="1"/>
  <c r="L315" i="1"/>
  <c r="K315" i="1"/>
  <c r="J315" i="1"/>
  <c r="N314" i="1"/>
  <c r="M314" i="1"/>
  <c r="L314" i="1"/>
  <c r="K314" i="1"/>
  <c r="J314" i="1"/>
  <c r="N313" i="1"/>
  <c r="M313" i="1"/>
  <c r="L313" i="1"/>
  <c r="K313" i="1"/>
  <c r="J313" i="1"/>
  <c r="N312" i="1"/>
  <c r="M312" i="1"/>
  <c r="L312" i="1"/>
  <c r="K312" i="1"/>
  <c r="J312" i="1"/>
  <c r="N311" i="1"/>
  <c r="M311" i="1"/>
  <c r="L311" i="1"/>
  <c r="K311" i="1"/>
  <c r="J311" i="1"/>
  <c r="N310" i="1"/>
  <c r="M310" i="1"/>
  <c r="L310" i="1"/>
  <c r="K310" i="1"/>
  <c r="J310" i="1"/>
  <c r="N309" i="1"/>
  <c r="M309" i="1"/>
  <c r="L309" i="1"/>
  <c r="K309" i="1"/>
  <c r="J309" i="1"/>
  <c r="N308" i="1"/>
  <c r="M308" i="1"/>
  <c r="L308" i="1"/>
  <c r="K308" i="1"/>
  <c r="J308" i="1"/>
  <c r="N307" i="1"/>
  <c r="M307" i="1"/>
  <c r="L307" i="1"/>
  <c r="K307" i="1"/>
  <c r="J307" i="1"/>
  <c r="N306" i="1"/>
  <c r="M306" i="1"/>
  <c r="L306" i="1"/>
  <c r="K306" i="1"/>
  <c r="J306" i="1"/>
  <c r="N305" i="1"/>
  <c r="M305" i="1"/>
  <c r="L305" i="1"/>
  <c r="K305" i="1"/>
  <c r="J305" i="1"/>
  <c r="N304" i="1"/>
  <c r="M304" i="1"/>
  <c r="L304" i="1"/>
  <c r="K304" i="1"/>
  <c r="J304" i="1"/>
  <c r="N303" i="1"/>
  <c r="M303" i="1"/>
  <c r="L303" i="1"/>
  <c r="K303" i="1"/>
  <c r="J303" i="1"/>
  <c r="N302" i="1"/>
  <c r="M302" i="1"/>
  <c r="L302" i="1"/>
  <c r="K302" i="1"/>
  <c r="J302" i="1"/>
  <c r="N301" i="1"/>
  <c r="M301" i="1"/>
  <c r="L301" i="1"/>
  <c r="K301" i="1"/>
  <c r="J301" i="1"/>
  <c r="N300" i="1"/>
  <c r="M300" i="1"/>
  <c r="L300" i="1"/>
  <c r="K300" i="1"/>
  <c r="J300" i="1"/>
  <c r="N299" i="1"/>
  <c r="M299" i="1"/>
  <c r="L299" i="1"/>
  <c r="K299" i="1"/>
  <c r="J299" i="1"/>
  <c r="N298" i="1"/>
  <c r="M298" i="1"/>
  <c r="L298" i="1"/>
  <c r="K298" i="1"/>
  <c r="J298" i="1"/>
  <c r="A322" i="1"/>
  <c r="H321" i="1"/>
  <c r="H320" i="1"/>
  <c r="H319" i="1"/>
  <c r="H318" i="1"/>
  <c r="H317" i="1"/>
  <c r="H316" i="1"/>
  <c r="H315" i="1"/>
  <c r="H314" i="1"/>
  <c r="H313" i="1"/>
  <c r="H312" i="1"/>
  <c r="H311" i="1"/>
  <c r="H310" i="1"/>
  <c r="H309" i="1"/>
  <c r="H308" i="1"/>
  <c r="H307" i="1"/>
  <c r="H306" i="1"/>
  <c r="H305" i="1"/>
  <c r="H304" i="1"/>
  <c r="H303" i="1"/>
  <c r="H302" i="1"/>
  <c r="H301" i="1"/>
  <c r="N697" i="1"/>
  <c r="M697" i="1"/>
  <c r="L697" i="1"/>
  <c r="K697" i="1"/>
  <c r="J697" i="1"/>
  <c r="H697" i="1"/>
  <c r="N696" i="1"/>
  <c r="M696" i="1"/>
  <c r="L696" i="1"/>
  <c r="K696" i="1"/>
  <c r="J696" i="1"/>
  <c r="H696" i="1"/>
  <c r="N695" i="1"/>
  <c r="M695" i="1"/>
  <c r="L695" i="1"/>
  <c r="K695" i="1"/>
  <c r="J695" i="1"/>
  <c r="H695" i="1"/>
  <c r="H694" i="1"/>
  <c r="H693" i="1"/>
  <c r="H692" i="1"/>
  <c r="H691" i="1"/>
  <c r="H690" i="1"/>
  <c r="H689" i="1"/>
  <c r="H688" i="1"/>
  <c r="H687" i="1"/>
  <c r="H686" i="1"/>
  <c r="H685" i="1"/>
  <c r="N327" i="1"/>
  <c r="M327" i="1"/>
  <c r="L327" i="1"/>
  <c r="K327" i="1"/>
  <c r="J327" i="1"/>
  <c r="N326" i="1"/>
  <c r="M326" i="1"/>
  <c r="L326" i="1"/>
  <c r="K326" i="1"/>
  <c r="J326" i="1"/>
  <c r="N325" i="1"/>
  <c r="M325" i="1"/>
  <c r="L325" i="1"/>
  <c r="K325" i="1"/>
  <c r="J325" i="1"/>
  <c r="N324" i="1"/>
  <c r="M324" i="1"/>
  <c r="L324" i="1"/>
  <c r="K324" i="1"/>
  <c r="J324" i="1"/>
  <c r="N323" i="1"/>
  <c r="M323" i="1"/>
  <c r="L323" i="1"/>
  <c r="K323" i="1"/>
  <c r="J323" i="1"/>
  <c r="N297" i="1"/>
  <c r="M297" i="1"/>
  <c r="L297" i="1"/>
  <c r="K297" i="1"/>
  <c r="J297" i="1"/>
  <c r="N296" i="1"/>
  <c r="M296" i="1"/>
  <c r="L296" i="1"/>
  <c r="K296" i="1"/>
  <c r="J296" i="1"/>
  <c r="N295" i="1"/>
  <c r="M295" i="1"/>
  <c r="L295" i="1"/>
  <c r="K295" i="1"/>
  <c r="J295" i="1"/>
  <c r="N705" i="1"/>
  <c r="M705" i="1"/>
  <c r="L705" i="1"/>
  <c r="K705" i="1"/>
  <c r="J705" i="1"/>
  <c r="H705" i="1"/>
  <c r="N704" i="1"/>
  <c r="M704" i="1"/>
  <c r="L704" i="1"/>
  <c r="K704" i="1"/>
  <c r="J704" i="1"/>
  <c r="H704" i="1"/>
  <c r="N703" i="1"/>
  <c r="M703" i="1"/>
  <c r="L703" i="1"/>
  <c r="K703" i="1"/>
  <c r="J703" i="1"/>
  <c r="H703" i="1"/>
  <c r="N702" i="1"/>
  <c r="M702" i="1"/>
  <c r="L702" i="1"/>
  <c r="K702" i="1"/>
  <c r="J702" i="1"/>
  <c r="H702" i="1"/>
  <c r="N701" i="1"/>
  <c r="M701" i="1"/>
  <c r="L701" i="1"/>
  <c r="K701" i="1"/>
  <c r="J701" i="1"/>
  <c r="H701" i="1"/>
  <c r="N700" i="1"/>
  <c r="M700" i="1"/>
  <c r="L700" i="1"/>
  <c r="K700" i="1"/>
  <c r="J700" i="1"/>
  <c r="H700" i="1"/>
  <c r="N699" i="1"/>
  <c r="M699" i="1"/>
  <c r="L699" i="1"/>
  <c r="K699" i="1"/>
  <c r="J699" i="1"/>
  <c r="H699" i="1"/>
  <c r="N698" i="1"/>
  <c r="M698" i="1"/>
  <c r="L698" i="1"/>
  <c r="K698" i="1"/>
  <c r="J698" i="1"/>
  <c r="H698" i="1"/>
  <c r="F33" i="9"/>
  <c r="F32" i="9"/>
  <c r="F31" i="9"/>
  <c r="F30" i="9"/>
  <c r="F29" i="9"/>
  <c r="F28" i="9"/>
  <c r="F27" i="9"/>
  <c r="F26" i="9"/>
  <c r="F25" i="9"/>
  <c r="F24" i="9"/>
  <c r="F23" i="9"/>
  <c r="F22" i="9"/>
  <c r="F21" i="9"/>
  <c r="F20" i="9"/>
  <c r="F19" i="9"/>
  <c r="F18" i="9"/>
  <c r="F17" i="9"/>
  <c r="F16" i="9" a="1"/>
  <c r="F16" i="9" s="1"/>
  <c r="F32" i="8"/>
  <c r="F31" i="8"/>
  <c r="F30" i="8"/>
  <c r="F29" i="8"/>
  <c r="F28" i="8"/>
  <c r="F27" i="8"/>
  <c r="F26" i="8"/>
  <c r="F25" i="8"/>
  <c r="F24" i="8"/>
  <c r="F23" i="8"/>
  <c r="F22" i="8"/>
  <c r="F21" i="8"/>
  <c r="F20" i="8"/>
  <c r="F19" i="8"/>
  <c r="F18" i="8"/>
  <c r="F17" i="8"/>
  <c r="F16" i="8" a="1"/>
  <c r="F16" i="8" s="1"/>
  <c r="N859" i="1"/>
  <c r="M859" i="1"/>
  <c r="L859" i="1"/>
  <c r="K859" i="1"/>
  <c r="J859" i="1"/>
  <c r="H859" i="1"/>
  <c r="N858" i="1"/>
  <c r="M858" i="1"/>
  <c r="L858" i="1"/>
  <c r="K858" i="1"/>
  <c r="J858" i="1"/>
  <c r="H858" i="1"/>
  <c r="N857" i="1"/>
  <c r="M857" i="1"/>
  <c r="L857" i="1"/>
  <c r="K857" i="1"/>
  <c r="J857" i="1"/>
  <c r="H857" i="1"/>
  <c r="N856" i="1"/>
  <c r="M856" i="1"/>
  <c r="L856" i="1"/>
  <c r="K856" i="1"/>
  <c r="J856" i="1"/>
  <c r="H856" i="1"/>
  <c r="N855" i="1"/>
  <c r="M855" i="1"/>
  <c r="L855" i="1"/>
  <c r="K855" i="1"/>
  <c r="J855" i="1"/>
  <c r="H855" i="1"/>
  <c r="N854" i="1"/>
  <c r="M854" i="1"/>
  <c r="L854" i="1"/>
  <c r="K854" i="1"/>
  <c r="J854" i="1"/>
  <c r="H854" i="1"/>
  <c r="N853" i="1"/>
  <c r="M853" i="1"/>
  <c r="L853" i="1"/>
  <c r="K853" i="1"/>
  <c r="J853" i="1"/>
  <c r="H853" i="1"/>
  <c r="N475" i="1"/>
  <c r="M475" i="1"/>
  <c r="L475" i="1"/>
  <c r="K475" i="1"/>
  <c r="J475" i="1"/>
  <c r="H475" i="1"/>
  <c r="N474" i="1"/>
  <c r="M474" i="1"/>
  <c r="L474" i="1"/>
  <c r="K474" i="1"/>
  <c r="J474" i="1"/>
  <c r="H474" i="1"/>
  <c r="N473" i="1"/>
  <c r="M473" i="1"/>
  <c r="L473" i="1"/>
  <c r="K473" i="1"/>
  <c r="J473" i="1"/>
  <c r="H473" i="1"/>
  <c r="N472" i="1"/>
  <c r="M472" i="1"/>
  <c r="L472" i="1"/>
  <c r="K472" i="1"/>
  <c r="J472" i="1"/>
  <c r="H472" i="1"/>
  <c r="N471" i="1"/>
  <c r="M471" i="1"/>
  <c r="L471" i="1"/>
  <c r="K471" i="1"/>
  <c r="J471" i="1"/>
  <c r="H471" i="1"/>
  <c r="N470" i="1"/>
  <c r="M470" i="1"/>
  <c r="L470" i="1"/>
  <c r="K470" i="1"/>
  <c r="J470" i="1"/>
  <c r="H470" i="1"/>
  <c r="N469" i="1"/>
  <c r="M469" i="1"/>
  <c r="L469" i="1"/>
  <c r="K469" i="1"/>
  <c r="J469" i="1"/>
  <c r="H469" i="1"/>
  <c r="N852" i="1"/>
  <c r="M852" i="1"/>
  <c r="L852" i="1"/>
  <c r="K852" i="1"/>
  <c r="J852" i="1"/>
  <c r="H852" i="1"/>
  <c r="N851" i="1"/>
  <c r="M851" i="1"/>
  <c r="L851" i="1"/>
  <c r="K851" i="1"/>
  <c r="J851" i="1"/>
  <c r="H851" i="1"/>
  <c r="N850" i="1"/>
  <c r="M850" i="1"/>
  <c r="L850" i="1"/>
  <c r="K850" i="1"/>
  <c r="J850" i="1"/>
  <c r="H850" i="1"/>
  <c r="N849" i="1"/>
  <c r="M849" i="1"/>
  <c r="L849" i="1"/>
  <c r="K849" i="1"/>
  <c r="J849" i="1"/>
  <c r="H849" i="1"/>
  <c r="N848" i="1"/>
  <c r="M848" i="1"/>
  <c r="L848" i="1"/>
  <c r="K848" i="1"/>
  <c r="J848" i="1"/>
  <c r="H848" i="1"/>
  <c r="N847" i="1"/>
  <c r="M847" i="1"/>
  <c r="L847" i="1"/>
  <c r="K847" i="1"/>
  <c r="J847" i="1"/>
  <c r="H847" i="1"/>
  <c r="N846" i="1"/>
  <c r="M846" i="1"/>
  <c r="L846" i="1"/>
  <c r="K846" i="1"/>
  <c r="J846" i="1"/>
  <c r="H846" i="1"/>
  <c r="N467" i="1"/>
  <c r="M467" i="1"/>
  <c r="L467" i="1"/>
  <c r="K467" i="1"/>
  <c r="J467" i="1"/>
  <c r="H467" i="1"/>
  <c r="N465" i="1"/>
  <c r="M465" i="1"/>
  <c r="L465" i="1"/>
  <c r="K465" i="1"/>
  <c r="J465" i="1"/>
  <c r="H465" i="1"/>
  <c r="N464" i="1"/>
  <c r="M464" i="1"/>
  <c r="L464" i="1"/>
  <c r="K464" i="1"/>
  <c r="J464" i="1"/>
  <c r="H464" i="1"/>
  <c r="N468" i="1"/>
  <c r="M468" i="1"/>
  <c r="L468" i="1"/>
  <c r="K468" i="1"/>
  <c r="J468" i="1"/>
  <c r="H468" i="1"/>
  <c r="N466" i="1"/>
  <c r="M466" i="1"/>
  <c r="L466" i="1"/>
  <c r="K466" i="1"/>
  <c r="J466" i="1"/>
  <c r="H466" i="1"/>
  <c r="N463" i="1"/>
  <c r="M463" i="1"/>
  <c r="L463" i="1"/>
  <c r="K463" i="1"/>
  <c r="J463" i="1"/>
  <c r="H463" i="1"/>
  <c r="N462" i="1"/>
  <c r="M462" i="1"/>
  <c r="L462" i="1"/>
  <c r="K462" i="1"/>
  <c r="J462" i="1"/>
  <c r="H462" i="1"/>
  <c r="H1034" i="1"/>
  <c r="H1033" i="1"/>
  <c r="H1032" i="1"/>
  <c r="H1031" i="1"/>
  <c r="H1030" i="1"/>
  <c r="H1021" i="1"/>
  <c r="H1020" i="1"/>
  <c r="H1019" i="1"/>
  <c r="H1018" i="1"/>
  <c r="H1017" i="1"/>
  <c r="H1008" i="1"/>
  <c r="H1007" i="1"/>
  <c r="H1006" i="1"/>
  <c r="H1005" i="1"/>
  <c r="H1004" i="1"/>
  <c r="H995" i="1"/>
  <c r="H994" i="1"/>
  <c r="H993" i="1"/>
  <c r="H992" i="1"/>
  <c r="H991" i="1"/>
  <c r="C984" i="1"/>
  <c r="C985" i="1" s="1"/>
  <c r="C986" i="1" s="1"/>
  <c r="C987" i="1" s="1"/>
  <c r="C988" i="1" s="1"/>
  <c r="C989" i="1" s="1"/>
  <c r="C990" i="1" s="1"/>
  <c r="C991" i="1" s="1"/>
  <c r="C992" i="1" s="1"/>
  <c r="C993" i="1" s="1"/>
  <c r="C994" i="1" s="1"/>
  <c r="C995" i="1" s="1"/>
  <c r="C997" i="1" s="1"/>
  <c r="C998" i="1" s="1"/>
  <c r="C999" i="1" s="1"/>
  <c r="C1000" i="1" s="1"/>
  <c r="C1001" i="1" s="1"/>
  <c r="C1002" i="1" s="1"/>
  <c r="C1003" i="1" s="1"/>
  <c r="C1004" i="1" s="1"/>
  <c r="C1005" i="1" s="1"/>
  <c r="C1006" i="1" s="1"/>
  <c r="C1007" i="1" s="1"/>
  <c r="C1008" i="1" s="1"/>
  <c r="C1010" i="1" s="1"/>
  <c r="C1011" i="1" s="1"/>
  <c r="C1012" i="1" s="1"/>
  <c r="C1013" i="1" s="1"/>
  <c r="C1014" i="1" s="1"/>
  <c r="C1015" i="1" s="1"/>
  <c r="C1016" i="1" s="1"/>
  <c r="C1017" i="1" s="1"/>
  <c r="C1018" i="1" s="1"/>
  <c r="C1019" i="1" s="1"/>
  <c r="C1020" i="1" s="1"/>
  <c r="C1021" i="1" s="1"/>
  <c r="C1023" i="1" s="1"/>
  <c r="C1024" i="1" s="1"/>
  <c r="C1025" i="1" s="1"/>
  <c r="C1026" i="1" s="1"/>
  <c r="C1027" i="1" s="1"/>
  <c r="C1028" i="1" s="1"/>
  <c r="C1029" i="1" s="1"/>
  <c r="C1030" i="1" s="1"/>
  <c r="C1031" i="1" s="1"/>
  <c r="C1032" i="1" s="1"/>
  <c r="C1033" i="1" s="1"/>
  <c r="C1034" i="1" s="1"/>
  <c r="H1003" i="1"/>
  <c r="H1002" i="1"/>
  <c r="H1001" i="1"/>
  <c r="H1000" i="1"/>
  <c r="H990" i="1"/>
  <c r="H989" i="1"/>
  <c r="H988" i="1"/>
  <c r="H987" i="1"/>
  <c r="H1029" i="1"/>
  <c r="H1028" i="1"/>
  <c r="H1027" i="1"/>
  <c r="H1026" i="1"/>
  <c r="H1016" i="1"/>
  <c r="H1015" i="1"/>
  <c r="H1014" i="1"/>
  <c r="H1013" i="1"/>
  <c r="H1025" i="1"/>
  <c r="H1024" i="1"/>
  <c r="H1023" i="1"/>
  <c r="H1022" i="1"/>
  <c r="H1012" i="1"/>
  <c r="H1011" i="1"/>
  <c r="H1010" i="1"/>
  <c r="H1009" i="1"/>
  <c r="H999" i="1"/>
  <c r="H998" i="1"/>
  <c r="H997" i="1"/>
  <c r="H996" i="1"/>
  <c r="H986" i="1"/>
  <c r="H985" i="1"/>
  <c r="H984" i="1"/>
  <c r="H983" i="1"/>
  <c r="N813" i="1"/>
  <c r="M813" i="1"/>
  <c r="L813" i="1"/>
  <c r="K813" i="1"/>
  <c r="J813" i="1"/>
  <c r="N812" i="1"/>
  <c r="M812" i="1"/>
  <c r="L812" i="1"/>
  <c r="K812" i="1"/>
  <c r="J812" i="1"/>
  <c r="N811" i="1"/>
  <c r="M811" i="1"/>
  <c r="L811" i="1"/>
  <c r="K811" i="1"/>
  <c r="J811" i="1"/>
  <c r="N810" i="1"/>
  <c r="M810" i="1"/>
  <c r="L810" i="1"/>
  <c r="K810" i="1"/>
  <c r="J810" i="1"/>
  <c r="N809" i="1"/>
  <c r="M809" i="1"/>
  <c r="L809" i="1"/>
  <c r="K809" i="1"/>
  <c r="J809" i="1"/>
  <c r="N808" i="1"/>
  <c r="M808" i="1"/>
  <c r="L808" i="1"/>
  <c r="K808" i="1"/>
  <c r="J808" i="1"/>
  <c r="N807" i="1"/>
  <c r="M807" i="1"/>
  <c r="L807" i="1"/>
  <c r="K807" i="1"/>
  <c r="J807" i="1"/>
  <c r="N806" i="1"/>
  <c r="M806" i="1"/>
  <c r="L806" i="1"/>
  <c r="K806" i="1"/>
  <c r="J806" i="1"/>
  <c r="N805" i="1"/>
  <c r="M805" i="1"/>
  <c r="L805" i="1"/>
  <c r="K805" i="1"/>
  <c r="J805" i="1"/>
  <c r="N804" i="1"/>
  <c r="M804" i="1"/>
  <c r="L804" i="1"/>
  <c r="K804" i="1"/>
  <c r="J804" i="1"/>
  <c r="N803" i="1"/>
  <c r="M803" i="1"/>
  <c r="L803" i="1"/>
  <c r="K803" i="1"/>
  <c r="J803" i="1"/>
  <c r="N802" i="1"/>
  <c r="M802" i="1"/>
  <c r="L802" i="1"/>
  <c r="K802" i="1"/>
  <c r="J802" i="1"/>
  <c r="N801" i="1"/>
  <c r="M801" i="1"/>
  <c r="L801" i="1"/>
  <c r="K801" i="1"/>
  <c r="J801" i="1"/>
  <c r="N800" i="1"/>
  <c r="M800" i="1"/>
  <c r="L800" i="1"/>
  <c r="K800" i="1"/>
  <c r="J800" i="1"/>
  <c r="N799" i="1"/>
  <c r="M799" i="1"/>
  <c r="L799" i="1"/>
  <c r="K799" i="1"/>
  <c r="J799" i="1"/>
  <c r="N798" i="1"/>
  <c r="M798" i="1"/>
  <c r="L798" i="1"/>
  <c r="K798" i="1"/>
  <c r="J798" i="1"/>
  <c r="N797" i="1"/>
  <c r="M797" i="1"/>
  <c r="L797" i="1"/>
  <c r="K797" i="1"/>
  <c r="J797" i="1"/>
  <c r="N796" i="1"/>
  <c r="M796" i="1"/>
  <c r="L796" i="1"/>
  <c r="K796" i="1"/>
  <c r="J796" i="1"/>
  <c r="N795" i="1"/>
  <c r="M795" i="1"/>
  <c r="L795" i="1"/>
  <c r="K795" i="1"/>
  <c r="J795" i="1"/>
  <c r="N794" i="1"/>
  <c r="M794" i="1"/>
  <c r="L794" i="1"/>
  <c r="K794" i="1"/>
  <c r="J794" i="1"/>
  <c r="N793" i="1"/>
  <c r="M793" i="1"/>
  <c r="L793" i="1"/>
  <c r="K793" i="1"/>
  <c r="J793" i="1"/>
  <c r="N792" i="1"/>
  <c r="M792" i="1"/>
  <c r="L792" i="1"/>
  <c r="K792" i="1"/>
  <c r="J792" i="1"/>
  <c r="N791" i="1"/>
  <c r="M791" i="1"/>
  <c r="L791" i="1"/>
  <c r="K791" i="1"/>
  <c r="J791" i="1"/>
  <c r="N790" i="1"/>
  <c r="M790" i="1"/>
  <c r="L790" i="1"/>
  <c r="K790" i="1"/>
  <c r="J790" i="1"/>
  <c r="N789" i="1"/>
  <c r="M789" i="1"/>
  <c r="L789" i="1"/>
  <c r="K789" i="1"/>
  <c r="J789" i="1"/>
  <c r="N788" i="1"/>
  <c r="M788" i="1"/>
  <c r="L788" i="1"/>
  <c r="K788" i="1"/>
  <c r="J788" i="1"/>
  <c r="N787" i="1"/>
  <c r="M787" i="1"/>
  <c r="L787" i="1"/>
  <c r="K787" i="1"/>
  <c r="J787" i="1"/>
  <c r="N786" i="1"/>
  <c r="M786" i="1"/>
  <c r="L786" i="1"/>
  <c r="K786" i="1"/>
  <c r="J786" i="1"/>
  <c r="N785" i="1"/>
  <c r="M785" i="1"/>
  <c r="L785" i="1"/>
  <c r="K785" i="1"/>
  <c r="J785" i="1"/>
  <c r="N784" i="1"/>
  <c r="M784" i="1"/>
  <c r="L784" i="1"/>
  <c r="K784" i="1"/>
  <c r="J784" i="1"/>
  <c r="N783" i="1"/>
  <c r="M783" i="1"/>
  <c r="L783" i="1"/>
  <c r="K783" i="1"/>
  <c r="J783" i="1"/>
  <c r="N782" i="1"/>
  <c r="M782" i="1"/>
  <c r="L782" i="1"/>
  <c r="K782" i="1"/>
  <c r="J782" i="1"/>
  <c r="H811" i="1"/>
  <c r="H810" i="1"/>
  <c r="H809" i="1"/>
  <c r="H808" i="1"/>
  <c r="H807" i="1"/>
  <c r="H806" i="1"/>
  <c r="H805" i="1"/>
  <c r="H804" i="1"/>
  <c r="H803" i="1"/>
  <c r="H802" i="1"/>
  <c r="H801" i="1"/>
  <c r="H800" i="1"/>
  <c r="H799" i="1"/>
  <c r="H798" i="1"/>
  <c r="H797" i="1"/>
  <c r="H796" i="1"/>
  <c r="H795" i="1"/>
  <c r="H794" i="1"/>
  <c r="H793" i="1"/>
  <c r="H792" i="1"/>
  <c r="H791" i="1"/>
  <c r="H790" i="1"/>
  <c r="H868" i="1"/>
  <c r="H867" i="1"/>
  <c r="H866" i="1"/>
  <c r="H865" i="1"/>
  <c r="H864" i="1"/>
  <c r="H863" i="1"/>
  <c r="H862" i="1"/>
  <c r="H861" i="1"/>
  <c r="H860" i="1"/>
  <c r="H845" i="1"/>
  <c r="H844" i="1"/>
  <c r="H843" i="1"/>
  <c r="H842" i="1"/>
  <c r="H841" i="1"/>
  <c r="H840" i="1"/>
  <c r="H839" i="1"/>
  <c r="H838" i="1"/>
  <c r="H837" i="1"/>
  <c r="H836" i="1"/>
  <c r="H835" i="1"/>
  <c r="H834" i="1"/>
  <c r="H833" i="1"/>
  <c r="H832" i="1"/>
  <c r="H831" i="1"/>
  <c r="H830" i="1"/>
  <c r="H829" i="1"/>
  <c r="H828" i="1"/>
  <c r="H827" i="1"/>
  <c r="H826" i="1"/>
  <c r="H825" i="1"/>
  <c r="H824" i="1"/>
  <c r="H823" i="1"/>
  <c r="H822" i="1"/>
  <c r="H821" i="1"/>
  <c r="H820" i="1"/>
  <c r="H819" i="1"/>
  <c r="H818" i="1"/>
  <c r="H817" i="1"/>
  <c r="H816" i="1"/>
  <c r="H815" i="1"/>
  <c r="H814" i="1"/>
  <c r="H813" i="1"/>
  <c r="H812" i="1"/>
  <c r="H788" i="1"/>
  <c r="H787" i="1"/>
  <c r="H786" i="1"/>
  <c r="H785" i="1"/>
  <c r="H784" i="1"/>
  <c r="H783" i="1"/>
  <c r="H782" i="1"/>
  <c r="H781" i="1"/>
  <c r="H780" i="1"/>
  <c r="H779" i="1"/>
  <c r="H778" i="1"/>
  <c r="H777" i="1"/>
  <c r="H776" i="1"/>
  <c r="H775" i="1"/>
  <c r="H774" i="1"/>
  <c r="H773" i="1"/>
  <c r="H772" i="1"/>
  <c r="H771" i="1"/>
  <c r="H770" i="1"/>
  <c r="H769" i="1"/>
  <c r="H768" i="1"/>
  <c r="H767" i="1"/>
  <c r="H766" i="1"/>
  <c r="H765" i="1"/>
  <c r="H764" i="1"/>
  <c r="H763" i="1"/>
  <c r="H762" i="1"/>
  <c r="H761" i="1"/>
  <c r="H760" i="1"/>
  <c r="H759" i="1"/>
  <c r="H758" i="1"/>
  <c r="H757" i="1"/>
  <c r="H756" i="1"/>
  <c r="H755" i="1"/>
  <c r="H754" i="1"/>
  <c r="H753" i="1"/>
  <c r="H752" i="1"/>
  <c r="H751" i="1"/>
  <c r="H750" i="1"/>
  <c r="H749" i="1"/>
  <c r="H748" i="1"/>
  <c r="H747" i="1"/>
  <c r="H746" i="1"/>
  <c r="H745" i="1"/>
  <c r="H744" i="1"/>
  <c r="H743" i="1"/>
  <c r="H742" i="1"/>
  <c r="H741" i="1"/>
  <c r="H739" i="1"/>
  <c r="H738" i="1"/>
  <c r="H737" i="1"/>
  <c r="H736" i="1"/>
  <c r="H735" i="1"/>
  <c r="H734" i="1"/>
  <c r="H733" i="1"/>
  <c r="H732" i="1"/>
  <c r="H731" i="1"/>
  <c r="H730" i="1"/>
  <c r="H728" i="1"/>
  <c r="H727" i="1"/>
  <c r="H726" i="1"/>
  <c r="H725" i="1"/>
  <c r="H724" i="1"/>
  <c r="H723" i="1"/>
  <c r="H722" i="1"/>
  <c r="H721" i="1"/>
  <c r="H720" i="1"/>
  <c r="H719" i="1"/>
  <c r="H718" i="1"/>
  <c r="H717" i="1"/>
  <c r="H716" i="1"/>
  <c r="H715" i="1"/>
  <c r="H714" i="1"/>
  <c r="H713" i="1"/>
  <c r="H712" i="1"/>
  <c r="H711" i="1"/>
  <c r="H710" i="1"/>
  <c r="H709" i="1"/>
  <c r="H708" i="1"/>
  <c r="H707" i="1"/>
  <c r="H706" i="1"/>
  <c r="H684" i="1"/>
  <c r="H683" i="1"/>
  <c r="H682" i="1"/>
  <c r="H681" i="1"/>
  <c r="H680" i="1"/>
  <c r="H679" i="1"/>
  <c r="H678" i="1"/>
  <c r="H677" i="1"/>
  <c r="H676" i="1"/>
  <c r="H675" i="1"/>
  <c r="H674" i="1"/>
  <c r="H673" i="1"/>
  <c r="H672" i="1"/>
  <c r="H671" i="1"/>
  <c r="H670" i="1"/>
  <c r="H669" i="1"/>
  <c r="H668" i="1"/>
  <c r="H667" i="1"/>
  <c r="H666" i="1"/>
  <c r="H665" i="1"/>
  <c r="H664" i="1"/>
  <c r="H663" i="1"/>
  <c r="H662" i="1"/>
  <c r="H661" i="1"/>
  <c r="H659" i="1"/>
  <c r="H658" i="1"/>
  <c r="H657" i="1"/>
  <c r="H656" i="1"/>
  <c r="H655" i="1"/>
  <c r="H654" i="1"/>
  <c r="H653" i="1"/>
  <c r="H652" i="1"/>
  <c r="H651" i="1"/>
  <c r="H650" i="1"/>
  <c r="H649" i="1"/>
  <c r="H648" i="1"/>
  <c r="H647" i="1"/>
  <c r="H646" i="1"/>
  <c r="H645" i="1"/>
  <c r="H644" i="1"/>
  <c r="H643" i="1"/>
  <c r="H642" i="1"/>
  <c r="H641" i="1"/>
  <c r="H640" i="1"/>
  <c r="H639" i="1"/>
  <c r="H638" i="1"/>
  <c r="H637" i="1"/>
  <c r="H636" i="1"/>
  <c r="H635" i="1"/>
  <c r="H634" i="1"/>
  <c r="H633" i="1"/>
  <c r="H632" i="1"/>
  <c r="H631" i="1"/>
  <c r="H630" i="1"/>
  <c r="H629" i="1"/>
  <c r="H628" i="1"/>
  <c r="H627" i="1"/>
  <c r="H625" i="1"/>
  <c r="H624" i="1"/>
  <c r="H623" i="1"/>
  <c r="H622" i="1"/>
  <c r="H621" i="1"/>
  <c r="H620" i="1"/>
  <c r="H619" i="1"/>
  <c r="H618" i="1"/>
  <c r="H617" i="1"/>
  <c r="H616" i="1"/>
  <c r="H615" i="1"/>
  <c r="H614" i="1"/>
  <c r="H612" i="1"/>
  <c r="H611" i="1"/>
  <c r="H610" i="1"/>
  <c r="H609" i="1"/>
  <c r="H608" i="1"/>
  <c r="H607" i="1"/>
  <c r="H606" i="1"/>
  <c r="H605" i="1"/>
  <c r="H604" i="1"/>
  <c r="H603" i="1"/>
  <c r="H602" i="1"/>
  <c r="H601" i="1"/>
  <c r="H600" i="1"/>
  <c r="H599" i="1"/>
  <c r="H598" i="1"/>
  <c r="H597" i="1"/>
  <c r="H596" i="1"/>
  <c r="H595" i="1"/>
  <c r="H594" i="1"/>
  <c r="H593" i="1"/>
  <c r="H592" i="1"/>
  <c r="H591" i="1"/>
  <c r="H590" i="1"/>
  <c r="H589" i="1"/>
  <c r="H588" i="1"/>
  <c r="H587" i="1"/>
  <c r="H586" i="1"/>
  <c r="H585" i="1"/>
  <c r="H584" i="1"/>
  <c r="H583" i="1"/>
  <c r="H582" i="1"/>
  <c r="H581" i="1"/>
  <c r="H580" i="1"/>
  <c r="H579" i="1"/>
  <c r="H578" i="1"/>
  <c r="H577" i="1"/>
  <c r="H576" i="1"/>
  <c r="H575" i="1"/>
  <c r="H574" i="1"/>
  <c r="H573" i="1"/>
  <c r="H572" i="1"/>
  <c r="H571" i="1"/>
  <c r="H570" i="1"/>
  <c r="H569" i="1"/>
  <c r="H568" i="1"/>
  <c r="H567" i="1"/>
  <c r="H566" i="1"/>
  <c r="H565" i="1"/>
  <c r="H564" i="1"/>
  <c r="H563" i="1"/>
  <c r="H562" i="1"/>
  <c r="H561" i="1"/>
  <c r="H560" i="1"/>
  <c r="H558" i="1"/>
  <c r="H557" i="1"/>
  <c r="H556" i="1"/>
  <c r="H555" i="1"/>
  <c r="H554" i="1"/>
  <c r="H552" i="1"/>
  <c r="H551" i="1"/>
  <c r="H550" i="1"/>
  <c r="H549" i="1"/>
  <c r="H548" i="1"/>
  <c r="H547" i="1"/>
  <c r="H546" i="1"/>
  <c r="H545" i="1"/>
  <c r="H544" i="1"/>
  <c r="H543" i="1"/>
  <c r="H542" i="1"/>
  <c r="H541" i="1"/>
  <c r="H540" i="1"/>
  <c r="H539" i="1"/>
  <c r="H538" i="1"/>
  <c r="H537" i="1"/>
  <c r="H536" i="1"/>
  <c r="H535" i="1"/>
  <c r="H534" i="1"/>
  <c r="H532" i="1"/>
  <c r="H530" i="1"/>
  <c r="H529" i="1"/>
  <c r="H528" i="1"/>
  <c r="H527" i="1"/>
  <c r="H526" i="1"/>
  <c r="H525" i="1"/>
  <c r="H524" i="1"/>
  <c r="H523" i="1"/>
  <c r="H522" i="1"/>
  <c r="H521" i="1"/>
  <c r="H520" i="1"/>
  <c r="H519" i="1"/>
  <c r="H518" i="1"/>
  <c r="H517" i="1"/>
  <c r="H516" i="1"/>
  <c r="H515" i="1"/>
  <c r="H514" i="1"/>
  <c r="H513" i="1"/>
  <c r="H512" i="1"/>
  <c r="H511" i="1"/>
  <c r="H510" i="1"/>
  <c r="H509" i="1"/>
  <c r="H508" i="1"/>
  <c r="H507" i="1"/>
  <c r="H506" i="1"/>
  <c r="H505" i="1"/>
  <c r="H504" i="1"/>
  <c r="H503" i="1"/>
  <c r="H502" i="1"/>
  <c r="H501" i="1"/>
  <c r="H500" i="1"/>
  <c r="H499" i="1"/>
  <c r="H498" i="1"/>
  <c r="H497" i="1"/>
  <c r="H496" i="1"/>
  <c r="H495" i="1"/>
  <c r="H494" i="1"/>
  <c r="H493" i="1"/>
  <c r="H491" i="1"/>
  <c r="H490" i="1"/>
  <c r="H489" i="1"/>
  <c r="H488" i="1"/>
  <c r="H487" i="1"/>
  <c r="H486" i="1"/>
  <c r="H485" i="1"/>
  <c r="H484" i="1"/>
  <c r="H483" i="1"/>
  <c r="H482" i="1"/>
  <c r="H481" i="1"/>
  <c r="H480" i="1"/>
  <c r="H479" i="1"/>
  <c r="H478" i="1"/>
  <c r="H477" i="1"/>
  <c r="H476" i="1"/>
  <c r="H461" i="1"/>
  <c r="H460" i="1"/>
  <c r="H459" i="1"/>
  <c r="H458" i="1"/>
  <c r="H457" i="1"/>
  <c r="H456" i="1"/>
  <c r="H455" i="1"/>
  <c r="H454" i="1"/>
  <c r="H453" i="1"/>
  <c r="H452" i="1"/>
  <c r="H451" i="1"/>
  <c r="H450" i="1"/>
  <c r="H449" i="1"/>
  <c r="H448" i="1"/>
  <c r="H447" i="1"/>
  <c r="H446" i="1"/>
  <c r="H445" i="1"/>
  <c r="H444" i="1"/>
  <c r="H443" i="1"/>
  <c r="H442" i="1"/>
  <c r="H441" i="1"/>
  <c r="H440" i="1"/>
  <c r="H439" i="1"/>
  <c r="H438" i="1"/>
  <c r="H437" i="1"/>
  <c r="H436" i="1"/>
  <c r="H435" i="1"/>
  <c r="H434" i="1"/>
  <c r="H433" i="1"/>
  <c r="H432" i="1"/>
  <c r="H431" i="1"/>
  <c r="H430" i="1"/>
  <c r="H429" i="1"/>
  <c r="H428" i="1"/>
  <c r="H427" i="1"/>
  <c r="H426" i="1"/>
  <c r="H425" i="1"/>
  <c r="H424" i="1"/>
  <c r="H423" i="1"/>
  <c r="H422" i="1"/>
  <c r="H421" i="1"/>
  <c r="H420" i="1"/>
  <c r="H419" i="1"/>
  <c r="H418" i="1"/>
  <c r="H417" i="1"/>
  <c r="H416" i="1"/>
  <c r="H415" i="1"/>
  <c r="H414" i="1"/>
  <c r="H413" i="1"/>
  <c r="H412" i="1"/>
  <c r="H411" i="1"/>
  <c r="H410" i="1"/>
  <c r="H409" i="1"/>
  <c r="H408" i="1"/>
  <c r="H407" i="1"/>
  <c r="H406" i="1"/>
  <c r="H404" i="1"/>
  <c r="H403" i="1"/>
  <c r="H402" i="1"/>
  <c r="H401" i="1"/>
  <c r="H400" i="1"/>
  <c r="H399" i="1"/>
  <c r="H398" i="1"/>
  <c r="H397" i="1"/>
  <c r="H396" i="1"/>
  <c r="H395" i="1"/>
  <c r="H394" i="1"/>
  <c r="H393" i="1"/>
  <c r="H392" i="1"/>
  <c r="H391" i="1"/>
  <c r="H390" i="1"/>
  <c r="H389" i="1"/>
  <c r="H388" i="1"/>
  <c r="H387" i="1"/>
  <c r="H386" i="1"/>
  <c r="H385" i="1"/>
  <c r="H384" i="1"/>
  <c r="H383" i="1"/>
  <c r="H382" i="1"/>
  <c r="H381" i="1"/>
  <c r="H380" i="1"/>
  <c r="H379" i="1"/>
  <c r="H378" i="1"/>
  <c r="H377" i="1"/>
  <c r="H376" i="1"/>
  <c r="H375" i="1"/>
  <c r="H374" i="1"/>
  <c r="H373" i="1"/>
  <c r="H372" i="1"/>
  <c r="H371" i="1"/>
  <c r="H370" i="1"/>
  <c r="H369" i="1"/>
  <c r="H368" i="1"/>
  <c r="H367" i="1"/>
  <c r="H366" i="1"/>
  <c r="H365" i="1"/>
  <c r="H364" i="1"/>
  <c r="H363" i="1"/>
  <c r="H362" i="1"/>
  <c r="H361" i="1"/>
  <c r="H360" i="1"/>
  <c r="H359" i="1"/>
  <c r="H358" i="1"/>
  <c r="H357" i="1"/>
  <c r="H355" i="1"/>
  <c r="H354" i="1"/>
  <c r="H353" i="1"/>
  <c r="H352" i="1"/>
  <c r="H351" i="1"/>
  <c r="H350" i="1"/>
  <c r="H349" i="1"/>
  <c r="H348" i="1"/>
  <c r="H347" i="1"/>
  <c r="H346" i="1"/>
  <c r="H344" i="1"/>
  <c r="H343" i="1"/>
  <c r="H342" i="1"/>
  <c r="H341" i="1"/>
  <c r="H340" i="1"/>
  <c r="H339" i="1"/>
  <c r="H338" i="1"/>
  <c r="H337" i="1"/>
  <c r="H336" i="1"/>
  <c r="H335" i="1"/>
  <c r="H334" i="1"/>
  <c r="H333" i="1"/>
  <c r="H332" i="1"/>
  <c r="H331" i="1"/>
  <c r="H330" i="1"/>
  <c r="H329" i="1"/>
  <c r="H328" i="1"/>
  <c r="H327" i="1"/>
  <c r="H326" i="1"/>
  <c r="H325" i="1"/>
  <c r="H324" i="1"/>
  <c r="H323" i="1"/>
  <c r="H322" i="1"/>
  <c r="H300" i="1"/>
  <c r="H299" i="1"/>
  <c r="H298" i="1"/>
  <c r="H297" i="1"/>
  <c r="H296" i="1"/>
  <c r="H295" i="1"/>
  <c r="H294" i="1"/>
  <c r="H293" i="1"/>
  <c r="H292" i="1"/>
  <c r="H291" i="1"/>
  <c r="H290" i="1"/>
  <c r="H289" i="1"/>
  <c r="H288" i="1"/>
  <c r="H287" i="1"/>
  <c r="H286" i="1"/>
  <c r="H285" i="1"/>
  <c r="H284" i="1"/>
  <c r="H283" i="1"/>
  <c r="H282" i="1"/>
  <c r="H281" i="1"/>
  <c r="H280" i="1"/>
  <c r="H279" i="1"/>
  <c r="H278" i="1"/>
  <c r="H277" i="1"/>
  <c r="H275" i="1"/>
  <c r="H274" i="1"/>
  <c r="H273" i="1"/>
  <c r="H272" i="1"/>
  <c r="H271" i="1"/>
  <c r="H270" i="1"/>
  <c r="H269" i="1"/>
  <c r="H268" i="1"/>
  <c r="H267" i="1"/>
  <c r="H266" i="1"/>
  <c r="H265" i="1"/>
  <c r="H264" i="1"/>
  <c r="H263" i="1"/>
  <c r="H262" i="1"/>
  <c r="H261" i="1"/>
  <c r="H260" i="1"/>
  <c r="H259" i="1"/>
  <c r="H258" i="1"/>
  <c r="H257" i="1"/>
  <c r="H256" i="1"/>
  <c r="H255" i="1"/>
  <c r="H254" i="1"/>
  <c r="H253" i="1"/>
  <c r="H252" i="1"/>
  <c r="H251" i="1"/>
  <c r="H250" i="1"/>
  <c r="H249" i="1"/>
  <c r="H248" i="1"/>
  <c r="H247" i="1"/>
  <c r="H246" i="1"/>
  <c r="H245" i="1"/>
  <c r="H244" i="1"/>
  <c r="H243" i="1"/>
  <c r="H241" i="1"/>
  <c r="H240" i="1"/>
  <c r="H239" i="1"/>
  <c r="H238" i="1"/>
  <c r="H237" i="1"/>
  <c r="H236" i="1"/>
  <c r="H235" i="1"/>
  <c r="H234" i="1"/>
  <c r="H233" i="1"/>
  <c r="H232" i="1"/>
  <c r="H231" i="1"/>
  <c r="H230" i="1"/>
  <c r="H228" i="1"/>
  <c r="H227" i="1"/>
  <c r="H226" i="1"/>
  <c r="H225" i="1"/>
  <c r="H224" i="1"/>
  <c r="H223" i="1"/>
  <c r="H222" i="1"/>
  <c r="H221" i="1"/>
  <c r="H220" i="1"/>
  <c r="H219" i="1"/>
  <c r="H218" i="1"/>
  <c r="H217" i="1"/>
  <c r="H216" i="1"/>
  <c r="H215" i="1"/>
  <c r="H214" i="1"/>
  <c r="H213" i="1"/>
  <c r="H212" i="1"/>
  <c r="H211" i="1"/>
  <c r="H210" i="1"/>
  <c r="H209" i="1"/>
  <c r="H208" i="1"/>
  <c r="H207" i="1"/>
  <c r="H206" i="1"/>
  <c r="H205" i="1"/>
  <c r="H204" i="1"/>
  <c r="H203" i="1"/>
  <c r="H202" i="1"/>
  <c r="H201" i="1"/>
  <c r="H200" i="1"/>
  <c r="H199" i="1"/>
  <c r="H198" i="1"/>
  <c r="H197" i="1"/>
  <c r="H196" i="1"/>
  <c r="H195" i="1"/>
  <c r="H194" i="1"/>
  <c r="H193" i="1"/>
  <c r="H192" i="1"/>
  <c r="H191" i="1"/>
  <c r="H190" i="1"/>
  <c r="H189" i="1"/>
  <c r="H188" i="1"/>
  <c r="H187" i="1"/>
  <c r="H186" i="1"/>
  <c r="H185" i="1"/>
  <c r="H184" i="1"/>
  <c r="H183" i="1"/>
  <c r="H182" i="1"/>
  <c r="H181" i="1"/>
  <c r="H180" i="1"/>
  <c r="H179" i="1"/>
  <c r="H178" i="1"/>
  <c r="H177" i="1"/>
  <c r="H176" i="1"/>
  <c r="H174" i="1"/>
  <c r="H173" i="1"/>
  <c r="H172" i="1"/>
  <c r="H171" i="1"/>
  <c r="H170" i="1"/>
  <c r="H168" i="1"/>
  <c r="H167" i="1"/>
  <c r="H166" i="1"/>
  <c r="H165" i="1"/>
  <c r="H164" i="1"/>
  <c r="H163" i="1"/>
  <c r="H162" i="1"/>
  <c r="H161" i="1"/>
  <c r="H160" i="1"/>
  <c r="H159" i="1"/>
  <c r="H158" i="1"/>
  <c r="H157" i="1"/>
  <c r="H156" i="1"/>
  <c r="H155" i="1"/>
  <c r="H154" i="1"/>
  <c r="H153" i="1"/>
  <c r="H152" i="1"/>
  <c r="H151" i="1"/>
  <c r="H150" i="1"/>
  <c r="H148" i="1"/>
  <c r="H146" i="1"/>
  <c r="H145" i="1"/>
  <c r="H144" i="1"/>
  <c r="H143" i="1"/>
  <c r="H142" i="1"/>
  <c r="H141" i="1"/>
  <c r="H140" i="1"/>
  <c r="H139" i="1"/>
  <c r="H138" i="1"/>
  <c r="H137" i="1"/>
  <c r="H136" i="1"/>
  <c r="H135" i="1"/>
  <c r="H134" i="1"/>
  <c r="H133" i="1"/>
  <c r="H132" i="1"/>
  <c r="H131" i="1"/>
  <c r="H130" i="1"/>
  <c r="H129" i="1"/>
  <c r="H128" i="1"/>
  <c r="H127" i="1"/>
  <c r="H126" i="1"/>
  <c r="H125" i="1"/>
  <c r="H124" i="1"/>
  <c r="H123" i="1"/>
  <c r="H122" i="1"/>
  <c r="H121" i="1"/>
  <c r="H120" i="1"/>
  <c r="H119" i="1"/>
  <c r="H118" i="1"/>
  <c r="H117" i="1"/>
  <c r="H116" i="1"/>
  <c r="H115" i="1"/>
  <c r="H114" i="1"/>
  <c r="H113" i="1"/>
  <c r="H112" i="1"/>
  <c r="H111" i="1"/>
  <c r="H110" i="1"/>
  <c r="H109" i="1"/>
  <c r="H108" i="1"/>
  <c r="H107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H16" i="1"/>
  <c r="H15" i="1"/>
  <c r="H14" i="1"/>
  <c r="H13" i="1"/>
  <c r="H12" i="1"/>
  <c r="H11" i="1"/>
  <c r="H10" i="1"/>
  <c r="H9" i="1"/>
  <c r="H8" i="1"/>
  <c r="H7" i="1"/>
  <c r="H6" i="1"/>
  <c r="H5" i="1"/>
  <c r="H4" i="1"/>
  <c r="H3" i="1"/>
  <c r="H2" i="1"/>
  <c r="H966" i="1"/>
  <c r="H965" i="1"/>
  <c r="H964" i="1"/>
  <c r="H963" i="1"/>
  <c r="H962" i="1"/>
  <c r="H961" i="1"/>
  <c r="H960" i="1"/>
  <c r="H959" i="1"/>
  <c r="H958" i="1"/>
  <c r="H957" i="1"/>
  <c r="H956" i="1"/>
  <c r="H955" i="1"/>
  <c r="H954" i="1"/>
  <c r="H953" i="1"/>
  <c r="H952" i="1"/>
  <c r="H951" i="1"/>
  <c r="H950" i="1"/>
  <c r="H949" i="1"/>
  <c r="H948" i="1"/>
  <c r="H947" i="1"/>
  <c r="H946" i="1"/>
  <c r="H945" i="1"/>
  <c r="H944" i="1"/>
  <c r="H943" i="1"/>
  <c r="H942" i="1"/>
  <c r="H941" i="1"/>
  <c r="H940" i="1"/>
  <c r="H939" i="1"/>
  <c r="H938" i="1"/>
  <c r="H937" i="1"/>
  <c r="H936" i="1"/>
  <c r="H935" i="1"/>
  <c r="H934" i="1"/>
  <c r="H933" i="1"/>
  <c r="H932" i="1"/>
  <c r="H931" i="1"/>
  <c r="H930" i="1"/>
  <c r="H929" i="1"/>
  <c r="H928" i="1"/>
  <c r="H927" i="1"/>
  <c r="H926" i="1"/>
  <c r="H924" i="1"/>
  <c r="H923" i="1"/>
  <c r="H922" i="1"/>
  <c r="H921" i="1"/>
  <c r="H920" i="1"/>
  <c r="H919" i="1"/>
  <c r="H918" i="1"/>
  <c r="H917" i="1"/>
  <c r="H915" i="1"/>
  <c r="H914" i="1"/>
  <c r="H913" i="1"/>
  <c r="H911" i="1"/>
  <c r="H909" i="1"/>
  <c r="H908" i="1"/>
  <c r="H907" i="1"/>
  <c r="H906" i="1"/>
  <c r="H905" i="1"/>
  <c r="H904" i="1"/>
  <c r="H903" i="1"/>
  <c r="H902" i="1"/>
  <c r="H901" i="1"/>
  <c r="H900" i="1"/>
  <c r="H899" i="1"/>
  <c r="H898" i="1"/>
  <c r="H897" i="1"/>
  <c r="H896" i="1"/>
  <c r="H895" i="1"/>
  <c r="H894" i="1"/>
  <c r="H893" i="1"/>
  <c r="H892" i="1"/>
  <c r="H891" i="1"/>
  <c r="H890" i="1"/>
  <c r="H889" i="1"/>
  <c r="H888" i="1"/>
  <c r="H887" i="1"/>
  <c r="H886" i="1"/>
  <c r="H885" i="1"/>
  <c r="H884" i="1"/>
  <c r="H883" i="1"/>
  <c r="H882" i="1"/>
  <c r="H881" i="1"/>
  <c r="H880" i="1"/>
  <c r="H879" i="1"/>
  <c r="H878" i="1"/>
  <c r="H877" i="1"/>
  <c r="H876" i="1"/>
  <c r="H875" i="1"/>
  <c r="H874" i="1"/>
  <c r="H873" i="1"/>
  <c r="H872" i="1"/>
  <c r="H871" i="1"/>
  <c r="H870" i="1"/>
  <c r="H869" i="1"/>
  <c r="H981" i="1"/>
  <c r="H980" i="1"/>
  <c r="H979" i="1"/>
  <c r="H978" i="1"/>
  <c r="H977" i="1"/>
  <c r="H976" i="1"/>
  <c r="H975" i="1"/>
  <c r="H974" i="1"/>
  <c r="H972" i="1"/>
  <c r="H971" i="1"/>
  <c r="H970" i="1"/>
  <c r="H968" i="1"/>
  <c r="N427" i="1"/>
  <c r="M427" i="1"/>
  <c r="L427" i="1"/>
  <c r="K427" i="1"/>
  <c r="J427" i="1"/>
  <c r="N426" i="1"/>
  <c r="M426" i="1"/>
  <c r="L426" i="1"/>
  <c r="K426" i="1"/>
  <c r="J426" i="1"/>
  <c r="N425" i="1"/>
  <c r="M425" i="1"/>
  <c r="L425" i="1"/>
  <c r="K425" i="1"/>
  <c r="J425" i="1"/>
  <c r="N424" i="1"/>
  <c r="M424" i="1"/>
  <c r="L424" i="1"/>
  <c r="K424" i="1"/>
  <c r="J424" i="1"/>
  <c r="N423" i="1"/>
  <c r="M423" i="1"/>
  <c r="L423" i="1"/>
  <c r="K423" i="1"/>
  <c r="J423" i="1"/>
  <c r="N422" i="1"/>
  <c r="M422" i="1"/>
  <c r="L422" i="1"/>
  <c r="K422" i="1"/>
  <c r="J422" i="1"/>
  <c r="N421" i="1"/>
  <c r="M421" i="1"/>
  <c r="L421" i="1"/>
  <c r="K421" i="1"/>
  <c r="J421" i="1"/>
  <c r="N420" i="1"/>
  <c r="M420" i="1"/>
  <c r="L420" i="1"/>
  <c r="K420" i="1"/>
  <c r="J420" i="1"/>
  <c r="N419" i="1"/>
  <c r="M419" i="1"/>
  <c r="L419" i="1"/>
  <c r="K419" i="1"/>
  <c r="J419" i="1"/>
  <c r="N418" i="1"/>
  <c r="M418" i="1"/>
  <c r="L418" i="1"/>
  <c r="K418" i="1"/>
  <c r="J418" i="1"/>
  <c r="N417" i="1"/>
  <c r="M417" i="1"/>
  <c r="L417" i="1"/>
  <c r="K417" i="1"/>
  <c r="J417" i="1"/>
  <c r="N416" i="1"/>
  <c r="M416" i="1"/>
  <c r="L416" i="1"/>
  <c r="K416" i="1"/>
  <c r="J416" i="1"/>
  <c r="N415" i="1"/>
  <c r="M415" i="1"/>
  <c r="L415" i="1"/>
  <c r="K415" i="1"/>
  <c r="J415" i="1"/>
  <c r="N414" i="1"/>
  <c r="M414" i="1"/>
  <c r="L414" i="1"/>
  <c r="K414" i="1"/>
  <c r="J414" i="1"/>
  <c r="N413" i="1"/>
  <c r="M413" i="1"/>
  <c r="L413" i="1"/>
  <c r="K413" i="1"/>
  <c r="J413" i="1"/>
  <c r="N412" i="1"/>
  <c r="M412" i="1"/>
  <c r="L412" i="1"/>
  <c r="K412" i="1"/>
  <c r="J412" i="1"/>
  <c r="N411" i="1"/>
  <c r="M411" i="1"/>
  <c r="L411" i="1"/>
  <c r="K411" i="1"/>
  <c r="J411" i="1"/>
  <c r="N410" i="1"/>
  <c r="M410" i="1"/>
  <c r="L410" i="1"/>
  <c r="K410" i="1"/>
  <c r="J410" i="1"/>
  <c r="N409" i="1"/>
  <c r="M409" i="1"/>
  <c r="L409" i="1"/>
  <c r="K409" i="1"/>
  <c r="J409" i="1"/>
  <c r="N408" i="1"/>
  <c r="M408" i="1"/>
  <c r="L408" i="1"/>
  <c r="K408" i="1"/>
  <c r="J408" i="1"/>
  <c r="N407" i="1"/>
  <c r="M407" i="1"/>
  <c r="L407" i="1"/>
  <c r="K407" i="1"/>
  <c r="J407" i="1"/>
  <c r="N406" i="1"/>
  <c r="M406" i="1"/>
  <c r="L406" i="1"/>
  <c r="K406" i="1"/>
  <c r="J406" i="1"/>
  <c r="N845" i="1"/>
  <c r="M845" i="1"/>
  <c r="L845" i="1"/>
  <c r="K845" i="1"/>
  <c r="J845" i="1"/>
  <c r="N844" i="1"/>
  <c r="M844" i="1"/>
  <c r="L844" i="1"/>
  <c r="K844" i="1"/>
  <c r="J844" i="1"/>
  <c r="N843" i="1"/>
  <c r="M843" i="1"/>
  <c r="L843" i="1"/>
  <c r="K843" i="1"/>
  <c r="J843" i="1"/>
  <c r="N842" i="1"/>
  <c r="M842" i="1"/>
  <c r="L842" i="1"/>
  <c r="K842" i="1"/>
  <c r="J842" i="1"/>
  <c r="N841" i="1"/>
  <c r="M841" i="1"/>
  <c r="L841" i="1"/>
  <c r="K841" i="1"/>
  <c r="J841" i="1"/>
  <c r="N840" i="1"/>
  <c r="M840" i="1"/>
  <c r="L840" i="1"/>
  <c r="K840" i="1"/>
  <c r="J840" i="1"/>
  <c r="N839" i="1"/>
  <c r="M839" i="1"/>
  <c r="L839" i="1"/>
  <c r="K839" i="1"/>
  <c r="J839" i="1"/>
  <c r="N838" i="1"/>
  <c r="M838" i="1"/>
  <c r="L838" i="1"/>
  <c r="K838" i="1"/>
  <c r="J838" i="1"/>
  <c r="N837" i="1"/>
  <c r="M837" i="1"/>
  <c r="L837" i="1"/>
  <c r="K837" i="1"/>
  <c r="J837" i="1"/>
  <c r="N836" i="1"/>
  <c r="M836" i="1"/>
  <c r="L836" i="1"/>
  <c r="K836" i="1"/>
  <c r="J836" i="1"/>
  <c r="N835" i="1"/>
  <c r="M835" i="1"/>
  <c r="L835" i="1"/>
  <c r="K835" i="1"/>
  <c r="J835" i="1"/>
  <c r="N834" i="1"/>
  <c r="M834" i="1"/>
  <c r="L834" i="1"/>
  <c r="K834" i="1"/>
  <c r="J834" i="1"/>
  <c r="N833" i="1"/>
  <c r="M833" i="1"/>
  <c r="L833" i="1"/>
  <c r="K833" i="1"/>
  <c r="J833" i="1"/>
  <c r="N832" i="1"/>
  <c r="M832" i="1"/>
  <c r="L832" i="1"/>
  <c r="K832" i="1"/>
  <c r="J832" i="1"/>
  <c r="N831" i="1"/>
  <c r="M831" i="1"/>
  <c r="L831" i="1"/>
  <c r="K831" i="1"/>
  <c r="J831" i="1"/>
  <c r="N830" i="1"/>
  <c r="M830" i="1"/>
  <c r="L830" i="1"/>
  <c r="K830" i="1"/>
  <c r="J830" i="1"/>
  <c r="N829" i="1"/>
  <c r="M829" i="1"/>
  <c r="L829" i="1"/>
  <c r="K829" i="1"/>
  <c r="J829" i="1"/>
  <c r="N828" i="1"/>
  <c r="M828" i="1"/>
  <c r="L828" i="1"/>
  <c r="K828" i="1"/>
  <c r="J828" i="1"/>
  <c r="N827" i="1"/>
  <c r="M827" i="1"/>
  <c r="L827" i="1"/>
  <c r="K827" i="1"/>
  <c r="J827" i="1"/>
  <c r="N826" i="1"/>
  <c r="M826" i="1"/>
  <c r="L826" i="1"/>
  <c r="K826" i="1"/>
  <c r="J826" i="1"/>
  <c r="N825" i="1"/>
  <c r="M825" i="1"/>
  <c r="L825" i="1"/>
  <c r="K825" i="1"/>
  <c r="J825" i="1"/>
  <c r="N824" i="1"/>
  <c r="M824" i="1"/>
  <c r="L824" i="1"/>
  <c r="K824" i="1"/>
  <c r="J824" i="1"/>
  <c r="N823" i="1"/>
  <c r="M823" i="1"/>
  <c r="L823" i="1"/>
  <c r="K823" i="1"/>
  <c r="J823" i="1"/>
  <c r="N822" i="1"/>
  <c r="M822" i="1"/>
  <c r="L822" i="1"/>
  <c r="K822" i="1"/>
  <c r="J822" i="1"/>
  <c r="N821" i="1"/>
  <c r="M821" i="1"/>
  <c r="L821" i="1"/>
  <c r="K821" i="1"/>
  <c r="J821" i="1"/>
  <c r="N820" i="1"/>
  <c r="M820" i="1"/>
  <c r="L820" i="1"/>
  <c r="K820" i="1"/>
  <c r="J820" i="1"/>
  <c r="N819" i="1"/>
  <c r="M819" i="1"/>
  <c r="L819" i="1"/>
  <c r="K819" i="1"/>
  <c r="J819" i="1"/>
  <c r="N818" i="1"/>
  <c r="M818" i="1"/>
  <c r="L818" i="1"/>
  <c r="K818" i="1"/>
  <c r="J818" i="1"/>
  <c r="N817" i="1"/>
  <c r="M817" i="1"/>
  <c r="L817" i="1"/>
  <c r="K817" i="1"/>
  <c r="J817" i="1"/>
  <c r="N816" i="1"/>
  <c r="M816" i="1"/>
  <c r="L816" i="1"/>
  <c r="K816" i="1"/>
  <c r="J816" i="1"/>
  <c r="N815" i="1"/>
  <c r="M815" i="1"/>
  <c r="L815" i="1"/>
  <c r="K815" i="1"/>
  <c r="J815" i="1"/>
  <c r="N814" i="1"/>
  <c r="M814" i="1"/>
  <c r="L814" i="1"/>
  <c r="K814" i="1"/>
  <c r="J814" i="1"/>
  <c r="N781" i="1"/>
  <c r="M781" i="1"/>
  <c r="L781" i="1"/>
  <c r="K781" i="1"/>
  <c r="J781" i="1"/>
  <c r="N780" i="1"/>
  <c r="M780" i="1"/>
  <c r="L780" i="1"/>
  <c r="K780" i="1"/>
  <c r="J780" i="1"/>
  <c r="N779" i="1"/>
  <c r="M779" i="1"/>
  <c r="L779" i="1"/>
  <c r="K779" i="1"/>
  <c r="J779" i="1"/>
  <c r="N778" i="1"/>
  <c r="M778" i="1"/>
  <c r="L778" i="1"/>
  <c r="K778" i="1"/>
  <c r="J778" i="1"/>
  <c r="N777" i="1"/>
  <c r="M777" i="1"/>
  <c r="L777" i="1"/>
  <c r="K777" i="1"/>
  <c r="J777" i="1"/>
  <c r="N776" i="1"/>
  <c r="M776" i="1"/>
  <c r="L776" i="1"/>
  <c r="K776" i="1"/>
  <c r="J776" i="1"/>
  <c r="N775" i="1"/>
  <c r="M775" i="1"/>
  <c r="L775" i="1"/>
  <c r="K775" i="1"/>
  <c r="J775" i="1"/>
  <c r="N774" i="1"/>
  <c r="M774" i="1"/>
  <c r="L774" i="1"/>
  <c r="K774" i="1"/>
  <c r="J774" i="1"/>
  <c r="N773" i="1"/>
  <c r="M773" i="1"/>
  <c r="L773" i="1"/>
  <c r="K773" i="1"/>
  <c r="J773" i="1"/>
  <c r="N772" i="1"/>
  <c r="M772" i="1"/>
  <c r="L772" i="1"/>
  <c r="K772" i="1"/>
  <c r="J772" i="1"/>
  <c r="N771" i="1"/>
  <c r="M771" i="1"/>
  <c r="L771" i="1"/>
  <c r="K771" i="1"/>
  <c r="J771" i="1"/>
  <c r="N770" i="1"/>
  <c r="M770" i="1"/>
  <c r="L770" i="1"/>
  <c r="K770" i="1"/>
  <c r="J770" i="1"/>
  <c r="N769" i="1"/>
  <c r="M769" i="1"/>
  <c r="L769" i="1"/>
  <c r="K769" i="1"/>
  <c r="J769" i="1"/>
  <c r="N768" i="1"/>
  <c r="M768" i="1"/>
  <c r="L768" i="1"/>
  <c r="K768" i="1"/>
  <c r="J768" i="1"/>
  <c r="N767" i="1"/>
  <c r="M767" i="1"/>
  <c r="L767" i="1"/>
  <c r="K767" i="1"/>
  <c r="J767" i="1"/>
  <c r="N766" i="1"/>
  <c r="M766" i="1"/>
  <c r="L766" i="1"/>
  <c r="K766" i="1"/>
  <c r="J766" i="1"/>
  <c r="N765" i="1"/>
  <c r="M765" i="1"/>
  <c r="L765" i="1"/>
  <c r="K765" i="1"/>
  <c r="J765" i="1"/>
  <c r="N764" i="1"/>
  <c r="M764" i="1"/>
  <c r="L764" i="1"/>
  <c r="K764" i="1"/>
  <c r="J764" i="1"/>
  <c r="N763" i="1"/>
  <c r="M763" i="1"/>
  <c r="L763" i="1"/>
  <c r="K763" i="1"/>
  <c r="J763" i="1"/>
  <c r="N762" i="1"/>
  <c r="M762" i="1"/>
  <c r="L762" i="1"/>
  <c r="K762" i="1"/>
  <c r="J762" i="1"/>
  <c r="N761" i="1"/>
  <c r="M761" i="1"/>
  <c r="L761" i="1"/>
  <c r="K761" i="1"/>
  <c r="J761" i="1"/>
  <c r="N760" i="1"/>
  <c r="M760" i="1"/>
  <c r="L760" i="1"/>
  <c r="K760" i="1"/>
  <c r="J760" i="1"/>
  <c r="N759" i="1"/>
  <c r="M759" i="1"/>
  <c r="L759" i="1"/>
  <c r="K759" i="1"/>
  <c r="J759" i="1"/>
  <c r="N758" i="1"/>
  <c r="M758" i="1"/>
  <c r="L758" i="1"/>
  <c r="K758" i="1"/>
  <c r="J758" i="1"/>
  <c r="N757" i="1"/>
  <c r="M757" i="1"/>
  <c r="L757" i="1"/>
  <c r="K757" i="1"/>
  <c r="J757" i="1"/>
  <c r="N756" i="1"/>
  <c r="M756" i="1"/>
  <c r="L756" i="1"/>
  <c r="K756" i="1"/>
  <c r="J756" i="1"/>
  <c r="N755" i="1"/>
  <c r="M755" i="1"/>
  <c r="L755" i="1"/>
  <c r="K755" i="1"/>
  <c r="J755" i="1"/>
  <c r="N754" i="1"/>
  <c r="M754" i="1"/>
  <c r="L754" i="1"/>
  <c r="K754" i="1"/>
  <c r="J754" i="1"/>
  <c r="N753" i="1"/>
  <c r="M753" i="1"/>
  <c r="L753" i="1"/>
  <c r="K753" i="1"/>
  <c r="J753" i="1"/>
  <c r="N752" i="1"/>
  <c r="M752" i="1"/>
  <c r="L752" i="1"/>
  <c r="K752" i="1"/>
  <c r="J752" i="1"/>
  <c r="N751" i="1"/>
  <c r="M751" i="1"/>
  <c r="L751" i="1"/>
  <c r="K751" i="1"/>
  <c r="J751" i="1"/>
  <c r="N750" i="1"/>
  <c r="M750" i="1"/>
  <c r="L750" i="1"/>
  <c r="K750" i="1"/>
  <c r="J750" i="1"/>
  <c r="N749" i="1"/>
  <c r="M749" i="1"/>
  <c r="L749" i="1"/>
  <c r="K749" i="1"/>
  <c r="J749" i="1"/>
  <c r="N748" i="1"/>
  <c r="M748" i="1"/>
  <c r="L748" i="1"/>
  <c r="K748" i="1"/>
  <c r="J748" i="1"/>
  <c r="N747" i="1"/>
  <c r="M747" i="1"/>
  <c r="L747" i="1"/>
  <c r="K747" i="1"/>
  <c r="J747" i="1"/>
  <c r="N746" i="1"/>
  <c r="M746" i="1"/>
  <c r="L746" i="1"/>
  <c r="K746" i="1"/>
  <c r="J746" i="1"/>
  <c r="N745" i="1"/>
  <c r="M745" i="1"/>
  <c r="L745" i="1"/>
  <c r="K745" i="1"/>
  <c r="J745" i="1"/>
  <c r="N744" i="1"/>
  <c r="M744" i="1"/>
  <c r="L744" i="1"/>
  <c r="K744" i="1"/>
  <c r="J744" i="1"/>
  <c r="N743" i="1"/>
  <c r="M743" i="1"/>
  <c r="L743" i="1"/>
  <c r="K743" i="1"/>
  <c r="J743" i="1"/>
  <c r="N742" i="1"/>
  <c r="M742" i="1"/>
  <c r="L742" i="1"/>
  <c r="K742" i="1"/>
  <c r="J742" i="1"/>
  <c r="N741" i="1"/>
  <c r="M741" i="1"/>
  <c r="L741" i="1"/>
  <c r="K741" i="1"/>
  <c r="J741" i="1"/>
  <c r="N740" i="1"/>
  <c r="M740" i="1"/>
  <c r="L740" i="1"/>
  <c r="K740" i="1"/>
  <c r="J740" i="1"/>
  <c r="N739" i="1"/>
  <c r="M739" i="1"/>
  <c r="L739" i="1"/>
  <c r="K739" i="1"/>
  <c r="J739" i="1"/>
  <c r="N738" i="1"/>
  <c r="M738" i="1"/>
  <c r="L738" i="1"/>
  <c r="K738" i="1"/>
  <c r="J738" i="1"/>
  <c r="N737" i="1"/>
  <c r="M737" i="1"/>
  <c r="L737" i="1"/>
  <c r="K737" i="1"/>
  <c r="J737" i="1"/>
  <c r="N736" i="1"/>
  <c r="M736" i="1"/>
  <c r="L736" i="1"/>
  <c r="K736" i="1"/>
  <c r="J736" i="1"/>
  <c r="N735" i="1"/>
  <c r="M735" i="1"/>
  <c r="L735" i="1"/>
  <c r="K735" i="1"/>
  <c r="J735" i="1"/>
  <c r="N734" i="1"/>
  <c r="M734" i="1"/>
  <c r="L734" i="1"/>
  <c r="K734" i="1"/>
  <c r="J734" i="1"/>
  <c r="N733" i="1"/>
  <c r="M733" i="1"/>
  <c r="L733" i="1"/>
  <c r="K733" i="1"/>
  <c r="J733" i="1"/>
  <c r="N732" i="1"/>
  <c r="M732" i="1"/>
  <c r="L732" i="1"/>
  <c r="K732" i="1"/>
  <c r="J732" i="1"/>
  <c r="N731" i="1"/>
  <c r="M731" i="1"/>
  <c r="L731" i="1"/>
  <c r="K731" i="1"/>
  <c r="J731" i="1"/>
  <c r="N730" i="1"/>
  <c r="M730" i="1"/>
  <c r="L730" i="1"/>
  <c r="K730" i="1"/>
  <c r="J730" i="1"/>
  <c r="N729" i="1"/>
  <c r="M729" i="1"/>
  <c r="L729" i="1"/>
  <c r="K729" i="1"/>
  <c r="J729" i="1"/>
  <c r="N728" i="1"/>
  <c r="M728" i="1"/>
  <c r="L728" i="1"/>
  <c r="K728" i="1"/>
  <c r="J728" i="1"/>
  <c r="N727" i="1"/>
  <c r="M727" i="1"/>
  <c r="L727" i="1"/>
  <c r="K727" i="1"/>
  <c r="J727" i="1"/>
  <c r="N726" i="1"/>
  <c r="M726" i="1"/>
  <c r="L726" i="1"/>
  <c r="K726" i="1"/>
  <c r="J726" i="1"/>
  <c r="N725" i="1"/>
  <c r="M725" i="1"/>
  <c r="L725" i="1"/>
  <c r="K725" i="1"/>
  <c r="J725" i="1"/>
  <c r="N724" i="1"/>
  <c r="M724" i="1"/>
  <c r="L724" i="1"/>
  <c r="K724" i="1"/>
  <c r="J724" i="1"/>
  <c r="N723" i="1"/>
  <c r="M723" i="1"/>
  <c r="L723" i="1"/>
  <c r="K723" i="1"/>
  <c r="J723" i="1"/>
  <c r="N722" i="1"/>
  <c r="M722" i="1"/>
  <c r="L722" i="1"/>
  <c r="K722" i="1"/>
  <c r="J722" i="1"/>
  <c r="N721" i="1"/>
  <c r="M721" i="1"/>
  <c r="L721" i="1"/>
  <c r="K721" i="1"/>
  <c r="J721" i="1"/>
  <c r="N720" i="1"/>
  <c r="M720" i="1"/>
  <c r="L720" i="1"/>
  <c r="K720" i="1"/>
  <c r="J720" i="1"/>
  <c r="N719" i="1"/>
  <c r="M719" i="1"/>
  <c r="L719" i="1"/>
  <c r="K719" i="1"/>
  <c r="J719" i="1"/>
  <c r="N718" i="1"/>
  <c r="M718" i="1"/>
  <c r="L718" i="1"/>
  <c r="K718" i="1"/>
  <c r="J718" i="1"/>
  <c r="N717" i="1"/>
  <c r="M717" i="1"/>
  <c r="L717" i="1"/>
  <c r="K717" i="1"/>
  <c r="J717" i="1"/>
  <c r="N716" i="1"/>
  <c r="M716" i="1"/>
  <c r="L716" i="1"/>
  <c r="K716" i="1"/>
  <c r="J716" i="1"/>
  <c r="N715" i="1"/>
  <c r="M715" i="1"/>
  <c r="L715" i="1"/>
  <c r="K715" i="1"/>
  <c r="J715" i="1"/>
  <c r="N714" i="1"/>
  <c r="M714" i="1"/>
  <c r="L714" i="1"/>
  <c r="K714" i="1"/>
  <c r="J714" i="1"/>
  <c r="N713" i="1"/>
  <c r="M713" i="1"/>
  <c r="L713" i="1"/>
  <c r="K713" i="1"/>
  <c r="J713" i="1"/>
  <c r="N712" i="1"/>
  <c r="M712" i="1"/>
  <c r="L712" i="1"/>
  <c r="K712" i="1"/>
  <c r="J712" i="1"/>
  <c r="N711" i="1"/>
  <c r="M711" i="1"/>
  <c r="L711" i="1"/>
  <c r="K711" i="1"/>
  <c r="J711" i="1"/>
  <c r="N710" i="1"/>
  <c r="M710" i="1"/>
  <c r="L710" i="1"/>
  <c r="K710" i="1"/>
  <c r="J710" i="1"/>
  <c r="N709" i="1"/>
  <c r="M709" i="1"/>
  <c r="L709" i="1"/>
  <c r="K709" i="1"/>
  <c r="J709" i="1"/>
  <c r="N708" i="1"/>
  <c r="M708" i="1"/>
  <c r="L708" i="1"/>
  <c r="K708" i="1"/>
  <c r="J708" i="1"/>
  <c r="N707" i="1"/>
  <c r="M707" i="1"/>
  <c r="L707" i="1"/>
  <c r="K707" i="1"/>
  <c r="J707" i="1"/>
  <c r="N706" i="1"/>
  <c r="M706" i="1"/>
  <c r="L706" i="1"/>
  <c r="K706" i="1"/>
  <c r="J706" i="1"/>
  <c r="N678" i="1"/>
  <c r="M678" i="1"/>
  <c r="L678" i="1"/>
  <c r="K678" i="1"/>
  <c r="J678" i="1"/>
  <c r="N677" i="1"/>
  <c r="M677" i="1"/>
  <c r="L677" i="1"/>
  <c r="K677" i="1"/>
  <c r="J677" i="1"/>
  <c r="N676" i="1"/>
  <c r="M676" i="1"/>
  <c r="L676" i="1"/>
  <c r="K676" i="1"/>
  <c r="J676" i="1"/>
  <c r="N675" i="1"/>
  <c r="M675" i="1"/>
  <c r="L675" i="1"/>
  <c r="K675" i="1"/>
  <c r="J675" i="1"/>
  <c r="N674" i="1"/>
  <c r="M674" i="1"/>
  <c r="L674" i="1"/>
  <c r="K674" i="1"/>
  <c r="J674" i="1"/>
  <c r="N673" i="1"/>
  <c r="M673" i="1"/>
  <c r="L673" i="1"/>
  <c r="K673" i="1"/>
  <c r="J673" i="1"/>
  <c r="N672" i="1"/>
  <c r="M672" i="1"/>
  <c r="L672" i="1"/>
  <c r="K672" i="1"/>
  <c r="J672" i="1"/>
  <c r="N671" i="1"/>
  <c r="M671" i="1"/>
  <c r="L671" i="1"/>
  <c r="K671" i="1"/>
  <c r="J671" i="1"/>
  <c r="N670" i="1"/>
  <c r="M670" i="1"/>
  <c r="L670" i="1"/>
  <c r="K670" i="1"/>
  <c r="J670" i="1"/>
  <c r="N669" i="1"/>
  <c r="M669" i="1"/>
  <c r="L669" i="1"/>
  <c r="K669" i="1"/>
  <c r="J669" i="1"/>
  <c r="N668" i="1"/>
  <c r="M668" i="1"/>
  <c r="L668" i="1"/>
  <c r="K668" i="1"/>
  <c r="J668" i="1"/>
  <c r="N667" i="1"/>
  <c r="M667" i="1"/>
  <c r="L667" i="1"/>
  <c r="K667" i="1"/>
  <c r="J667" i="1"/>
  <c r="N666" i="1"/>
  <c r="M666" i="1"/>
  <c r="L666" i="1"/>
  <c r="K666" i="1"/>
  <c r="J666" i="1"/>
  <c r="N665" i="1"/>
  <c r="M665" i="1"/>
  <c r="L665" i="1"/>
  <c r="K665" i="1"/>
  <c r="J665" i="1"/>
  <c r="N664" i="1"/>
  <c r="M664" i="1"/>
  <c r="L664" i="1"/>
  <c r="K664" i="1"/>
  <c r="J664" i="1"/>
  <c r="N663" i="1"/>
  <c r="M663" i="1"/>
  <c r="L663" i="1"/>
  <c r="K663" i="1"/>
  <c r="J663" i="1"/>
  <c r="N662" i="1"/>
  <c r="M662" i="1"/>
  <c r="L662" i="1"/>
  <c r="K662" i="1"/>
  <c r="J662" i="1"/>
  <c r="N661" i="1"/>
  <c r="M661" i="1"/>
  <c r="L661" i="1"/>
  <c r="K661" i="1"/>
  <c r="J661" i="1"/>
  <c r="N660" i="1"/>
  <c r="M660" i="1"/>
  <c r="L660" i="1"/>
  <c r="K660" i="1"/>
  <c r="J660" i="1"/>
  <c r="N659" i="1"/>
  <c r="M659" i="1"/>
  <c r="L659" i="1"/>
  <c r="K659" i="1"/>
  <c r="J659" i="1"/>
  <c r="N658" i="1"/>
  <c r="M658" i="1"/>
  <c r="L658" i="1"/>
  <c r="K658" i="1"/>
  <c r="J658" i="1"/>
  <c r="N657" i="1"/>
  <c r="M657" i="1"/>
  <c r="L657" i="1"/>
  <c r="K657" i="1"/>
  <c r="J657" i="1"/>
  <c r="N656" i="1"/>
  <c r="M656" i="1"/>
  <c r="L656" i="1"/>
  <c r="K656" i="1"/>
  <c r="J656" i="1"/>
  <c r="N655" i="1"/>
  <c r="M655" i="1"/>
  <c r="L655" i="1"/>
  <c r="K655" i="1"/>
  <c r="J655" i="1"/>
  <c r="N654" i="1"/>
  <c r="M654" i="1"/>
  <c r="L654" i="1"/>
  <c r="K654" i="1"/>
  <c r="J654" i="1"/>
  <c r="N653" i="1"/>
  <c r="M653" i="1"/>
  <c r="L653" i="1"/>
  <c r="K653" i="1"/>
  <c r="J653" i="1"/>
  <c r="N652" i="1"/>
  <c r="M652" i="1"/>
  <c r="L652" i="1"/>
  <c r="K652" i="1"/>
  <c r="J652" i="1"/>
  <c r="N651" i="1"/>
  <c r="M651" i="1"/>
  <c r="L651" i="1"/>
  <c r="K651" i="1"/>
  <c r="J651" i="1"/>
  <c r="N650" i="1"/>
  <c r="M650" i="1"/>
  <c r="L650" i="1"/>
  <c r="K650" i="1"/>
  <c r="J650" i="1"/>
  <c r="N649" i="1"/>
  <c r="M649" i="1"/>
  <c r="L649" i="1"/>
  <c r="K649" i="1"/>
  <c r="J649" i="1"/>
  <c r="N648" i="1"/>
  <c r="M648" i="1"/>
  <c r="L648" i="1"/>
  <c r="K648" i="1"/>
  <c r="J648" i="1"/>
  <c r="N647" i="1"/>
  <c r="M647" i="1"/>
  <c r="L647" i="1"/>
  <c r="K647" i="1"/>
  <c r="J647" i="1"/>
  <c r="N646" i="1"/>
  <c r="M646" i="1"/>
  <c r="L646" i="1"/>
  <c r="K646" i="1"/>
  <c r="J646" i="1"/>
  <c r="N645" i="1"/>
  <c r="M645" i="1"/>
  <c r="L645" i="1"/>
  <c r="K645" i="1"/>
  <c r="J645" i="1"/>
  <c r="N644" i="1"/>
  <c r="M644" i="1"/>
  <c r="L644" i="1"/>
  <c r="K644" i="1"/>
  <c r="J644" i="1"/>
  <c r="N643" i="1"/>
  <c r="M643" i="1"/>
  <c r="L643" i="1"/>
  <c r="K643" i="1"/>
  <c r="J643" i="1"/>
  <c r="N642" i="1"/>
  <c r="M642" i="1"/>
  <c r="L642" i="1"/>
  <c r="K642" i="1"/>
  <c r="J642" i="1"/>
  <c r="N641" i="1"/>
  <c r="M641" i="1"/>
  <c r="L641" i="1"/>
  <c r="K641" i="1"/>
  <c r="J641" i="1"/>
  <c r="N640" i="1"/>
  <c r="M640" i="1"/>
  <c r="L640" i="1"/>
  <c r="K640" i="1"/>
  <c r="J640" i="1"/>
  <c r="N639" i="1"/>
  <c r="M639" i="1"/>
  <c r="L639" i="1"/>
  <c r="K639" i="1"/>
  <c r="J639" i="1"/>
  <c r="N638" i="1"/>
  <c r="M638" i="1"/>
  <c r="L638" i="1"/>
  <c r="K638" i="1"/>
  <c r="J638" i="1"/>
  <c r="N637" i="1"/>
  <c r="M637" i="1"/>
  <c r="L637" i="1"/>
  <c r="K637" i="1"/>
  <c r="J637" i="1"/>
  <c r="N636" i="1"/>
  <c r="M636" i="1"/>
  <c r="L636" i="1"/>
  <c r="K636" i="1"/>
  <c r="J636" i="1"/>
  <c r="N635" i="1"/>
  <c r="M635" i="1"/>
  <c r="L635" i="1"/>
  <c r="K635" i="1"/>
  <c r="J635" i="1"/>
  <c r="N634" i="1"/>
  <c r="M634" i="1"/>
  <c r="L634" i="1"/>
  <c r="K634" i="1"/>
  <c r="J634" i="1"/>
  <c r="N633" i="1"/>
  <c r="M633" i="1"/>
  <c r="L633" i="1"/>
  <c r="K633" i="1"/>
  <c r="J633" i="1"/>
  <c r="N632" i="1"/>
  <c r="M632" i="1"/>
  <c r="L632" i="1"/>
  <c r="K632" i="1"/>
  <c r="J632" i="1"/>
  <c r="N631" i="1"/>
  <c r="M631" i="1"/>
  <c r="L631" i="1"/>
  <c r="K631" i="1"/>
  <c r="J631" i="1"/>
  <c r="N630" i="1"/>
  <c r="M630" i="1"/>
  <c r="L630" i="1"/>
  <c r="K630" i="1"/>
  <c r="J630" i="1"/>
  <c r="N629" i="1"/>
  <c r="M629" i="1"/>
  <c r="L629" i="1"/>
  <c r="K629" i="1"/>
  <c r="J629" i="1"/>
  <c r="N628" i="1"/>
  <c r="M628" i="1"/>
  <c r="L628" i="1"/>
  <c r="K628" i="1"/>
  <c r="J628" i="1"/>
  <c r="N627" i="1"/>
  <c r="M627" i="1"/>
  <c r="L627" i="1"/>
  <c r="K627" i="1"/>
  <c r="J627" i="1"/>
  <c r="N626" i="1"/>
  <c r="M626" i="1"/>
  <c r="L626" i="1"/>
  <c r="K626" i="1"/>
  <c r="J626" i="1"/>
  <c r="N625" i="1"/>
  <c r="M625" i="1"/>
  <c r="L625" i="1"/>
  <c r="K625" i="1"/>
  <c r="J625" i="1"/>
  <c r="N624" i="1"/>
  <c r="M624" i="1"/>
  <c r="L624" i="1"/>
  <c r="K624" i="1"/>
  <c r="J624" i="1"/>
  <c r="N623" i="1"/>
  <c r="M623" i="1"/>
  <c r="L623" i="1"/>
  <c r="K623" i="1"/>
  <c r="J623" i="1"/>
  <c r="N622" i="1"/>
  <c r="M622" i="1"/>
  <c r="L622" i="1"/>
  <c r="K622" i="1"/>
  <c r="J622" i="1"/>
  <c r="N621" i="1"/>
  <c r="M621" i="1"/>
  <c r="L621" i="1"/>
  <c r="K621" i="1"/>
  <c r="J621" i="1"/>
  <c r="N620" i="1"/>
  <c r="M620" i="1"/>
  <c r="L620" i="1"/>
  <c r="K620" i="1"/>
  <c r="J620" i="1"/>
  <c r="N619" i="1"/>
  <c r="M619" i="1"/>
  <c r="L619" i="1"/>
  <c r="K619" i="1"/>
  <c r="J619" i="1"/>
  <c r="N618" i="1"/>
  <c r="M618" i="1"/>
  <c r="L618" i="1"/>
  <c r="K618" i="1"/>
  <c r="J618" i="1"/>
  <c r="N617" i="1"/>
  <c r="M617" i="1"/>
  <c r="L617" i="1"/>
  <c r="K617" i="1"/>
  <c r="J617" i="1"/>
  <c r="N616" i="1"/>
  <c r="M616" i="1"/>
  <c r="L616" i="1"/>
  <c r="K616" i="1"/>
  <c r="J616" i="1"/>
  <c r="N615" i="1"/>
  <c r="M615" i="1"/>
  <c r="L615" i="1"/>
  <c r="K615" i="1"/>
  <c r="J615" i="1"/>
  <c r="N614" i="1"/>
  <c r="M614" i="1"/>
  <c r="L614" i="1"/>
  <c r="K614" i="1"/>
  <c r="J614" i="1"/>
  <c r="N613" i="1"/>
  <c r="M613" i="1"/>
  <c r="L613" i="1"/>
  <c r="K613" i="1"/>
  <c r="J613" i="1"/>
  <c r="N612" i="1"/>
  <c r="M612" i="1"/>
  <c r="L612" i="1"/>
  <c r="K612" i="1"/>
  <c r="J612" i="1"/>
  <c r="N611" i="1"/>
  <c r="M611" i="1"/>
  <c r="L611" i="1"/>
  <c r="K611" i="1"/>
  <c r="J611" i="1"/>
  <c r="N610" i="1"/>
  <c r="M610" i="1"/>
  <c r="L610" i="1"/>
  <c r="K610" i="1"/>
  <c r="J610" i="1"/>
  <c r="N609" i="1"/>
  <c r="M609" i="1"/>
  <c r="L609" i="1"/>
  <c r="K609" i="1"/>
  <c r="J609" i="1"/>
  <c r="N608" i="1"/>
  <c r="M608" i="1"/>
  <c r="L608" i="1"/>
  <c r="K608" i="1"/>
  <c r="J608" i="1"/>
  <c r="N607" i="1"/>
  <c r="M607" i="1"/>
  <c r="L607" i="1"/>
  <c r="K607" i="1"/>
  <c r="J607" i="1"/>
  <c r="N606" i="1"/>
  <c r="M606" i="1"/>
  <c r="L606" i="1"/>
  <c r="K606" i="1"/>
  <c r="J606" i="1"/>
  <c r="N605" i="1"/>
  <c r="M605" i="1"/>
  <c r="L605" i="1"/>
  <c r="K605" i="1"/>
  <c r="J605" i="1"/>
  <c r="N604" i="1"/>
  <c r="M604" i="1"/>
  <c r="L604" i="1"/>
  <c r="K604" i="1"/>
  <c r="J604" i="1"/>
  <c r="N603" i="1"/>
  <c r="M603" i="1"/>
  <c r="L603" i="1"/>
  <c r="K603" i="1"/>
  <c r="J603" i="1"/>
  <c r="N602" i="1"/>
  <c r="M602" i="1"/>
  <c r="L602" i="1"/>
  <c r="K602" i="1"/>
  <c r="J602" i="1"/>
  <c r="N601" i="1"/>
  <c r="M601" i="1"/>
  <c r="L601" i="1"/>
  <c r="K601" i="1"/>
  <c r="J601" i="1"/>
  <c r="N600" i="1"/>
  <c r="M600" i="1"/>
  <c r="L600" i="1"/>
  <c r="K600" i="1"/>
  <c r="J600" i="1"/>
  <c r="N599" i="1"/>
  <c r="M599" i="1"/>
  <c r="L599" i="1"/>
  <c r="K599" i="1"/>
  <c r="J599" i="1"/>
  <c r="N598" i="1"/>
  <c r="M598" i="1"/>
  <c r="L598" i="1"/>
  <c r="K598" i="1"/>
  <c r="J598" i="1"/>
  <c r="N597" i="1"/>
  <c r="M597" i="1"/>
  <c r="L597" i="1"/>
  <c r="K597" i="1"/>
  <c r="J597" i="1"/>
  <c r="N596" i="1"/>
  <c r="M596" i="1"/>
  <c r="L596" i="1"/>
  <c r="K596" i="1"/>
  <c r="J596" i="1"/>
  <c r="N595" i="1"/>
  <c r="M595" i="1"/>
  <c r="L595" i="1"/>
  <c r="K595" i="1"/>
  <c r="J595" i="1"/>
  <c r="N594" i="1"/>
  <c r="M594" i="1"/>
  <c r="L594" i="1"/>
  <c r="K594" i="1"/>
  <c r="J594" i="1"/>
  <c r="N593" i="1"/>
  <c r="M593" i="1"/>
  <c r="L593" i="1"/>
  <c r="K593" i="1"/>
  <c r="J593" i="1"/>
  <c r="N592" i="1"/>
  <c r="M592" i="1"/>
  <c r="L592" i="1"/>
  <c r="K592" i="1"/>
  <c r="J592" i="1"/>
  <c r="N591" i="1"/>
  <c r="M591" i="1"/>
  <c r="L591" i="1"/>
  <c r="K591" i="1"/>
  <c r="J591" i="1"/>
  <c r="N590" i="1"/>
  <c r="M590" i="1"/>
  <c r="L590" i="1"/>
  <c r="K590" i="1"/>
  <c r="J590" i="1"/>
  <c r="N589" i="1"/>
  <c r="M589" i="1"/>
  <c r="L589" i="1"/>
  <c r="K589" i="1"/>
  <c r="J589" i="1"/>
  <c r="N588" i="1"/>
  <c r="M588" i="1"/>
  <c r="L588" i="1"/>
  <c r="K588" i="1"/>
  <c r="J588" i="1"/>
  <c r="N587" i="1"/>
  <c r="M587" i="1"/>
  <c r="L587" i="1"/>
  <c r="K587" i="1"/>
  <c r="J587" i="1"/>
  <c r="N586" i="1"/>
  <c r="M586" i="1"/>
  <c r="L586" i="1"/>
  <c r="K586" i="1"/>
  <c r="J586" i="1"/>
  <c r="N585" i="1"/>
  <c r="M585" i="1"/>
  <c r="L585" i="1"/>
  <c r="K585" i="1"/>
  <c r="J585" i="1"/>
  <c r="N584" i="1"/>
  <c r="M584" i="1"/>
  <c r="L584" i="1"/>
  <c r="K584" i="1"/>
  <c r="J584" i="1"/>
  <c r="N583" i="1"/>
  <c r="M583" i="1"/>
  <c r="L583" i="1"/>
  <c r="K583" i="1"/>
  <c r="J583" i="1"/>
  <c r="N582" i="1"/>
  <c r="M582" i="1"/>
  <c r="L582" i="1"/>
  <c r="K582" i="1"/>
  <c r="J582" i="1"/>
  <c r="N581" i="1"/>
  <c r="M581" i="1"/>
  <c r="L581" i="1"/>
  <c r="K581" i="1"/>
  <c r="J581" i="1"/>
  <c r="N580" i="1"/>
  <c r="M580" i="1"/>
  <c r="L580" i="1"/>
  <c r="K580" i="1"/>
  <c r="J580" i="1"/>
  <c r="N579" i="1"/>
  <c r="M579" i="1"/>
  <c r="L579" i="1"/>
  <c r="K579" i="1"/>
  <c r="J579" i="1"/>
  <c r="N578" i="1"/>
  <c r="M578" i="1"/>
  <c r="L578" i="1"/>
  <c r="K578" i="1"/>
  <c r="J578" i="1"/>
  <c r="N577" i="1"/>
  <c r="M577" i="1"/>
  <c r="L577" i="1"/>
  <c r="K577" i="1"/>
  <c r="J577" i="1"/>
  <c r="N576" i="1"/>
  <c r="M576" i="1"/>
  <c r="L576" i="1"/>
  <c r="K576" i="1"/>
  <c r="J576" i="1"/>
  <c r="N575" i="1"/>
  <c r="M575" i="1"/>
  <c r="L575" i="1"/>
  <c r="K575" i="1"/>
  <c r="J575" i="1"/>
  <c r="N574" i="1"/>
  <c r="M574" i="1"/>
  <c r="L574" i="1"/>
  <c r="K574" i="1"/>
  <c r="J574" i="1"/>
  <c r="N573" i="1"/>
  <c r="M573" i="1"/>
  <c r="L573" i="1"/>
  <c r="K573" i="1"/>
  <c r="J573" i="1"/>
  <c r="N572" i="1"/>
  <c r="M572" i="1"/>
  <c r="L572" i="1"/>
  <c r="K572" i="1"/>
  <c r="J572" i="1"/>
  <c r="N571" i="1"/>
  <c r="M571" i="1"/>
  <c r="L571" i="1"/>
  <c r="K571" i="1"/>
  <c r="J571" i="1"/>
  <c r="N570" i="1"/>
  <c r="M570" i="1"/>
  <c r="L570" i="1"/>
  <c r="K570" i="1"/>
  <c r="J570" i="1"/>
  <c r="N569" i="1"/>
  <c r="M569" i="1"/>
  <c r="L569" i="1"/>
  <c r="K569" i="1"/>
  <c r="J569" i="1"/>
  <c r="N568" i="1"/>
  <c r="M568" i="1"/>
  <c r="L568" i="1"/>
  <c r="K568" i="1"/>
  <c r="J568" i="1"/>
  <c r="N567" i="1"/>
  <c r="M567" i="1"/>
  <c r="L567" i="1"/>
  <c r="K567" i="1"/>
  <c r="J567" i="1"/>
  <c r="N566" i="1"/>
  <c r="M566" i="1"/>
  <c r="L566" i="1"/>
  <c r="K566" i="1"/>
  <c r="J566" i="1"/>
  <c r="N565" i="1"/>
  <c r="M565" i="1"/>
  <c r="L565" i="1"/>
  <c r="K565" i="1"/>
  <c r="J565" i="1"/>
  <c r="N564" i="1"/>
  <c r="M564" i="1"/>
  <c r="L564" i="1"/>
  <c r="K564" i="1"/>
  <c r="J564" i="1"/>
  <c r="N563" i="1"/>
  <c r="M563" i="1"/>
  <c r="L563" i="1"/>
  <c r="K563" i="1"/>
  <c r="J563" i="1"/>
  <c r="N562" i="1"/>
  <c r="M562" i="1"/>
  <c r="L562" i="1"/>
  <c r="K562" i="1"/>
  <c r="J562" i="1"/>
  <c r="N561" i="1"/>
  <c r="M561" i="1"/>
  <c r="L561" i="1"/>
  <c r="K561" i="1"/>
  <c r="J561" i="1"/>
  <c r="N560" i="1"/>
  <c r="M560" i="1"/>
  <c r="L560" i="1"/>
  <c r="K560" i="1"/>
  <c r="J560" i="1"/>
  <c r="N559" i="1"/>
  <c r="M559" i="1"/>
  <c r="L559" i="1"/>
  <c r="K559" i="1"/>
  <c r="J559" i="1"/>
  <c r="N558" i="1"/>
  <c r="M558" i="1"/>
  <c r="L558" i="1"/>
  <c r="K558" i="1"/>
  <c r="J558" i="1"/>
  <c r="N557" i="1"/>
  <c r="M557" i="1"/>
  <c r="L557" i="1"/>
  <c r="K557" i="1"/>
  <c r="J557" i="1"/>
  <c r="N556" i="1"/>
  <c r="M556" i="1"/>
  <c r="L556" i="1"/>
  <c r="K556" i="1"/>
  <c r="J556" i="1"/>
  <c r="N555" i="1"/>
  <c r="M555" i="1"/>
  <c r="L555" i="1"/>
  <c r="K555" i="1"/>
  <c r="J555" i="1"/>
  <c r="N554" i="1"/>
  <c r="M554" i="1"/>
  <c r="L554" i="1"/>
  <c r="K554" i="1"/>
  <c r="J554" i="1"/>
  <c r="N553" i="1"/>
  <c r="M553" i="1"/>
  <c r="L553" i="1"/>
  <c r="K553" i="1"/>
  <c r="J553" i="1"/>
  <c r="N552" i="1"/>
  <c r="M552" i="1"/>
  <c r="L552" i="1"/>
  <c r="K552" i="1"/>
  <c r="J552" i="1"/>
  <c r="N551" i="1"/>
  <c r="M551" i="1"/>
  <c r="L551" i="1"/>
  <c r="K551" i="1"/>
  <c r="J551" i="1"/>
  <c r="N550" i="1"/>
  <c r="M550" i="1"/>
  <c r="L550" i="1"/>
  <c r="K550" i="1"/>
  <c r="J550" i="1"/>
  <c r="N549" i="1"/>
  <c r="M549" i="1"/>
  <c r="L549" i="1"/>
  <c r="K549" i="1"/>
  <c r="J549" i="1"/>
  <c r="N548" i="1"/>
  <c r="M548" i="1"/>
  <c r="L548" i="1"/>
  <c r="K548" i="1"/>
  <c r="J548" i="1"/>
  <c r="N547" i="1"/>
  <c r="M547" i="1"/>
  <c r="L547" i="1"/>
  <c r="K547" i="1"/>
  <c r="J547" i="1"/>
  <c r="N546" i="1"/>
  <c r="M546" i="1"/>
  <c r="L546" i="1"/>
  <c r="K546" i="1"/>
  <c r="J546" i="1"/>
  <c r="N545" i="1"/>
  <c r="M545" i="1"/>
  <c r="L545" i="1"/>
  <c r="K545" i="1"/>
  <c r="J545" i="1"/>
  <c r="N544" i="1"/>
  <c r="M544" i="1"/>
  <c r="L544" i="1"/>
  <c r="K544" i="1"/>
  <c r="J544" i="1"/>
  <c r="N543" i="1"/>
  <c r="M543" i="1"/>
  <c r="L543" i="1"/>
  <c r="K543" i="1"/>
  <c r="J543" i="1"/>
  <c r="N542" i="1"/>
  <c r="M542" i="1"/>
  <c r="L542" i="1"/>
  <c r="K542" i="1"/>
  <c r="J542" i="1"/>
  <c r="N541" i="1"/>
  <c r="M541" i="1"/>
  <c r="L541" i="1"/>
  <c r="K541" i="1"/>
  <c r="J541" i="1"/>
  <c r="N540" i="1"/>
  <c r="M540" i="1"/>
  <c r="L540" i="1"/>
  <c r="K540" i="1"/>
  <c r="J540" i="1"/>
  <c r="N539" i="1"/>
  <c r="M539" i="1"/>
  <c r="L539" i="1"/>
  <c r="K539" i="1"/>
  <c r="J539" i="1"/>
  <c r="N538" i="1"/>
  <c r="M538" i="1"/>
  <c r="L538" i="1"/>
  <c r="K538" i="1"/>
  <c r="J538" i="1"/>
  <c r="N537" i="1"/>
  <c r="M537" i="1"/>
  <c r="L537" i="1"/>
  <c r="K537" i="1"/>
  <c r="J537" i="1"/>
  <c r="N536" i="1"/>
  <c r="M536" i="1"/>
  <c r="L536" i="1"/>
  <c r="K536" i="1"/>
  <c r="J536" i="1"/>
  <c r="N535" i="1"/>
  <c r="M535" i="1"/>
  <c r="L535" i="1"/>
  <c r="K535" i="1"/>
  <c r="J535" i="1"/>
  <c r="N534" i="1"/>
  <c r="M534" i="1"/>
  <c r="L534" i="1"/>
  <c r="K534" i="1"/>
  <c r="J534" i="1"/>
  <c r="N533" i="1"/>
  <c r="M533" i="1"/>
  <c r="L533" i="1"/>
  <c r="K533" i="1"/>
  <c r="J533" i="1"/>
  <c r="N532" i="1"/>
  <c r="M532" i="1"/>
  <c r="L532" i="1"/>
  <c r="K532" i="1"/>
  <c r="J532" i="1"/>
  <c r="N531" i="1"/>
  <c r="M531" i="1"/>
  <c r="L531" i="1"/>
  <c r="K531" i="1"/>
  <c r="J531" i="1"/>
  <c r="N530" i="1"/>
  <c r="M530" i="1"/>
  <c r="L530" i="1"/>
  <c r="K530" i="1"/>
  <c r="J530" i="1"/>
  <c r="N529" i="1"/>
  <c r="M529" i="1"/>
  <c r="L529" i="1"/>
  <c r="K529" i="1"/>
  <c r="J529" i="1"/>
  <c r="N528" i="1"/>
  <c r="M528" i="1"/>
  <c r="L528" i="1"/>
  <c r="K528" i="1"/>
  <c r="J528" i="1"/>
  <c r="N527" i="1"/>
  <c r="M527" i="1"/>
  <c r="L527" i="1"/>
  <c r="K527" i="1"/>
  <c r="J527" i="1"/>
  <c r="N526" i="1"/>
  <c r="M526" i="1"/>
  <c r="L526" i="1"/>
  <c r="K526" i="1"/>
  <c r="J526" i="1"/>
  <c r="N525" i="1"/>
  <c r="M525" i="1"/>
  <c r="L525" i="1"/>
  <c r="K525" i="1"/>
  <c r="J525" i="1"/>
  <c r="N524" i="1"/>
  <c r="M524" i="1"/>
  <c r="L524" i="1"/>
  <c r="K524" i="1"/>
  <c r="J524" i="1"/>
  <c r="N523" i="1"/>
  <c r="M523" i="1"/>
  <c r="L523" i="1"/>
  <c r="K523" i="1"/>
  <c r="J523" i="1"/>
  <c r="N522" i="1"/>
  <c r="M522" i="1"/>
  <c r="L522" i="1"/>
  <c r="K522" i="1"/>
  <c r="J522" i="1"/>
  <c r="N521" i="1"/>
  <c r="M521" i="1"/>
  <c r="L521" i="1"/>
  <c r="K521" i="1"/>
  <c r="J521" i="1"/>
  <c r="N520" i="1"/>
  <c r="M520" i="1"/>
  <c r="L520" i="1"/>
  <c r="K520" i="1"/>
  <c r="J520" i="1"/>
  <c r="N519" i="1"/>
  <c r="M519" i="1"/>
  <c r="L519" i="1"/>
  <c r="K519" i="1"/>
  <c r="J519" i="1"/>
  <c r="N518" i="1"/>
  <c r="M518" i="1"/>
  <c r="L518" i="1"/>
  <c r="K518" i="1"/>
  <c r="J518" i="1"/>
  <c r="N517" i="1"/>
  <c r="M517" i="1"/>
  <c r="L517" i="1"/>
  <c r="K517" i="1"/>
  <c r="J517" i="1"/>
  <c r="N516" i="1"/>
  <c r="M516" i="1"/>
  <c r="L516" i="1"/>
  <c r="K516" i="1"/>
  <c r="J516" i="1"/>
  <c r="N515" i="1"/>
  <c r="M515" i="1"/>
  <c r="L515" i="1"/>
  <c r="K515" i="1"/>
  <c r="J515" i="1"/>
  <c r="N514" i="1"/>
  <c r="M514" i="1"/>
  <c r="L514" i="1"/>
  <c r="K514" i="1"/>
  <c r="J514" i="1"/>
  <c r="N513" i="1"/>
  <c r="M513" i="1"/>
  <c r="L513" i="1"/>
  <c r="K513" i="1"/>
  <c r="J513" i="1"/>
  <c r="N512" i="1"/>
  <c r="M512" i="1"/>
  <c r="L512" i="1"/>
  <c r="K512" i="1"/>
  <c r="J512" i="1"/>
  <c r="N511" i="1"/>
  <c r="M511" i="1"/>
  <c r="L511" i="1"/>
  <c r="K511" i="1"/>
  <c r="J511" i="1"/>
  <c r="N510" i="1"/>
  <c r="M510" i="1"/>
  <c r="L510" i="1"/>
  <c r="K510" i="1"/>
  <c r="J510" i="1"/>
  <c r="N509" i="1"/>
  <c r="M509" i="1"/>
  <c r="L509" i="1"/>
  <c r="K509" i="1"/>
  <c r="J509" i="1"/>
  <c r="N508" i="1"/>
  <c r="M508" i="1"/>
  <c r="L508" i="1"/>
  <c r="K508" i="1"/>
  <c r="J508" i="1"/>
  <c r="N507" i="1"/>
  <c r="M507" i="1"/>
  <c r="L507" i="1"/>
  <c r="K507" i="1"/>
  <c r="J507" i="1"/>
  <c r="N506" i="1"/>
  <c r="M506" i="1"/>
  <c r="L506" i="1"/>
  <c r="K506" i="1"/>
  <c r="J506" i="1"/>
  <c r="N505" i="1"/>
  <c r="M505" i="1"/>
  <c r="L505" i="1"/>
  <c r="K505" i="1"/>
  <c r="J505" i="1"/>
  <c r="N504" i="1"/>
  <c r="M504" i="1"/>
  <c r="L504" i="1"/>
  <c r="K504" i="1"/>
  <c r="J504" i="1"/>
  <c r="N503" i="1"/>
  <c r="M503" i="1"/>
  <c r="L503" i="1"/>
  <c r="K503" i="1"/>
  <c r="J503" i="1"/>
  <c r="N502" i="1"/>
  <c r="M502" i="1"/>
  <c r="L502" i="1"/>
  <c r="K502" i="1"/>
  <c r="J502" i="1"/>
  <c r="N501" i="1"/>
  <c r="M501" i="1"/>
  <c r="L501" i="1"/>
  <c r="K501" i="1"/>
  <c r="J501" i="1"/>
  <c r="N500" i="1"/>
  <c r="M500" i="1"/>
  <c r="L500" i="1"/>
  <c r="K500" i="1"/>
  <c r="J500" i="1"/>
  <c r="N499" i="1"/>
  <c r="M499" i="1"/>
  <c r="L499" i="1"/>
  <c r="K499" i="1"/>
  <c r="J499" i="1"/>
  <c r="N498" i="1"/>
  <c r="M498" i="1"/>
  <c r="L498" i="1"/>
  <c r="K498" i="1"/>
  <c r="J498" i="1"/>
  <c r="N497" i="1"/>
  <c r="M497" i="1"/>
  <c r="L497" i="1"/>
  <c r="K497" i="1"/>
  <c r="J497" i="1"/>
  <c r="N496" i="1"/>
  <c r="M496" i="1"/>
  <c r="L496" i="1"/>
  <c r="K496" i="1"/>
  <c r="J496" i="1"/>
  <c r="N495" i="1"/>
  <c r="M495" i="1"/>
  <c r="L495" i="1"/>
  <c r="K495" i="1"/>
  <c r="J495" i="1"/>
  <c r="N494" i="1"/>
  <c r="M494" i="1"/>
  <c r="L494" i="1"/>
  <c r="K494" i="1"/>
  <c r="J494" i="1"/>
  <c r="N461" i="1"/>
  <c r="M461" i="1"/>
  <c r="L461" i="1"/>
  <c r="K461" i="1"/>
  <c r="J461" i="1"/>
  <c r="N460" i="1"/>
  <c r="M460" i="1"/>
  <c r="L460" i="1"/>
  <c r="K460" i="1"/>
  <c r="J460" i="1"/>
  <c r="N459" i="1"/>
  <c r="M459" i="1"/>
  <c r="L459" i="1"/>
  <c r="K459" i="1"/>
  <c r="J459" i="1"/>
  <c r="N458" i="1"/>
  <c r="M458" i="1"/>
  <c r="L458" i="1"/>
  <c r="K458" i="1"/>
  <c r="J458" i="1"/>
  <c r="N457" i="1"/>
  <c r="M457" i="1"/>
  <c r="L457" i="1"/>
  <c r="K457" i="1"/>
  <c r="J457" i="1"/>
  <c r="N456" i="1"/>
  <c r="M456" i="1"/>
  <c r="L456" i="1"/>
  <c r="K456" i="1"/>
  <c r="J456" i="1"/>
  <c r="N455" i="1"/>
  <c r="M455" i="1"/>
  <c r="L455" i="1"/>
  <c r="K455" i="1"/>
  <c r="J455" i="1"/>
  <c r="N454" i="1"/>
  <c r="M454" i="1"/>
  <c r="L454" i="1"/>
  <c r="K454" i="1"/>
  <c r="J454" i="1"/>
  <c r="N453" i="1"/>
  <c r="M453" i="1"/>
  <c r="L453" i="1"/>
  <c r="K453" i="1"/>
  <c r="J453" i="1"/>
  <c r="N452" i="1"/>
  <c r="M452" i="1"/>
  <c r="L452" i="1"/>
  <c r="K452" i="1"/>
  <c r="J452" i="1"/>
  <c r="N451" i="1"/>
  <c r="M451" i="1"/>
  <c r="L451" i="1"/>
  <c r="K451" i="1"/>
  <c r="J451" i="1"/>
  <c r="N450" i="1"/>
  <c r="M450" i="1"/>
  <c r="L450" i="1"/>
  <c r="K450" i="1"/>
  <c r="J450" i="1"/>
  <c r="N449" i="1"/>
  <c r="M449" i="1"/>
  <c r="L449" i="1"/>
  <c r="K449" i="1"/>
  <c r="J449" i="1"/>
  <c r="N448" i="1"/>
  <c r="M448" i="1"/>
  <c r="L448" i="1"/>
  <c r="K448" i="1"/>
  <c r="J448" i="1"/>
  <c r="N447" i="1"/>
  <c r="M447" i="1"/>
  <c r="L447" i="1"/>
  <c r="K447" i="1"/>
  <c r="J447" i="1"/>
  <c r="N446" i="1"/>
  <c r="M446" i="1"/>
  <c r="L446" i="1"/>
  <c r="K446" i="1"/>
  <c r="J446" i="1"/>
  <c r="N445" i="1"/>
  <c r="M445" i="1"/>
  <c r="L445" i="1"/>
  <c r="K445" i="1"/>
  <c r="J445" i="1"/>
  <c r="N444" i="1"/>
  <c r="M444" i="1"/>
  <c r="L444" i="1"/>
  <c r="K444" i="1"/>
  <c r="J444" i="1"/>
  <c r="N443" i="1"/>
  <c r="M443" i="1"/>
  <c r="L443" i="1"/>
  <c r="K443" i="1"/>
  <c r="J443" i="1"/>
  <c r="N442" i="1"/>
  <c r="M442" i="1"/>
  <c r="L442" i="1"/>
  <c r="K442" i="1"/>
  <c r="J442" i="1"/>
  <c r="N441" i="1"/>
  <c r="M441" i="1"/>
  <c r="L441" i="1"/>
  <c r="K441" i="1"/>
  <c r="J441" i="1"/>
  <c r="N440" i="1"/>
  <c r="M440" i="1"/>
  <c r="L440" i="1"/>
  <c r="K440" i="1"/>
  <c r="J440" i="1"/>
  <c r="N439" i="1"/>
  <c r="M439" i="1"/>
  <c r="L439" i="1"/>
  <c r="K439" i="1"/>
  <c r="J439" i="1"/>
  <c r="N438" i="1"/>
  <c r="M438" i="1"/>
  <c r="L438" i="1"/>
  <c r="K438" i="1"/>
  <c r="J438" i="1"/>
  <c r="N437" i="1"/>
  <c r="M437" i="1"/>
  <c r="L437" i="1"/>
  <c r="K437" i="1"/>
  <c r="J437" i="1"/>
  <c r="N436" i="1"/>
  <c r="M436" i="1"/>
  <c r="L436" i="1"/>
  <c r="K436" i="1"/>
  <c r="J436" i="1"/>
  <c r="N435" i="1"/>
  <c r="M435" i="1"/>
  <c r="L435" i="1"/>
  <c r="K435" i="1"/>
  <c r="J435" i="1"/>
  <c r="N434" i="1"/>
  <c r="M434" i="1"/>
  <c r="L434" i="1"/>
  <c r="K434" i="1"/>
  <c r="J434" i="1"/>
  <c r="N433" i="1"/>
  <c r="M433" i="1"/>
  <c r="L433" i="1"/>
  <c r="K433" i="1"/>
  <c r="J433" i="1"/>
  <c r="N432" i="1"/>
  <c r="M432" i="1"/>
  <c r="L432" i="1"/>
  <c r="K432" i="1"/>
  <c r="J432" i="1"/>
  <c r="N431" i="1"/>
  <c r="M431" i="1"/>
  <c r="L431" i="1"/>
  <c r="K431" i="1"/>
  <c r="J431" i="1"/>
  <c r="N430" i="1"/>
  <c r="M430" i="1"/>
  <c r="L430" i="1"/>
  <c r="K430" i="1"/>
  <c r="J430" i="1"/>
  <c r="N429" i="1"/>
  <c r="M429" i="1"/>
  <c r="L429" i="1"/>
  <c r="K429" i="1"/>
  <c r="J429" i="1"/>
  <c r="N428" i="1"/>
  <c r="M428" i="1"/>
  <c r="L428" i="1"/>
  <c r="K428" i="1"/>
  <c r="J428" i="1"/>
  <c r="N405" i="1"/>
  <c r="M405" i="1"/>
  <c r="L405" i="1"/>
  <c r="K405" i="1"/>
  <c r="J405" i="1"/>
  <c r="N404" i="1"/>
  <c r="M404" i="1"/>
  <c r="L404" i="1"/>
  <c r="K404" i="1"/>
  <c r="J404" i="1"/>
  <c r="N403" i="1"/>
  <c r="M403" i="1"/>
  <c r="L403" i="1"/>
  <c r="K403" i="1"/>
  <c r="J403" i="1"/>
  <c r="N402" i="1"/>
  <c r="M402" i="1"/>
  <c r="L402" i="1"/>
  <c r="K402" i="1"/>
  <c r="J402" i="1"/>
  <c r="N401" i="1"/>
  <c r="M401" i="1"/>
  <c r="L401" i="1"/>
  <c r="K401" i="1"/>
  <c r="J401" i="1"/>
  <c r="N400" i="1"/>
  <c r="M400" i="1"/>
  <c r="L400" i="1"/>
  <c r="K400" i="1"/>
  <c r="J400" i="1"/>
  <c r="N399" i="1"/>
  <c r="M399" i="1"/>
  <c r="L399" i="1"/>
  <c r="K399" i="1"/>
  <c r="J399" i="1"/>
  <c r="N398" i="1"/>
  <c r="M398" i="1"/>
  <c r="L398" i="1"/>
  <c r="K398" i="1"/>
  <c r="J398" i="1"/>
  <c r="N397" i="1"/>
  <c r="M397" i="1"/>
  <c r="L397" i="1"/>
  <c r="K397" i="1"/>
  <c r="J397" i="1"/>
  <c r="N396" i="1"/>
  <c r="M396" i="1"/>
  <c r="L396" i="1"/>
  <c r="K396" i="1"/>
  <c r="J396" i="1"/>
  <c r="N395" i="1"/>
  <c r="M395" i="1"/>
  <c r="L395" i="1"/>
  <c r="K395" i="1"/>
  <c r="J395" i="1"/>
  <c r="N394" i="1"/>
  <c r="M394" i="1"/>
  <c r="L394" i="1"/>
  <c r="K394" i="1"/>
  <c r="J394" i="1"/>
  <c r="N393" i="1"/>
  <c r="M393" i="1"/>
  <c r="L393" i="1"/>
  <c r="K393" i="1"/>
  <c r="J393" i="1"/>
  <c r="N392" i="1"/>
  <c r="M392" i="1"/>
  <c r="L392" i="1"/>
  <c r="K392" i="1"/>
  <c r="J392" i="1"/>
  <c r="N391" i="1"/>
  <c r="M391" i="1"/>
  <c r="L391" i="1"/>
  <c r="K391" i="1"/>
  <c r="J391" i="1"/>
  <c r="N390" i="1"/>
  <c r="M390" i="1"/>
  <c r="L390" i="1"/>
  <c r="K390" i="1"/>
  <c r="J390" i="1"/>
  <c r="N389" i="1"/>
  <c r="M389" i="1"/>
  <c r="L389" i="1"/>
  <c r="K389" i="1"/>
  <c r="J389" i="1"/>
  <c r="N388" i="1"/>
  <c r="M388" i="1"/>
  <c r="L388" i="1"/>
  <c r="K388" i="1"/>
  <c r="J388" i="1"/>
  <c r="N387" i="1"/>
  <c r="M387" i="1"/>
  <c r="L387" i="1"/>
  <c r="K387" i="1"/>
  <c r="J387" i="1"/>
  <c r="N386" i="1"/>
  <c r="M386" i="1"/>
  <c r="L386" i="1"/>
  <c r="K386" i="1"/>
  <c r="J386" i="1"/>
  <c r="N385" i="1"/>
  <c r="M385" i="1"/>
  <c r="L385" i="1"/>
  <c r="K385" i="1"/>
  <c r="J385" i="1"/>
  <c r="N384" i="1"/>
  <c r="M384" i="1"/>
  <c r="L384" i="1"/>
  <c r="K384" i="1"/>
  <c r="J384" i="1"/>
  <c r="N383" i="1"/>
  <c r="M383" i="1"/>
  <c r="L383" i="1"/>
  <c r="K383" i="1"/>
  <c r="J383" i="1"/>
  <c r="N382" i="1"/>
  <c r="M382" i="1"/>
  <c r="L382" i="1"/>
  <c r="K382" i="1"/>
  <c r="J382" i="1"/>
  <c r="N381" i="1"/>
  <c r="M381" i="1"/>
  <c r="L381" i="1"/>
  <c r="K381" i="1"/>
  <c r="J381" i="1"/>
  <c r="N380" i="1"/>
  <c r="M380" i="1"/>
  <c r="L380" i="1"/>
  <c r="K380" i="1"/>
  <c r="J380" i="1"/>
  <c r="N379" i="1"/>
  <c r="M379" i="1"/>
  <c r="L379" i="1"/>
  <c r="K379" i="1"/>
  <c r="J379" i="1"/>
  <c r="N378" i="1"/>
  <c r="M378" i="1"/>
  <c r="L378" i="1"/>
  <c r="K378" i="1"/>
  <c r="J378" i="1"/>
  <c r="N377" i="1"/>
  <c r="M377" i="1"/>
  <c r="L377" i="1"/>
  <c r="K377" i="1"/>
  <c r="J377" i="1"/>
  <c r="N376" i="1"/>
  <c r="M376" i="1"/>
  <c r="L376" i="1"/>
  <c r="K376" i="1"/>
  <c r="J376" i="1"/>
  <c r="N375" i="1"/>
  <c r="M375" i="1"/>
  <c r="L375" i="1"/>
  <c r="K375" i="1"/>
  <c r="J375" i="1"/>
  <c r="N374" i="1"/>
  <c r="M374" i="1"/>
  <c r="L374" i="1"/>
  <c r="K374" i="1"/>
  <c r="J374" i="1"/>
  <c r="N373" i="1"/>
  <c r="M373" i="1"/>
  <c r="L373" i="1"/>
  <c r="K373" i="1"/>
  <c r="J373" i="1"/>
  <c r="N372" i="1"/>
  <c r="M372" i="1"/>
  <c r="L372" i="1"/>
  <c r="K372" i="1"/>
  <c r="J372" i="1"/>
  <c r="N371" i="1"/>
  <c r="M371" i="1"/>
  <c r="L371" i="1"/>
  <c r="K371" i="1"/>
  <c r="J371" i="1"/>
  <c r="N370" i="1"/>
  <c r="M370" i="1"/>
  <c r="L370" i="1"/>
  <c r="K370" i="1"/>
  <c r="J370" i="1"/>
  <c r="N369" i="1"/>
  <c r="M369" i="1"/>
  <c r="L369" i="1"/>
  <c r="K369" i="1"/>
  <c r="J369" i="1"/>
  <c r="N368" i="1"/>
  <c r="M368" i="1"/>
  <c r="L368" i="1"/>
  <c r="K368" i="1"/>
  <c r="J368" i="1"/>
  <c r="N367" i="1"/>
  <c r="M367" i="1"/>
  <c r="L367" i="1"/>
  <c r="K367" i="1"/>
  <c r="J367" i="1"/>
  <c r="N366" i="1"/>
  <c r="M366" i="1"/>
  <c r="L366" i="1"/>
  <c r="K366" i="1"/>
  <c r="J366" i="1"/>
  <c r="N365" i="1"/>
  <c r="M365" i="1"/>
  <c r="L365" i="1"/>
  <c r="K365" i="1"/>
  <c r="J365" i="1"/>
  <c r="N364" i="1"/>
  <c r="M364" i="1"/>
  <c r="L364" i="1"/>
  <c r="K364" i="1"/>
  <c r="J364" i="1"/>
  <c r="N363" i="1"/>
  <c r="M363" i="1"/>
  <c r="L363" i="1"/>
  <c r="K363" i="1"/>
  <c r="J363" i="1"/>
  <c r="N362" i="1"/>
  <c r="M362" i="1"/>
  <c r="L362" i="1"/>
  <c r="K362" i="1"/>
  <c r="J362" i="1"/>
  <c r="N361" i="1"/>
  <c r="M361" i="1"/>
  <c r="L361" i="1"/>
  <c r="K361" i="1"/>
  <c r="J361" i="1"/>
  <c r="N360" i="1"/>
  <c r="M360" i="1"/>
  <c r="L360" i="1"/>
  <c r="K360" i="1"/>
  <c r="J360" i="1"/>
  <c r="N359" i="1"/>
  <c r="M359" i="1"/>
  <c r="L359" i="1"/>
  <c r="K359" i="1"/>
  <c r="J359" i="1"/>
  <c r="N358" i="1"/>
  <c r="M358" i="1"/>
  <c r="L358" i="1"/>
  <c r="K358" i="1"/>
  <c r="J358" i="1"/>
  <c r="N357" i="1"/>
  <c r="M357" i="1"/>
  <c r="L357" i="1"/>
  <c r="K357" i="1"/>
  <c r="J357" i="1"/>
  <c r="N356" i="1"/>
  <c r="M356" i="1"/>
  <c r="L356" i="1"/>
  <c r="K356" i="1"/>
  <c r="J356" i="1"/>
  <c r="N355" i="1"/>
  <c r="M355" i="1"/>
  <c r="L355" i="1"/>
  <c r="K355" i="1"/>
  <c r="J355" i="1"/>
  <c r="N354" i="1"/>
  <c r="M354" i="1"/>
  <c r="L354" i="1"/>
  <c r="K354" i="1"/>
  <c r="J354" i="1"/>
  <c r="N353" i="1"/>
  <c r="M353" i="1"/>
  <c r="L353" i="1"/>
  <c r="K353" i="1"/>
  <c r="J353" i="1"/>
  <c r="N352" i="1"/>
  <c r="M352" i="1"/>
  <c r="L352" i="1"/>
  <c r="K352" i="1"/>
  <c r="J352" i="1"/>
  <c r="N351" i="1"/>
  <c r="M351" i="1"/>
  <c r="L351" i="1"/>
  <c r="K351" i="1"/>
  <c r="J351" i="1"/>
  <c r="N350" i="1"/>
  <c r="M350" i="1"/>
  <c r="L350" i="1"/>
  <c r="K350" i="1"/>
  <c r="J350" i="1"/>
  <c r="N349" i="1"/>
  <c r="M349" i="1"/>
  <c r="L349" i="1"/>
  <c r="K349" i="1"/>
  <c r="J349" i="1"/>
  <c r="N348" i="1"/>
  <c r="M348" i="1"/>
  <c r="L348" i="1"/>
  <c r="K348" i="1"/>
  <c r="J348" i="1"/>
  <c r="N347" i="1"/>
  <c r="M347" i="1"/>
  <c r="L347" i="1"/>
  <c r="K347" i="1"/>
  <c r="J347" i="1"/>
  <c r="N346" i="1"/>
  <c r="M346" i="1"/>
  <c r="L346" i="1"/>
  <c r="K346" i="1"/>
  <c r="J346" i="1"/>
  <c r="N345" i="1"/>
  <c r="M345" i="1"/>
  <c r="L345" i="1"/>
  <c r="K345" i="1"/>
  <c r="J345" i="1"/>
  <c r="N344" i="1"/>
  <c r="M344" i="1"/>
  <c r="L344" i="1"/>
  <c r="K344" i="1"/>
  <c r="J344" i="1"/>
  <c r="N343" i="1"/>
  <c r="M343" i="1"/>
  <c r="L343" i="1"/>
  <c r="K343" i="1"/>
  <c r="J343" i="1"/>
  <c r="N342" i="1"/>
  <c r="M342" i="1"/>
  <c r="L342" i="1"/>
  <c r="K342" i="1"/>
  <c r="J342" i="1"/>
  <c r="N341" i="1"/>
  <c r="M341" i="1"/>
  <c r="L341" i="1"/>
  <c r="K341" i="1"/>
  <c r="J341" i="1"/>
  <c r="N340" i="1"/>
  <c r="M340" i="1"/>
  <c r="L340" i="1"/>
  <c r="K340" i="1"/>
  <c r="J340" i="1"/>
  <c r="N339" i="1"/>
  <c r="M339" i="1"/>
  <c r="L339" i="1"/>
  <c r="K339" i="1"/>
  <c r="J339" i="1"/>
  <c r="N338" i="1"/>
  <c r="M338" i="1"/>
  <c r="L338" i="1"/>
  <c r="K338" i="1"/>
  <c r="J338" i="1"/>
  <c r="N337" i="1"/>
  <c r="M337" i="1"/>
  <c r="L337" i="1"/>
  <c r="K337" i="1"/>
  <c r="J337" i="1"/>
  <c r="N336" i="1"/>
  <c r="M336" i="1"/>
  <c r="L336" i="1"/>
  <c r="K336" i="1"/>
  <c r="J336" i="1"/>
  <c r="N335" i="1"/>
  <c r="M335" i="1"/>
  <c r="L335" i="1"/>
  <c r="K335" i="1"/>
  <c r="J335" i="1"/>
  <c r="N334" i="1"/>
  <c r="M334" i="1"/>
  <c r="L334" i="1"/>
  <c r="K334" i="1"/>
  <c r="J334" i="1"/>
  <c r="N333" i="1"/>
  <c r="M333" i="1"/>
  <c r="L333" i="1"/>
  <c r="K333" i="1"/>
  <c r="J333" i="1"/>
  <c r="N332" i="1"/>
  <c r="M332" i="1"/>
  <c r="L332" i="1"/>
  <c r="K332" i="1"/>
  <c r="J332" i="1"/>
  <c r="N331" i="1"/>
  <c r="M331" i="1"/>
  <c r="L331" i="1"/>
  <c r="K331" i="1"/>
  <c r="J331" i="1"/>
  <c r="N330" i="1"/>
  <c r="M330" i="1"/>
  <c r="L330" i="1"/>
  <c r="K330" i="1"/>
  <c r="J330" i="1"/>
  <c r="N329" i="1"/>
  <c r="M329" i="1"/>
  <c r="L329" i="1"/>
  <c r="K329" i="1"/>
  <c r="J329" i="1"/>
  <c r="N328" i="1"/>
  <c r="M328" i="1"/>
  <c r="L328" i="1"/>
  <c r="K328" i="1"/>
  <c r="J328" i="1"/>
  <c r="N294" i="1"/>
  <c r="M294" i="1"/>
  <c r="L294" i="1"/>
  <c r="K294" i="1"/>
  <c r="J294" i="1"/>
  <c r="N293" i="1"/>
  <c r="M293" i="1"/>
  <c r="L293" i="1"/>
  <c r="K293" i="1"/>
  <c r="J293" i="1"/>
  <c r="N292" i="1"/>
  <c r="M292" i="1"/>
  <c r="L292" i="1"/>
  <c r="K292" i="1"/>
  <c r="J292" i="1"/>
  <c r="N291" i="1"/>
  <c r="M291" i="1"/>
  <c r="L291" i="1"/>
  <c r="K291" i="1"/>
  <c r="J291" i="1"/>
  <c r="N290" i="1"/>
  <c r="M290" i="1"/>
  <c r="L290" i="1"/>
  <c r="K290" i="1"/>
  <c r="J290" i="1"/>
  <c r="N289" i="1"/>
  <c r="M289" i="1"/>
  <c r="L289" i="1"/>
  <c r="K289" i="1"/>
  <c r="J289" i="1"/>
  <c r="N288" i="1"/>
  <c r="M288" i="1"/>
  <c r="L288" i="1"/>
  <c r="K288" i="1"/>
  <c r="J288" i="1"/>
  <c r="N287" i="1"/>
  <c r="M287" i="1"/>
  <c r="L287" i="1"/>
  <c r="K287" i="1"/>
  <c r="J287" i="1"/>
  <c r="N286" i="1"/>
  <c r="M286" i="1"/>
  <c r="L286" i="1"/>
  <c r="K286" i="1"/>
  <c r="J286" i="1"/>
  <c r="N285" i="1"/>
  <c r="M285" i="1"/>
  <c r="L285" i="1"/>
  <c r="K285" i="1"/>
  <c r="J285" i="1"/>
  <c r="N284" i="1"/>
  <c r="M284" i="1"/>
  <c r="L284" i="1"/>
  <c r="K284" i="1"/>
  <c r="J284" i="1"/>
  <c r="N283" i="1"/>
  <c r="M283" i="1"/>
  <c r="L283" i="1"/>
  <c r="K283" i="1"/>
  <c r="J283" i="1"/>
  <c r="N282" i="1"/>
  <c r="M282" i="1"/>
  <c r="L282" i="1"/>
  <c r="K282" i="1"/>
  <c r="J282" i="1"/>
  <c r="N281" i="1"/>
  <c r="M281" i="1"/>
  <c r="L281" i="1"/>
  <c r="K281" i="1"/>
  <c r="J281" i="1"/>
  <c r="N280" i="1"/>
  <c r="M280" i="1"/>
  <c r="L280" i="1"/>
  <c r="K280" i="1"/>
  <c r="J280" i="1"/>
  <c r="N279" i="1"/>
  <c r="M279" i="1"/>
  <c r="L279" i="1"/>
  <c r="K279" i="1"/>
  <c r="J279" i="1"/>
  <c r="N278" i="1"/>
  <c r="M278" i="1"/>
  <c r="L278" i="1"/>
  <c r="K278" i="1"/>
  <c r="J278" i="1"/>
  <c r="N277" i="1"/>
  <c r="M277" i="1"/>
  <c r="L277" i="1"/>
  <c r="K277" i="1"/>
  <c r="J277" i="1"/>
  <c r="N276" i="1"/>
  <c r="M276" i="1"/>
  <c r="L276" i="1"/>
  <c r="K276" i="1"/>
  <c r="J276" i="1"/>
  <c r="N275" i="1"/>
  <c r="M275" i="1"/>
  <c r="L275" i="1"/>
  <c r="K275" i="1"/>
  <c r="J275" i="1"/>
  <c r="N274" i="1"/>
  <c r="M274" i="1"/>
  <c r="L274" i="1"/>
  <c r="K274" i="1"/>
  <c r="J274" i="1"/>
  <c r="N273" i="1"/>
  <c r="M273" i="1"/>
  <c r="L273" i="1"/>
  <c r="K273" i="1"/>
  <c r="J273" i="1"/>
  <c r="N272" i="1"/>
  <c r="M272" i="1"/>
  <c r="L272" i="1"/>
  <c r="K272" i="1"/>
  <c r="J272" i="1"/>
  <c r="N271" i="1"/>
  <c r="M271" i="1"/>
  <c r="L271" i="1"/>
  <c r="K271" i="1"/>
  <c r="J271" i="1"/>
  <c r="N270" i="1"/>
  <c r="M270" i="1"/>
  <c r="L270" i="1"/>
  <c r="K270" i="1"/>
  <c r="J270" i="1"/>
  <c r="N269" i="1"/>
  <c r="M269" i="1"/>
  <c r="L269" i="1"/>
  <c r="K269" i="1"/>
  <c r="J269" i="1"/>
  <c r="N268" i="1"/>
  <c r="M268" i="1"/>
  <c r="L268" i="1"/>
  <c r="K268" i="1"/>
  <c r="J268" i="1"/>
  <c r="N267" i="1"/>
  <c r="M267" i="1"/>
  <c r="L267" i="1"/>
  <c r="K267" i="1"/>
  <c r="J267" i="1"/>
  <c r="N266" i="1"/>
  <c r="M266" i="1"/>
  <c r="L266" i="1"/>
  <c r="K266" i="1"/>
  <c r="J266" i="1"/>
  <c r="N265" i="1"/>
  <c r="M265" i="1"/>
  <c r="L265" i="1"/>
  <c r="K265" i="1"/>
  <c r="J265" i="1"/>
  <c r="N264" i="1"/>
  <c r="M264" i="1"/>
  <c r="L264" i="1"/>
  <c r="K264" i="1"/>
  <c r="J264" i="1"/>
  <c r="N263" i="1"/>
  <c r="M263" i="1"/>
  <c r="L263" i="1"/>
  <c r="K263" i="1"/>
  <c r="J263" i="1"/>
  <c r="N262" i="1"/>
  <c r="M262" i="1"/>
  <c r="L262" i="1"/>
  <c r="K262" i="1"/>
  <c r="J262" i="1"/>
  <c r="N261" i="1"/>
  <c r="M261" i="1"/>
  <c r="L261" i="1"/>
  <c r="K261" i="1"/>
  <c r="J261" i="1"/>
  <c r="N260" i="1"/>
  <c r="M260" i="1"/>
  <c r="L260" i="1"/>
  <c r="K260" i="1"/>
  <c r="J260" i="1"/>
  <c r="N259" i="1"/>
  <c r="M259" i="1"/>
  <c r="L259" i="1"/>
  <c r="K259" i="1"/>
  <c r="J259" i="1"/>
  <c r="N258" i="1"/>
  <c r="M258" i="1"/>
  <c r="L258" i="1"/>
  <c r="K258" i="1"/>
  <c r="J258" i="1"/>
  <c r="N257" i="1"/>
  <c r="M257" i="1"/>
  <c r="L257" i="1"/>
  <c r="K257" i="1"/>
  <c r="J257" i="1"/>
  <c r="N256" i="1"/>
  <c r="M256" i="1"/>
  <c r="L256" i="1"/>
  <c r="K256" i="1"/>
  <c r="J256" i="1"/>
  <c r="N255" i="1"/>
  <c r="M255" i="1"/>
  <c r="L255" i="1"/>
  <c r="K255" i="1"/>
  <c r="J255" i="1"/>
  <c r="N254" i="1"/>
  <c r="M254" i="1"/>
  <c r="L254" i="1"/>
  <c r="K254" i="1"/>
  <c r="J254" i="1"/>
  <c r="N253" i="1"/>
  <c r="M253" i="1"/>
  <c r="L253" i="1"/>
  <c r="K253" i="1"/>
  <c r="J253" i="1"/>
  <c r="N252" i="1"/>
  <c r="M252" i="1"/>
  <c r="L252" i="1"/>
  <c r="K252" i="1"/>
  <c r="J252" i="1"/>
  <c r="N251" i="1"/>
  <c r="M251" i="1"/>
  <c r="L251" i="1"/>
  <c r="K251" i="1"/>
  <c r="J251" i="1"/>
  <c r="N250" i="1"/>
  <c r="M250" i="1"/>
  <c r="L250" i="1"/>
  <c r="K250" i="1"/>
  <c r="J250" i="1"/>
  <c r="N249" i="1"/>
  <c r="M249" i="1"/>
  <c r="L249" i="1"/>
  <c r="K249" i="1"/>
  <c r="J249" i="1"/>
  <c r="N248" i="1"/>
  <c r="M248" i="1"/>
  <c r="L248" i="1"/>
  <c r="K248" i="1"/>
  <c r="J248" i="1"/>
  <c r="N247" i="1"/>
  <c r="M247" i="1"/>
  <c r="L247" i="1"/>
  <c r="K247" i="1"/>
  <c r="J247" i="1"/>
  <c r="N246" i="1"/>
  <c r="M246" i="1"/>
  <c r="L246" i="1"/>
  <c r="K246" i="1"/>
  <c r="J246" i="1"/>
  <c r="N245" i="1"/>
  <c r="M245" i="1"/>
  <c r="L245" i="1"/>
  <c r="K245" i="1"/>
  <c r="J245" i="1"/>
  <c r="N244" i="1"/>
  <c r="M244" i="1"/>
  <c r="L244" i="1"/>
  <c r="K244" i="1"/>
  <c r="J244" i="1"/>
  <c r="N243" i="1"/>
  <c r="M243" i="1"/>
  <c r="L243" i="1"/>
  <c r="K243" i="1"/>
  <c r="J243" i="1"/>
  <c r="N242" i="1"/>
  <c r="M242" i="1"/>
  <c r="L242" i="1"/>
  <c r="K242" i="1"/>
  <c r="J242" i="1"/>
  <c r="N241" i="1"/>
  <c r="M241" i="1"/>
  <c r="L241" i="1"/>
  <c r="K241" i="1"/>
  <c r="J241" i="1"/>
  <c r="N240" i="1"/>
  <c r="M240" i="1"/>
  <c r="L240" i="1"/>
  <c r="K240" i="1"/>
  <c r="J240" i="1"/>
  <c r="N239" i="1"/>
  <c r="M239" i="1"/>
  <c r="L239" i="1"/>
  <c r="K239" i="1"/>
  <c r="J239" i="1"/>
  <c r="N238" i="1"/>
  <c r="M238" i="1"/>
  <c r="L238" i="1"/>
  <c r="K238" i="1"/>
  <c r="J238" i="1"/>
  <c r="N237" i="1"/>
  <c r="M237" i="1"/>
  <c r="L237" i="1"/>
  <c r="K237" i="1"/>
  <c r="J237" i="1"/>
  <c r="N236" i="1"/>
  <c r="M236" i="1"/>
  <c r="L236" i="1"/>
  <c r="K236" i="1"/>
  <c r="J236" i="1"/>
  <c r="N235" i="1"/>
  <c r="M235" i="1"/>
  <c r="L235" i="1"/>
  <c r="K235" i="1"/>
  <c r="J235" i="1"/>
  <c r="N234" i="1"/>
  <c r="M234" i="1"/>
  <c r="L234" i="1"/>
  <c r="K234" i="1"/>
  <c r="J234" i="1"/>
  <c r="N233" i="1"/>
  <c r="M233" i="1"/>
  <c r="L233" i="1"/>
  <c r="K233" i="1"/>
  <c r="J233" i="1"/>
  <c r="N232" i="1"/>
  <c r="M232" i="1"/>
  <c r="L232" i="1"/>
  <c r="K232" i="1"/>
  <c r="J232" i="1"/>
  <c r="N231" i="1"/>
  <c r="M231" i="1"/>
  <c r="L231" i="1"/>
  <c r="K231" i="1"/>
  <c r="J231" i="1"/>
  <c r="N230" i="1"/>
  <c r="M230" i="1"/>
  <c r="L230" i="1"/>
  <c r="K230" i="1"/>
  <c r="J230" i="1"/>
  <c r="N229" i="1"/>
  <c r="M229" i="1"/>
  <c r="L229" i="1"/>
  <c r="K229" i="1"/>
  <c r="J229" i="1"/>
  <c r="N228" i="1"/>
  <c r="M228" i="1"/>
  <c r="L228" i="1"/>
  <c r="K228" i="1"/>
  <c r="J228" i="1"/>
  <c r="N227" i="1"/>
  <c r="M227" i="1"/>
  <c r="L227" i="1"/>
  <c r="K227" i="1"/>
  <c r="J227" i="1"/>
  <c r="N226" i="1"/>
  <c r="M226" i="1"/>
  <c r="L226" i="1"/>
  <c r="K226" i="1"/>
  <c r="J226" i="1"/>
  <c r="N225" i="1"/>
  <c r="M225" i="1"/>
  <c r="L225" i="1"/>
  <c r="K225" i="1"/>
  <c r="J225" i="1"/>
  <c r="N224" i="1"/>
  <c r="M224" i="1"/>
  <c r="L224" i="1"/>
  <c r="K224" i="1"/>
  <c r="J224" i="1"/>
  <c r="N223" i="1"/>
  <c r="M223" i="1"/>
  <c r="L223" i="1"/>
  <c r="K223" i="1"/>
  <c r="J223" i="1"/>
  <c r="N222" i="1"/>
  <c r="M222" i="1"/>
  <c r="L222" i="1"/>
  <c r="K222" i="1"/>
  <c r="J222" i="1"/>
  <c r="N221" i="1"/>
  <c r="M221" i="1"/>
  <c r="L221" i="1"/>
  <c r="K221" i="1"/>
  <c r="J221" i="1"/>
  <c r="N220" i="1"/>
  <c r="M220" i="1"/>
  <c r="L220" i="1"/>
  <c r="K220" i="1"/>
  <c r="J220" i="1"/>
  <c r="N219" i="1"/>
  <c r="M219" i="1"/>
  <c r="L219" i="1"/>
  <c r="K219" i="1"/>
  <c r="J219" i="1"/>
  <c r="N218" i="1"/>
  <c r="M218" i="1"/>
  <c r="L218" i="1"/>
  <c r="K218" i="1"/>
  <c r="J218" i="1"/>
  <c r="N217" i="1"/>
  <c r="M217" i="1"/>
  <c r="L217" i="1"/>
  <c r="K217" i="1"/>
  <c r="J217" i="1"/>
  <c r="N216" i="1"/>
  <c r="M216" i="1"/>
  <c r="L216" i="1"/>
  <c r="K216" i="1"/>
  <c r="J216" i="1"/>
  <c r="N215" i="1"/>
  <c r="M215" i="1"/>
  <c r="L215" i="1"/>
  <c r="K215" i="1"/>
  <c r="J215" i="1"/>
  <c r="N214" i="1"/>
  <c r="M214" i="1"/>
  <c r="L214" i="1"/>
  <c r="K214" i="1"/>
  <c r="J214" i="1"/>
  <c r="N213" i="1"/>
  <c r="M213" i="1"/>
  <c r="L213" i="1"/>
  <c r="K213" i="1"/>
  <c r="J213" i="1"/>
  <c r="N212" i="1"/>
  <c r="M212" i="1"/>
  <c r="L212" i="1"/>
  <c r="K212" i="1"/>
  <c r="J212" i="1"/>
  <c r="N211" i="1"/>
  <c r="M211" i="1"/>
  <c r="L211" i="1"/>
  <c r="K211" i="1"/>
  <c r="J211" i="1"/>
  <c r="N210" i="1"/>
  <c r="M210" i="1"/>
  <c r="L210" i="1"/>
  <c r="K210" i="1"/>
  <c r="J210" i="1"/>
  <c r="N209" i="1"/>
  <c r="M209" i="1"/>
  <c r="L209" i="1"/>
  <c r="K209" i="1"/>
  <c r="J209" i="1"/>
  <c r="N208" i="1"/>
  <c r="M208" i="1"/>
  <c r="L208" i="1"/>
  <c r="K208" i="1"/>
  <c r="J208" i="1"/>
  <c r="N207" i="1"/>
  <c r="M207" i="1"/>
  <c r="L207" i="1"/>
  <c r="K207" i="1"/>
  <c r="J207" i="1"/>
  <c r="N206" i="1"/>
  <c r="M206" i="1"/>
  <c r="L206" i="1"/>
  <c r="K206" i="1"/>
  <c r="J206" i="1"/>
  <c r="N205" i="1"/>
  <c r="M205" i="1"/>
  <c r="L205" i="1"/>
  <c r="K205" i="1"/>
  <c r="J205" i="1"/>
  <c r="N204" i="1"/>
  <c r="M204" i="1"/>
  <c r="L204" i="1"/>
  <c r="K204" i="1"/>
  <c r="J204" i="1"/>
  <c r="N203" i="1"/>
  <c r="M203" i="1"/>
  <c r="L203" i="1"/>
  <c r="K203" i="1"/>
  <c r="J203" i="1"/>
  <c r="N202" i="1"/>
  <c r="M202" i="1"/>
  <c r="L202" i="1"/>
  <c r="K202" i="1"/>
  <c r="J202" i="1"/>
  <c r="N201" i="1"/>
  <c r="M201" i="1"/>
  <c r="L201" i="1"/>
  <c r="K201" i="1"/>
  <c r="J201" i="1"/>
  <c r="N200" i="1"/>
  <c r="M200" i="1"/>
  <c r="L200" i="1"/>
  <c r="K200" i="1"/>
  <c r="J200" i="1"/>
  <c r="N199" i="1"/>
  <c r="M199" i="1"/>
  <c r="L199" i="1"/>
  <c r="K199" i="1"/>
  <c r="J199" i="1"/>
  <c r="N198" i="1"/>
  <c r="M198" i="1"/>
  <c r="L198" i="1"/>
  <c r="K198" i="1"/>
  <c r="J198" i="1"/>
  <c r="N197" i="1"/>
  <c r="M197" i="1"/>
  <c r="L197" i="1"/>
  <c r="K197" i="1"/>
  <c r="J197" i="1"/>
  <c r="N196" i="1"/>
  <c r="M196" i="1"/>
  <c r="L196" i="1"/>
  <c r="K196" i="1"/>
  <c r="J196" i="1"/>
  <c r="N195" i="1"/>
  <c r="M195" i="1"/>
  <c r="L195" i="1"/>
  <c r="K195" i="1"/>
  <c r="J195" i="1"/>
  <c r="N194" i="1"/>
  <c r="M194" i="1"/>
  <c r="L194" i="1"/>
  <c r="K194" i="1"/>
  <c r="J194" i="1"/>
  <c r="N193" i="1"/>
  <c r="M193" i="1"/>
  <c r="L193" i="1"/>
  <c r="K193" i="1"/>
  <c r="J193" i="1"/>
  <c r="N192" i="1"/>
  <c r="M192" i="1"/>
  <c r="L192" i="1"/>
  <c r="K192" i="1"/>
  <c r="J192" i="1"/>
  <c r="N191" i="1"/>
  <c r="M191" i="1"/>
  <c r="L191" i="1"/>
  <c r="K191" i="1"/>
  <c r="J191" i="1"/>
  <c r="N190" i="1"/>
  <c r="M190" i="1"/>
  <c r="L190" i="1"/>
  <c r="K190" i="1"/>
  <c r="J190" i="1"/>
  <c r="N189" i="1"/>
  <c r="M189" i="1"/>
  <c r="L189" i="1"/>
  <c r="K189" i="1"/>
  <c r="J189" i="1"/>
  <c r="N188" i="1"/>
  <c r="M188" i="1"/>
  <c r="L188" i="1"/>
  <c r="K188" i="1"/>
  <c r="J188" i="1"/>
  <c r="N187" i="1"/>
  <c r="M187" i="1"/>
  <c r="L187" i="1"/>
  <c r="K187" i="1"/>
  <c r="J187" i="1"/>
  <c r="N186" i="1"/>
  <c r="M186" i="1"/>
  <c r="L186" i="1"/>
  <c r="K186" i="1"/>
  <c r="J186" i="1"/>
  <c r="N185" i="1"/>
  <c r="M185" i="1"/>
  <c r="L185" i="1"/>
  <c r="K185" i="1"/>
  <c r="J185" i="1"/>
  <c r="N184" i="1"/>
  <c r="M184" i="1"/>
  <c r="L184" i="1"/>
  <c r="K184" i="1"/>
  <c r="J184" i="1"/>
  <c r="N183" i="1"/>
  <c r="M183" i="1"/>
  <c r="L183" i="1"/>
  <c r="K183" i="1"/>
  <c r="J183" i="1"/>
  <c r="N182" i="1"/>
  <c r="M182" i="1"/>
  <c r="L182" i="1"/>
  <c r="K182" i="1"/>
  <c r="J182" i="1"/>
  <c r="N181" i="1"/>
  <c r="M181" i="1"/>
  <c r="L181" i="1"/>
  <c r="K181" i="1"/>
  <c r="J181" i="1"/>
  <c r="N180" i="1"/>
  <c r="M180" i="1"/>
  <c r="L180" i="1"/>
  <c r="K180" i="1"/>
  <c r="J180" i="1"/>
  <c r="N179" i="1"/>
  <c r="M179" i="1"/>
  <c r="L179" i="1"/>
  <c r="K179" i="1"/>
  <c r="J179" i="1"/>
  <c r="N178" i="1"/>
  <c r="M178" i="1"/>
  <c r="L178" i="1"/>
  <c r="K178" i="1"/>
  <c r="J178" i="1"/>
  <c r="N177" i="1"/>
  <c r="M177" i="1"/>
  <c r="L177" i="1"/>
  <c r="K177" i="1"/>
  <c r="J177" i="1"/>
  <c r="N176" i="1"/>
  <c r="M176" i="1"/>
  <c r="L176" i="1"/>
  <c r="K176" i="1"/>
  <c r="J176" i="1"/>
  <c r="N175" i="1"/>
  <c r="M175" i="1"/>
  <c r="L175" i="1"/>
  <c r="K175" i="1"/>
  <c r="J175" i="1"/>
  <c r="N174" i="1"/>
  <c r="M174" i="1"/>
  <c r="L174" i="1"/>
  <c r="K174" i="1"/>
  <c r="J174" i="1"/>
  <c r="N173" i="1"/>
  <c r="M173" i="1"/>
  <c r="L173" i="1"/>
  <c r="K173" i="1"/>
  <c r="J173" i="1"/>
  <c r="N172" i="1"/>
  <c r="M172" i="1"/>
  <c r="L172" i="1"/>
  <c r="K172" i="1"/>
  <c r="J172" i="1"/>
  <c r="N171" i="1"/>
  <c r="M171" i="1"/>
  <c r="L171" i="1"/>
  <c r="K171" i="1"/>
  <c r="J171" i="1"/>
  <c r="N170" i="1"/>
  <c r="M170" i="1"/>
  <c r="L170" i="1"/>
  <c r="K170" i="1"/>
  <c r="J170" i="1"/>
  <c r="N169" i="1"/>
  <c r="M169" i="1"/>
  <c r="L169" i="1"/>
  <c r="K169" i="1"/>
  <c r="J169" i="1"/>
  <c r="N168" i="1"/>
  <c r="M168" i="1"/>
  <c r="L168" i="1"/>
  <c r="K168" i="1"/>
  <c r="J168" i="1"/>
  <c r="N167" i="1"/>
  <c r="M167" i="1"/>
  <c r="L167" i="1"/>
  <c r="K167" i="1"/>
  <c r="J167" i="1"/>
  <c r="N166" i="1"/>
  <c r="M166" i="1"/>
  <c r="L166" i="1"/>
  <c r="K166" i="1"/>
  <c r="J166" i="1"/>
  <c r="N165" i="1"/>
  <c r="M165" i="1"/>
  <c r="L165" i="1"/>
  <c r="K165" i="1"/>
  <c r="J165" i="1"/>
  <c r="N164" i="1"/>
  <c r="M164" i="1"/>
  <c r="L164" i="1"/>
  <c r="K164" i="1"/>
  <c r="J164" i="1"/>
  <c r="N163" i="1"/>
  <c r="M163" i="1"/>
  <c r="L163" i="1"/>
  <c r="K163" i="1"/>
  <c r="J163" i="1"/>
  <c r="N162" i="1"/>
  <c r="M162" i="1"/>
  <c r="L162" i="1"/>
  <c r="K162" i="1"/>
  <c r="J162" i="1"/>
  <c r="N161" i="1"/>
  <c r="M161" i="1"/>
  <c r="L161" i="1"/>
  <c r="K161" i="1"/>
  <c r="J161" i="1"/>
  <c r="N160" i="1"/>
  <c r="M160" i="1"/>
  <c r="L160" i="1"/>
  <c r="K160" i="1"/>
  <c r="J160" i="1"/>
  <c r="N159" i="1"/>
  <c r="M159" i="1"/>
  <c r="L159" i="1"/>
  <c r="K159" i="1"/>
  <c r="J159" i="1"/>
  <c r="N158" i="1"/>
  <c r="M158" i="1"/>
  <c r="L158" i="1"/>
  <c r="K158" i="1"/>
  <c r="J158" i="1"/>
  <c r="N157" i="1"/>
  <c r="M157" i="1"/>
  <c r="L157" i="1"/>
  <c r="K157" i="1"/>
  <c r="J157" i="1"/>
  <c r="N156" i="1"/>
  <c r="M156" i="1"/>
  <c r="L156" i="1"/>
  <c r="K156" i="1"/>
  <c r="J156" i="1"/>
  <c r="N155" i="1"/>
  <c r="M155" i="1"/>
  <c r="L155" i="1"/>
  <c r="K155" i="1"/>
  <c r="J155" i="1"/>
  <c r="N154" i="1"/>
  <c r="M154" i="1"/>
  <c r="L154" i="1"/>
  <c r="K154" i="1"/>
  <c r="J154" i="1"/>
  <c r="N153" i="1"/>
  <c r="M153" i="1"/>
  <c r="L153" i="1"/>
  <c r="K153" i="1"/>
  <c r="J153" i="1"/>
  <c r="N152" i="1"/>
  <c r="M152" i="1"/>
  <c r="L152" i="1"/>
  <c r="K152" i="1"/>
  <c r="J152" i="1"/>
  <c r="N151" i="1"/>
  <c r="M151" i="1"/>
  <c r="L151" i="1"/>
  <c r="K151" i="1"/>
  <c r="J151" i="1"/>
  <c r="N150" i="1"/>
  <c r="M150" i="1"/>
  <c r="L150" i="1"/>
  <c r="K150" i="1"/>
  <c r="J150" i="1"/>
  <c r="N149" i="1"/>
  <c r="M149" i="1"/>
  <c r="L149" i="1"/>
  <c r="K149" i="1"/>
  <c r="J149" i="1"/>
  <c r="N148" i="1"/>
  <c r="M148" i="1"/>
  <c r="L148" i="1"/>
  <c r="K148" i="1"/>
  <c r="J148" i="1"/>
  <c r="N147" i="1"/>
  <c r="M147" i="1"/>
  <c r="L147" i="1"/>
  <c r="K147" i="1"/>
  <c r="J147" i="1"/>
  <c r="N146" i="1"/>
  <c r="M146" i="1"/>
  <c r="L146" i="1"/>
  <c r="K146" i="1"/>
  <c r="J146" i="1"/>
  <c r="N145" i="1"/>
  <c r="M145" i="1"/>
  <c r="L145" i="1"/>
  <c r="K145" i="1"/>
  <c r="J145" i="1"/>
  <c r="N144" i="1"/>
  <c r="M144" i="1"/>
  <c r="L144" i="1"/>
  <c r="K144" i="1"/>
  <c r="J144" i="1"/>
  <c r="N143" i="1"/>
  <c r="M143" i="1"/>
  <c r="L143" i="1"/>
  <c r="K143" i="1"/>
  <c r="J143" i="1"/>
  <c r="N142" i="1"/>
  <c r="M142" i="1"/>
  <c r="L142" i="1"/>
  <c r="K142" i="1"/>
  <c r="J142" i="1"/>
  <c r="N141" i="1"/>
  <c r="M141" i="1"/>
  <c r="L141" i="1"/>
  <c r="K141" i="1"/>
  <c r="J141" i="1"/>
  <c r="N140" i="1"/>
  <c r="M140" i="1"/>
  <c r="L140" i="1"/>
  <c r="K140" i="1"/>
  <c r="J140" i="1"/>
  <c r="N139" i="1"/>
  <c r="M139" i="1"/>
  <c r="L139" i="1"/>
  <c r="K139" i="1"/>
  <c r="J139" i="1"/>
  <c r="N138" i="1"/>
  <c r="M138" i="1"/>
  <c r="L138" i="1"/>
  <c r="K138" i="1"/>
  <c r="J138" i="1"/>
  <c r="N137" i="1"/>
  <c r="M137" i="1"/>
  <c r="L137" i="1"/>
  <c r="K137" i="1"/>
  <c r="J137" i="1"/>
  <c r="N136" i="1"/>
  <c r="M136" i="1"/>
  <c r="L136" i="1"/>
  <c r="K136" i="1"/>
  <c r="J136" i="1"/>
  <c r="N135" i="1"/>
  <c r="M135" i="1"/>
  <c r="L135" i="1"/>
  <c r="K135" i="1"/>
  <c r="J135" i="1"/>
  <c r="N134" i="1"/>
  <c r="M134" i="1"/>
  <c r="L134" i="1"/>
  <c r="K134" i="1"/>
  <c r="J134" i="1"/>
  <c r="N133" i="1"/>
  <c r="M133" i="1"/>
  <c r="L133" i="1"/>
  <c r="K133" i="1"/>
  <c r="J133" i="1"/>
  <c r="N132" i="1"/>
  <c r="M132" i="1"/>
  <c r="L132" i="1"/>
  <c r="K132" i="1"/>
  <c r="J132" i="1"/>
  <c r="N131" i="1"/>
  <c r="M131" i="1"/>
  <c r="L131" i="1"/>
  <c r="K131" i="1"/>
  <c r="J131" i="1"/>
  <c r="N130" i="1"/>
  <c r="M130" i="1"/>
  <c r="L130" i="1"/>
  <c r="K130" i="1"/>
  <c r="J130" i="1"/>
  <c r="N129" i="1"/>
  <c r="M129" i="1"/>
  <c r="L129" i="1"/>
  <c r="K129" i="1"/>
  <c r="J129" i="1"/>
  <c r="N128" i="1"/>
  <c r="M128" i="1"/>
  <c r="L128" i="1"/>
  <c r="K128" i="1"/>
  <c r="J128" i="1"/>
  <c r="N127" i="1"/>
  <c r="M127" i="1"/>
  <c r="L127" i="1"/>
  <c r="K127" i="1"/>
  <c r="J127" i="1"/>
  <c r="N126" i="1"/>
  <c r="M126" i="1"/>
  <c r="L126" i="1"/>
  <c r="K126" i="1"/>
  <c r="J126" i="1"/>
  <c r="N125" i="1"/>
  <c r="M125" i="1"/>
  <c r="L125" i="1"/>
  <c r="K125" i="1"/>
  <c r="J125" i="1"/>
  <c r="N124" i="1"/>
  <c r="M124" i="1"/>
  <c r="L124" i="1"/>
  <c r="K124" i="1"/>
  <c r="J124" i="1"/>
  <c r="N123" i="1"/>
  <c r="M123" i="1"/>
  <c r="L123" i="1"/>
  <c r="K123" i="1"/>
  <c r="J123" i="1"/>
  <c r="N122" i="1"/>
  <c r="M122" i="1"/>
  <c r="L122" i="1"/>
  <c r="K122" i="1"/>
  <c r="J122" i="1"/>
  <c r="N121" i="1"/>
  <c r="M121" i="1"/>
  <c r="L121" i="1"/>
  <c r="K121" i="1"/>
  <c r="J121" i="1"/>
  <c r="N120" i="1"/>
  <c r="M120" i="1"/>
  <c r="L120" i="1"/>
  <c r="K120" i="1"/>
  <c r="J120" i="1"/>
  <c r="N119" i="1"/>
  <c r="M119" i="1"/>
  <c r="L119" i="1"/>
  <c r="K119" i="1"/>
  <c r="J119" i="1"/>
  <c r="N118" i="1"/>
  <c r="M118" i="1"/>
  <c r="L118" i="1"/>
  <c r="K118" i="1"/>
  <c r="J118" i="1"/>
  <c r="N117" i="1"/>
  <c r="M117" i="1"/>
  <c r="L117" i="1"/>
  <c r="K117" i="1"/>
  <c r="J117" i="1"/>
  <c r="N116" i="1"/>
  <c r="M116" i="1"/>
  <c r="L116" i="1"/>
  <c r="K116" i="1"/>
  <c r="J116" i="1"/>
  <c r="N115" i="1"/>
  <c r="M115" i="1"/>
  <c r="L115" i="1"/>
  <c r="K115" i="1"/>
  <c r="J115" i="1"/>
  <c r="N114" i="1"/>
  <c r="M114" i="1"/>
  <c r="L114" i="1"/>
  <c r="K114" i="1"/>
  <c r="J114" i="1"/>
  <c r="N113" i="1"/>
  <c r="M113" i="1"/>
  <c r="L113" i="1"/>
  <c r="K113" i="1"/>
  <c r="J113" i="1"/>
  <c r="N112" i="1"/>
  <c r="M112" i="1"/>
  <c r="L112" i="1"/>
  <c r="K112" i="1"/>
  <c r="J112" i="1"/>
  <c r="N111" i="1"/>
  <c r="M111" i="1"/>
  <c r="L111" i="1"/>
  <c r="K111" i="1"/>
  <c r="J111" i="1"/>
  <c r="N110" i="1"/>
  <c r="M110" i="1"/>
  <c r="L110" i="1"/>
  <c r="K110" i="1"/>
  <c r="J110" i="1"/>
  <c r="C1041" i="1"/>
  <c r="C1040" i="1"/>
  <c r="C1038" i="1"/>
  <c r="H1035" i="1"/>
  <c r="N493" i="1"/>
  <c r="M493" i="1"/>
  <c r="L493" i="1"/>
  <c r="K493" i="1"/>
  <c r="J493" i="1"/>
  <c r="J109" i="1"/>
  <c r="K109" i="1"/>
  <c r="L109" i="1"/>
  <c r="M109" i="1"/>
  <c r="A3" i="1"/>
  <c r="A4" i="1" s="1"/>
  <c r="A5" i="1" s="1"/>
  <c r="A6" i="1" s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  <c r="A101" i="1" s="1"/>
  <c r="A102" i="1" s="1"/>
  <c r="A103" i="1" s="1"/>
  <c r="A104" i="1" s="1"/>
  <c r="A105" i="1" s="1"/>
  <c r="A106" i="1" s="1"/>
  <c r="A107" i="1" s="1"/>
  <c r="A108" i="1" s="1"/>
  <c r="A109" i="1" s="1"/>
  <c r="A110" i="1" s="1"/>
  <c r="A111" i="1" s="1"/>
  <c r="A112" i="1" s="1"/>
  <c r="A113" i="1" s="1"/>
  <c r="A114" i="1" s="1"/>
  <c r="A115" i="1" s="1"/>
  <c r="A116" i="1" s="1"/>
  <c r="A117" i="1" s="1"/>
  <c r="A118" i="1" s="1"/>
  <c r="A119" i="1" s="1"/>
  <c r="A120" i="1" s="1"/>
  <c r="A121" i="1" s="1"/>
  <c r="A122" i="1" s="1"/>
  <c r="A123" i="1" s="1"/>
  <c r="A124" i="1" s="1"/>
  <c r="A125" i="1" s="1"/>
  <c r="A126" i="1" s="1"/>
  <c r="A127" i="1" s="1"/>
  <c r="A128" i="1" s="1"/>
  <c r="A129" i="1" s="1"/>
  <c r="A130" i="1" s="1"/>
  <c r="A131" i="1" s="1"/>
  <c r="A132" i="1" s="1"/>
  <c r="A133" i="1" s="1"/>
  <c r="A134" i="1" s="1"/>
  <c r="A135" i="1" s="1"/>
  <c r="A136" i="1" s="1"/>
  <c r="A137" i="1" s="1"/>
  <c r="A138" i="1" s="1"/>
  <c r="A139" i="1" s="1"/>
  <c r="A140" i="1" s="1"/>
  <c r="A141" i="1" s="1"/>
  <c r="A142" i="1" s="1"/>
  <c r="A143" i="1" s="1"/>
  <c r="A144" i="1" s="1"/>
  <c r="A145" i="1" s="1"/>
  <c r="A146" i="1" s="1"/>
  <c r="A147" i="1" s="1"/>
  <c r="A148" i="1" s="1"/>
  <c r="A149" i="1" s="1"/>
  <c r="A150" i="1" s="1"/>
  <c r="A151" i="1" s="1"/>
  <c r="A152" i="1" s="1"/>
  <c r="A153" i="1" s="1"/>
  <c r="A154" i="1" s="1"/>
  <c r="A155" i="1" s="1"/>
  <c r="A156" i="1" s="1"/>
  <c r="A157" i="1" s="1"/>
  <c r="A158" i="1" s="1"/>
  <c r="A159" i="1" s="1"/>
  <c r="A160" i="1" s="1"/>
  <c r="A161" i="1" s="1"/>
  <c r="A162" i="1" s="1"/>
  <c r="A163" i="1" s="1"/>
  <c r="A164" i="1" s="1"/>
  <c r="A165" i="1" s="1"/>
  <c r="A166" i="1" s="1"/>
  <c r="A167" i="1" s="1"/>
  <c r="A168" i="1" s="1"/>
  <c r="A169" i="1" s="1"/>
  <c r="A170" i="1" s="1"/>
  <c r="A171" i="1" s="1"/>
  <c r="A172" i="1" s="1"/>
  <c r="A173" i="1" s="1"/>
  <c r="A174" i="1" s="1"/>
  <c r="A175" i="1" s="1"/>
  <c r="A176" i="1" s="1"/>
  <c r="A177" i="1" s="1"/>
  <c r="A178" i="1" s="1"/>
  <c r="A179" i="1" s="1"/>
  <c r="A180" i="1" s="1"/>
  <c r="A181" i="1" s="1"/>
  <c r="A182" i="1" s="1"/>
  <c r="A183" i="1" s="1"/>
  <c r="A184" i="1" s="1"/>
  <c r="A185" i="1" s="1"/>
  <c r="A186" i="1" s="1"/>
  <c r="A187" i="1" s="1"/>
  <c r="A188" i="1" s="1"/>
  <c r="A189" i="1" s="1"/>
  <c r="A190" i="1" s="1"/>
  <c r="A191" i="1" s="1"/>
  <c r="A192" i="1" s="1"/>
  <c r="A193" i="1" s="1"/>
  <c r="A194" i="1" s="1"/>
  <c r="A195" i="1" s="1"/>
  <c r="A196" i="1" s="1"/>
  <c r="A197" i="1" s="1"/>
  <c r="A198" i="1" s="1"/>
  <c r="A199" i="1" s="1"/>
  <c r="A200" i="1" s="1"/>
  <c r="A201" i="1" s="1"/>
  <c r="A202" i="1" s="1"/>
  <c r="A203" i="1" s="1"/>
  <c r="A204" i="1" s="1"/>
  <c r="A205" i="1" s="1"/>
  <c r="A206" i="1" s="1"/>
  <c r="A207" i="1" s="1"/>
  <c r="A208" i="1" s="1"/>
  <c r="A209" i="1" s="1"/>
  <c r="A210" i="1" s="1"/>
  <c r="A211" i="1" s="1"/>
  <c r="A212" i="1" s="1"/>
  <c r="A213" i="1" s="1"/>
  <c r="A214" i="1" s="1"/>
  <c r="A215" i="1" s="1"/>
  <c r="A216" i="1" s="1"/>
  <c r="A217" i="1" s="1"/>
  <c r="A218" i="1" s="1"/>
  <c r="A219" i="1" s="1"/>
  <c r="A220" i="1" s="1"/>
  <c r="A221" i="1" s="1"/>
  <c r="A222" i="1" s="1"/>
  <c r="A223" i="1" s="1"/>
  <c r="A224" i="1" s="1"/>
  <c r="A225" i="1" s="1"/>
  <c r="A226" i="1" s="1"/>
  <c r="A227" i="1" s="1"/>
  <c r="A228" i="1" s="1"/>
  <c r="A229" i="1" s="1"/>
  <c r="A230" i="1" s="1"/>
  <c r="A231" i="1" s="1"/>
  <c r="A232" i="1" s="1"/>
  <c r="A233" i="1" s="1"/>
  <c r="A234" i="1" s="1"/>
  <c r="A235" i="1" s="1"/>
  <c r="A236" i="1" s="1"/>
  <c r="A237" i="1" s="1"/>
  <c r="A238" i="1" s="1"/>
  <c r="A239" i="1" s="1"/>
  <c r="A240" i="1" s="1"/>
  <c r="A241" i="1" s="1"/>
  <c r="A242" i="1" s="1"/>
  <c r="A243" i="1" s="1"/>
  <c r="A244" i="1" s="1"/>
  <c r="A245" i="1" s="1"/>
  <c r="A246" i="1" s="1"/>
  <c r="A247" i="1" s="1"/>
  <c r="A248" i="1" s="1"/>
  <c r="A249" i="1" s="1"/>
  <c r="A250" i="1" s="1"/>
  <c r="A251" i="1" s="1"/>
  <c r="A252" i="1" s="1"/>
  <c r="A253" i="1" s="1"/>
  <c r="A254" i="1" s="1"/>
  <c r="A255" i="1" s="1"/>
  <c r="A256" i="1" s="1"/>
  <c r="A257" i="1" s="1"/>
  <c r="A258" i="1" s="1"/>
  <c r="A259" i="1" s="1"/>
  <c r="A260" i="1" s="1"/>
  <c r="A261" i="1" s="1"/>
  <c r="A262" i="1" s="1"/>
  <c r="A263" i="1" s="1"/>
  <c r="A264" i="1" s="1"/>
  <c r="A265" i="1" s="1"/>
  <c r="A266" i="1" s="1"/>
  <c r="A267" i="1" s="1"/>
  <c r="A268" i="1" s="1"/>
  <c r="A269" i="1" s="1"/>
  <c r="A270" i="1" s="1"/>
  <c r="A271" i="1" s="1"/>
  <c r="A272" i="1" s="1"/>
  <c r="A273" i="1" s="1"/>
  <c r="A274" i="1" s="1"/>
  <c r="A275" i="1" s="1"/>
  <c r="A276" i="1" s="1"/>
  <c r="A277" i="1" s="1"/>
  <c r="A278" i="1" s="1"/>
  <c r="A279" i="1" s="1"/>
  <c r="A280" i="1" s="1"/>
  <c r="A281" i="1" s="1"/>
  <c r="A282" i="1" s="1"/>
  <c r="A283" i="1" s="1"/>
  <c r="A284" i="1" s="1"/>
  <c r="A285" i="1" s="1"/>
  <c r="A286" i="1" s="1"/>
  <c r="A287" i="1" s="1"/>
  <c r="A288" i="1" s="1"/>
  <c r="A289" i="1" s="1"/>
  <c r="A290" i="1" s="1"/>
  <c r="A291" i="1" s="1"/>
  <c r="A292" i="1" s="1"/>
  <c r="A293" i="1" s="1"/>
  <c r="A294" i="1" s="1"/>
  <c r="A295" i="1" s="1"/>
  <c r="A296" i="1" s="1"/>
  <c r="A297" i="1" s="1"/>
  <c r="A298" i="1" s="1"/>
  <c r="A299" i="1" s="1"/>
  <c r="A300" i="1" s="1"/>
  <c r="A323" i="1" s="1"/>
  <c r="A324" i="1" s="1"/>
  <c r="A325" i="1" s="1"/>
  <c r="K103" i="10" l="1"/>
  <c r="Q27" i="10"/>
  <c r="AE26" i="10"/>
  <c r="R18" i="10"/>
  <c r="S18" i="10" s="1"/>
  <c r="T18" i="10" s="1"/>
  <c r="U18" i="10" s="1"/>
  <c r="V18" i="10" s="1"/>
  <c r="W18" i="10" s="1"/>
  <c r="X18" i="10" s="1"/>
  <c r="Y18" i="10" s="1"/>
  <c r="Z18" i="10" s="1"/>
  <c r="AA18" i="10" s="1"/>
  <c r="AB18" i="10" s="1"/>
  <c r="AC18" i="10" s="1"/>
  <c r="S19" i="10"/>
  <c r="T19" i="10" s="1"/>
  <c r="U19" i="10" s="1"/>
  <c r="V19" i="10" s="1"/>
  <c r="W19" i="10" s="1"/>
  <c r="X19" i="10" s="1"/>
  <c r="Y19" i="10" s="1"/>
  <c r="Z19" i="10" s="1"/>
  <c r="AA19" i="10" s="1"/>
  <c r="AB19" i="10" s="1"/>
  <c r="AC19" i="10" s="1"/>
  <c r="K7" i="10"/>
  <c r="K11" i="10"/>
  <c r="K8" i="10"/>
  <c r="K13" i="10"/>
  <c r="K10" i="10"/>
  <c r="K2" i="10"/>
  <c r="K14" i="10"/>
  <c r="A301" i="1"/>
  <c r="A302" i="1" s="1"/>
  <c r="A303" i="1" s="1"/>
  <c r="A304" i="1" s="1"/>
  <c r="A305" i="1" s="1"/>
  <c r="A306" i="1" s="1"/>
  <c r="A307" i="1" s="1"/>
  <c r="A308" i="1" s="1"/>
  <c r="A309" i="1" s="1"/>
  <c r="A310" i="1" s="1"/>
  <c r="A311" i="1" s="1"/>
  <c r="A312" i="1" s="1"/>
  <c r="A313" i="1" s="1"/>
  <c r="A314" i="1" s="1"/>
  <c r="A315" i="1" s="1"/>
  <c r="A316" i="1" s="1"/>
  <c r="A317" i="1" s="1"/>
  <c r="A318" i="1" s="1"/>
  <c r="A319" i="1" s="1"/>
  <c r="A320" i="1" s="1"/>
  <c r="A321" i="1" s="1"/>
  <c r="A326" i="1"/>
  <c r="A327" i="1" s="1"/>
  <c r="A328" i="1" s="1"/>
  <c r="A329" i="1" s="1"/>
  <c r="A330" i="1" s="1"/>
  <c r="A331" i="1" s="1"/>
  <c r="A332" i="1" s="1"/>
  <c r="A333" i="1" s="1"/>
  <c r="A334" i="1" s="1"/>
  <c r="A335" i="1" s="1"/>
  <c r="A336" i="1" s="1"/>
  <c r="A337" i="1" s="1"/>
  <c r="A338" i="1" s="1"/>
  <c r="A339" i="1" s="1"/>
  <c r="A340" i="1" s="1"/>
  <c r="A341" i="1" s="1"/>
  <c r="A342" i="1" s="1"/>
  <c r="A343" i="1" s="1"/>
  <c r="A344" i="1" s="1"/>
  <c r="A345" i="1" s="1"/>
  <c r="A346" i="1" s="1"/>
  <c r="A347" i="1" s="1"/>
  <c r="A348" i="1" s="1"/>
  <c r="A349" i="1" s="1"/>
  <c r="A350" i="1" s="1"/>
  <c r="A351" i="1" s="1"/>
  <c r="A352" i="1" s="1"/>
  <c r="A353" i="1" s="1"/>
  <c r="A354" i="1" s="1"/>
  <c r="A355" i="1" s="1"/>
  <c r="A356" i="1" s="1"/>
  <c r="A357" i="1" s="1"/>
  <c r="A358" i="1" s="1"/>
  <c r="A359" i="1" s="1"/>
  <c r="A360" i="1" s="1"/>
  <c r="A361" i="1" s="1"/>
  <c r="A362" i="1" s="1"/>
  <c r="A363" i="1" s="1"/>
  <c r="A364" i="1" s="1"/>
  <c r="A365" i="1" s="1"/>
  <c r="A366" i="1" s="1"/>
  <c r="A367" i="1" s="1"/>
  <c r="A368" i="1" s="1"/>
  <c r="A369" i="1" s="1"/>
  <c r="A370" i="1" s="1"/>
  <c r="A371" i="1" s="1"/>
  <c r="A372" i="1" s="1"/>
  <c r="A373" i="1" s="1"/>
  <c r="A374" i="1" s="1"/>
  <c r="A375" i="1" s="1"/>
  <c r="A376" i="1" s="1"/>
  <c r="A377" i="1" s="1"/>
  <c r="A378" i="1" s="1"/>
  <c r="A379" i="1" s="1"/>
  <c r="A380" i="1" s="1"/>
  <c r="A381" i="1" s="1"/>
  <c r="A382" i="1" s="1"/>
  <c r="A383" i="1" s="1"/>
  <c r="A384" i="1" s="1"/>
  <c r="A385" i="1" s="1"/>
  <c r="A386" i="1" s="1"/>
  <c r="A387" i="1" s="1"/>
  <c r="A388" i="1" s="1"/>
  <c r="A389" i="1" s="1"/>
  <c r="A390" i="1" s="1"/>
  <c r="A391" i="1" s="1"/>
  <c r="A392" i="1" s="1"/>
  <c r="A393" i="1" s="1"/>
  <c r="A394" i="1" s="1"/>
  <c r="A395" i="1" s="1"/>
  <c r="A396" i="1" s="1"/>
  <c r="A397" i="1" s="1"/>
  <c r="A398" i="1" s="1"/>
  <c r="A399" i="1" s="1"/>
  <c r="A400" i="1" s="1"/>
  <c r="A401" i="1" s="1"/>
  <c r="A402" i="1" s="1"/>
  <c r="A403" i="1" s="1"/>
  <c r="A404" i="1" s="1"/>
  <c r="A405" i="1" s="1"/>
  <c r="A406" i="1" s="1"/>
  <c r="A407" i="1" s="1"/>
  <c r="A408" i="1" s="1"/>
  <c r="A409" i="1" s="1"/>
  <c r="A410" i="1" s="1"/>
  <c r="A411" i="1" s="1"/>
  <c r="A412" i="1" s="1"/>
  <c r="A413" i="1" s="1"/>
  <c r="A414" i="1" s="1"/>
  <c r="A415" i="1" s="1"/>
  <c r="A416" i="1" s="1"/>
  <c r="A417" i="1" s="1"/>
  <c r="A418" i="1" s="1"/>
  <c r="A419" i="1" s="1"/>
  <c r="A420" i="1" s="1"/>
  <c r="A421" i="1" s="1"/>
  <c r="A422" i="1" s="1"/>
  <c r="A423" i="1" s="1"/>
  <c r="A424" i="1" s="1"/>
  <c r="A425" i="1" s="1"/>
  <c r="A426" i="1" s="1"/>
  <c r="A427" i="1" s="1"/>
  <c r="A428" i="1" s="1"/>
  <c r="A429" i="1" s="1"/>
  <c r="A430" i="1" s="1"/>
  <c r="A431" i="1" s="1"/>
  <c r="A432" i="1" s="1"/>
  <c r="A433" i="1" s="1"/>
  <c r="A434" i="1" s="1"/>
  <c r="A435" i="1" s="1"/>
  <c r="A436" i="1" s="1"/>
  <c r="A437" i="1" s="1"/>
  <c r="A438" i="1" s="1"/>
  <c r="A439" i="1" s="1"/>
  <c r="A440" i="1" s="1"/>
  <c r="A441" i="1" s="1"/>
  <c r="A442" i="1" s="1"/>
  <c r="A443" i="1" s="1"/>
  <c r="A444" i="1" s="1"/>
  <c r="A445" i="1" s="1"/>
  <c r="A446" i="1" s="1"/>
  <c r="A447" i="1" s="1"/>
  <c r="A448" i="1" s="1"/>
  <c r="A449" i="1" s="1"/>
  <c r="A450" i="1" s="1"/>
  <c r="A451" i="1" s="1"/>
  <c r="A452" i="1" s="1"/>
  <c r="A453" i="1" s="1"/>
  <c r="A454" i="1" s="1"/>
  <c r="A455" i="1" s="1"/>
  <c r="A456" i="1" s="1"/>
  <c r="A457" i="1" s="1"/>
  <c r="A458" i="1" s="1"/>
  <c r="A459" i="1" s="1"/>
  <c r="A460" i="1" s="1"/>
  <c r="A461" i="1" s="1"/>
  <c r="A462" i="1" s="1"/>
  <c r="A463" i="1" s="1"/>
  <c r="A464" i="1" s="1"/>
  <c r="A465" i="1" s="1"/>
  <c r="A466" i="1" s="1"/>
  <c r="A467" i="1" s="1"/>
  <c r="A468" i="1" s="1"/>
  <c r="A469" i="1" s="1"/>
  <c r="A470" i="1" s="1"/>
  <c r="A471" i="1" s="1"/>
  <c r="A472" i="1" s="1"/>
  <c r="A473" i="1" s="1"/>
  <c r="A474" i="1" s="1"/>
  <c r="A475" i="1" s="1"/>
  <c r="A476" i="1" s="1"/>
  <c r="A477" i="1" s="1"/>
  <c r="A478" i="1" s="1"/>
  <c r="A479" i="1" s="1"/>
  <c r="A480" i="1" s="1"/>
  <c r="A481" i="1" s="1"/>
  <c r="A482" i="1" s="1"/>
  <c r="A483" i="1" s="1"/>
  <c r="A484" i="1" s="1"/>
  <c r="A485" i="1" s="1"/>
  <c r="A486" i="1" s="1"/>
  <c r="A487" i="1" s="1"/>
  <c r="A488" i="1" s="1"/>
  <c r="A489" i="1" s="1"/>
  <c r="A490" i="1" s="1"/>
  <c r="A491" i="1" s="1"/>
  <c r="A492" i="1" s="1"/>
  <c r="A493" i="1" s="1"/>
  <c r="A494" i="1" s="1"/>
  <c r="A495" i="1" s="1"/>
  <c r="A496" i="1" s="1"/>
  <c r="A497" i="1" s="1"/>
  <c r="A498" i="1" s="1"/>
  <c r="A499" i="1" s="1"/>
  <c r="A500" i="1" s="1"/>
  <c r="A501" i="1" s="1"/>
  <c r="A502" i="1" s="1"/>
  <c r="A503" i="1" s="1"/>
  <c r="A504" i="1" s="1"/>
  <c r="A505" i="1" s="1"/>
  <c r="A506" i="1" s="1"/>
  <c r="A507" i="1" s="1"/>
  <c r="A508" i="1" s="1"/>
  <c r="A509" i="1" s="1"/>
  <c r="A510" i="1" s="1"/>
  <c r="A511" i="1" s="1"/>
  <c r="A512" i="1" s="1"/>
  <c r="A513" i="1" s="1"/>
  <c r="A514" i="1" s="1"/>
  <c r="A515" i="1" s="1"/>
  <c r="A516" i="1" s="1"/>
  <c r="A517" i="1" s="1"/>
  <c r="A518" i="1" s="1"/>
  <c r="A519" i="1" s="1"/>
  <c r="A520" i="1" s="1"/>
  <c r="A521" i="1" s="1"/>
  <c r="A522" i="1" s="1"/>
  <c r="A523" i="1" s="1"/>
  <c r="A524" i="1" s="1"/>
  <c r="A525" i="1" s="1"/>
  <c r="A526" i="1" s="1"/>
  <c r="A527" i="1" s="1"/>
  <c r="A528" i="1" s="1"/>
  <c r="A529" i="1" s="1"/>
  <c r="A530" i="1" s="1"/>
  <c r="A531" i="1" s="1"/>
  <c r="A532" i="1" s="1"/>
  <c r="A533" i="1" s="1"/>
  <c r="A534" i="1" s="1"/>
  <c r="A535" i="1" s="1"/>
  <c r="A536" i="1" s="1"/>
  <c r="A537" i="1" s="1"/>
  <c r="A538" i="1" s="1"/>
  <c r="A539" i="1" s="1"/>
  <c r="A540" i="1" s="1"/>
  <c r="A541" i="1" s="1"/>
  <c r="A542" i="1" s="1"/>
  <c r="A543" i="1" s="1"/>
  <c r="A544" i="1" s="1"/>
  <c r="A545" i="1" s="1"/>
  <c r="A546" i="1" s="1"/>
  <c r="A547" i="1" s="1"/>
  <c r="A548" i="1" s="1"/>
  <c r="A549" i="1" s="1"/>
  <c r="A550" i="1" s="1"/>
  <c r="A551" i="1" s="1"/>
  <c r="A552" i="1" s="1"/>
  <c r="A553" i="1" s="1"/>
  <c r="A554" i="1" s="1"/>
  <c r="A555" i="1" s="1"/>
  <c r="A556" i="1" s="1"/>
  <c r="A557" i="1" s="1"/>
  <c r="A558" i="1" s="1"/>
  <c r="A559" i="1" s="1"/>
  <c r="A560" i="1" s="1"/>
  <c r="A561" i="1" s="1"/>
  <c r="A562" i="1" s="1"/>
  <c r="A563" i="1" s="1"/>
  <c r="A564" i="1" s="1"/>
  <c r="A565" i="1" s="1"/>
  <c r="A566" i="1" s="1"/>
  <c r="A567" i="1" s="1"/>
  <c r="A568" i="1" s="1"/>
  <c r="A569" i="1" s="1"/>
  <c r="A570" i="1" s="1"/>
  <c r="A571" i="1" s="1"/>
  <c r="A572" i="1" s="1"/>
  <c r="A573" i="1" s="1"/>
  <c r="A574" i="1" s="1"/>
  <c r="A575" i="1" s="1"/>
  <c r="A576" i="1" s="1"/>
  <c r="A577" i="1" s="1"/>
  <c r="A578" i="1" s="1"/>
  <c r="A579" i="1" s="1"/>
  <c r="A580" i="1" s="1"/>
  <c r="A581" i="1" s="1"/>
  <c r="A582" i="1" s="1"/>
  <c r="A583" i="1" s="1"/>
  <c r="A584" i="1" s="1"/>
  <c r="A585" i="1" s="1"/>
  <c r="A586" i="1" s="1"/>
  <c r="A587" i="1" s="1"/>
  <c r="A588" i="1" s="1"/>
  <c r="A589" i="1" s="1"/>
  <c r="A590" i="1" s="1"/>
  <c r="A591" i="1" s="1"/>
  <c r="A592" i="1" s="1"/>
  <c r="A593" i="1" s="1"/>
  <c r="A594" i="1" s="1"/>
  <c r="A595" i="1" s="1"/>
  <c r="A596" i="1" s="1"/>
  <c r="A597" i="1" s="1"/>
  <c r="A598" i="1" s="1"/>
  <c r="A599" i="1" s="1"/>
  <c r="A600" i="1" s="1"/>
  <c r="A601" i="1" s="1"/>
  <c r="A602" i="1" s="1"/>
  <c r="A603" i="1" s="1"/>
  <c r="A604" i="1" s="1"/>
  <c r="A605" i="1" s="1"/>
  <c r="A606" i="1" s="1"/>
  <c r="A607" i="1" s="1"/>
  <c r="A608" i="1" s="1"/>
  <c r="A609" i="1" s="1"/>
  <c r="A610" i="1" s="1"/>
  <c r="A611" i="1" s="1"/>
  <c r="A612" i="1" s="1"/>
  <c r="A613" i="1" s="1"/>
  <c r="A614" i="1" s="1"/>
  <c r="A615" i="1" s="1"/>
  <c r="A616" i="1" s="1"/>
  <c r="A617" i="1" s="1"/>
  <c r="A618" i="1" s="1"/>
  <c r="A619" i="1" s="1"/>
  <c r="A620" i="1" s="1"/>
  <c r="A621" i="1" s="1"/>
  <c r="A622" i="1" s="1"/>
  <c r="A623" i="1" s="1"/>
  <c r="A624" i="1" s="1"/>
  <c r="A625" i="1" s="1"/>
  <c r="A626" i="1" s="1"/>
  <c r="A627" i="1" s="1"/>
  <c r="A628" i="1" s="1"/>
  <c r="A629" i="1" s="1"/>
  <c r="A630" i="1" s="1"/>
  <c r="A631" i="1" s="1"/>
  <c r="A632" i="1" s="1"/>
  <c r="A633" i="1" s="1"/>
  <c r="A634" i="1" s="1"/>
  <c r="A635" i="1" s="1"/>
  <c r="A636" i="1" s="1"/>
  <c r="A637" i="1" s="1"/>
  <c r="A638" i="1" s="1"/>
  <c r="A639" i="1" s="1"/>
  <c r="A640" i="1" s="1"/>
  <c r="A641" i="1" s="1"/>
  <c r="A642" i="1" s="1"/>
  <c r="A643" i="1" s="1"/>
  <c r="A644" i="1" s="1"/>
  <c r="A645" i="1" s="1"/>
  <c r="A646" i="1" s="1"/>
  <c r="A647" i="1" s="1"/>
  <c r="A648" i="1" s="1"/>
  <c r="A649" i="1" s="1"/>
  <c r="A650" i="1" s="1"/>
  <c r="A651" i="1" s="1"/>
  <c r="A652" i="1" s="1"/>
  <c r="A653" i="1" s="1"/>
  <c r="A654" i="1" s="1"/>
  <c r="A655" i="1" s="1"/>
  <c r="A656" i="1" s="1"/>
  <c r="A657" i="1" s="1"/>
  <c r="A658" i="1" s="1"/>
  <c r="A659" i="1" s="1"/>
  <c r="A660" i="1" s="1"/>
  <c r="A661" i="1" s="1"/>
  <c r="A662" i="1" s="1"/>
  <c r="A663" i="1" s="1"/>
  <c r="A664" i="1" s="1"/>
  <c r="A665" i="1" s="1"/>
  <c r="A666" i="1" s="1"/>
  <c r="A667" i="1" s="1"/>
  <c r="A668" i="1" s="1"/>
  <c r="A669" i="1" s="1"/>
  <c r="A670" i="1" s="1"/>
  <c r="A671" i="1" s="1"/>
  <c r="A672" i="1" s="1"/>
  <c r="A673" i="1" s="1"/>
  <c r="A674" i="1" s="1"/>
  <c r="A675" i="1" s="1"/>
  <c r="A676" i="1" s="1"/>
  <c r="A677" i="1" s="1"/>
  <c r="A678" i="1" s="1"/>
  <c r="A679" i="1" s="1"/>
  <c r="A680" i="1" s="1"/>
  <c r="A681" i="1" s="1"/>
  <c r="A682" i="1" s="1"/>
  <c r="A683" i="1" s="1"/>
  <c r="A684" i="1" s="1"/>
  <c r="A685" i="1" s="1"/>
  <c r="A686" i="1" s="1"/>
  <c r="A687" i="1" s="1"/>
  <c r="A688" i="1" s="1"/>
  <c r="A689" i="1" s="1"/>
  <c r="A690" i="1" s="1"/>
  <c r="A691" i="1" s="1"/>
  <c r="A692" i="1" s="1"/>
  <c r="A693" i="1" s="1"/>
  <c r="A694" i="1" s="1"/>
  <c r="A695" i="1" s="1"/>
  <c r="A696" i="1" s="1"/>
  <c r="A697" i="1" s="1"/>
  <c r="A698" i="1" s="1"/>
  <c r="A699" i="1" s="1"/>
  <c r="A700" i="1" s="1"/>
  <c r="A701" i="1" s="1"/>
  <c r="A702" i="1" s="1"/>
  <c r="A703" i="1" s="1"/>
  <c r="A704" i="1" s="1"/>
  <c r="A705" i="1" s="1"/>
  <c r="A706" i="1" s="1"/>
  <c r="H405" i="1"/>
  <c r="H789" i="1"/>
  <c r="C1039" i="1"/>
  <c r="N74" i="1"/>
  <c r="M74" i="1"/>
  <c r="L74" i="1"/>
  <c r="K74" i="1"/>
  <c r="J74" i="1"/>
  <c r="N73" i="1"/>
  <c r="M73" i="1"/>
  <c r="L73" i="1"/>
  <c r="K73" i="1"/>
  <c r="J73" i="1"/>
  <c r="N72" i="1"/>
  <c r="M72" i="1"/>
  <c r="L72" i="1"/>
  <c r="K72" i="1"/>
  <c r="J72" i="1"/>
  <c r="N71" i="1"/>
  <c r="M71" i="1"/>
  <c r="L71" i="1"/>
  <c r="K71" i="1"/>
  <c r="J71" i="1"/>
  <c r="N70" i="1"/>
  <c r="M70" i="1"/>
  <c r="L70" i="1"/>
  <c r="K70" i="1"/>
  <c r="J70" i="1"/>
  <c r="N69" i="1"/>
  <c r="M69" i="1"/>
  <c r="L69" i="1"/>
  <c r="K69" i="1"/>
  <c r="J69" i="1"/>
  <c r="N68" i="1"/>
  <c r="M68" i="1"/>
  <c r="L68" i="1"/>
  <c r="K68" i="1"/>
  <c r="J68" i="1"/>
  <c r="N67" i="1"/>
  <c r="M67" i="1"/>
  <c r="L67" i="1"/>
  <c r="K67" i="1"/>
  <c r="J67" i="1"/>
  <c r="N66" i="1"/>
  <c r="M66" i="1"/>
  <c r="L66" i="1"/>
  <c r="K66" i="1"/>
  <c r="J66" i="1"/>
  <c r="N65" i="1"/>
  <c r="M65" i="1"/>
  <c r="L65" i="1"/>
  <c r="K65" i="1"/>
  <c r="J65" i="1"/>
  <c r="N64" i="1"/>
  <c r="M64" i="1"/>
  <c r="L64" i="1"/>
  <c r="K64" i="1"/>
  <c r="J64" i="1"/>
  <c r="N63" i="1"/>
  <c r="M63" i="1"/>
  <c r="L63" i="1"/>
  <c r="K63" i="1"/>
  <c r="J63" i="1"/>
  <c r="N62" i="1"/>
  <c r="M62" i="1"/>
  <c r="L62" i="1"/>
  <c r="K62" i="1"/>
  <c r="J62" i="1"/>
  <c r="N61" i="1"/>
  <c r="M61" i="1"/>
  <c r="L61" i="1"/>
  <c r="K61" i="1"/>
  <c r="J61" i="1"/>
  <c r="N60" i="1"/>
  <c r="M60" i="1"/>
  <c r="L60" i="1"/>
  <c r="K60" i="1"/>
  <c r="J60" i="1"/>
  <c r="N59" i="1"/>
  <c r="M59" i="1"/>
  <c r="L59" i="1"/>
  <c r="K59" i="1"/>
  <c r="J59" i="1"/>
  <c r="N58" i="1"/>
  <c r="M58" i="1"/>
  <c r="L58" i="1"/>
  <c r="K58" i="1"/>
  <c r="J58" i="1"/>
  <c r="N57" i="1"/>
  <c r="M57" i="1"/>
  <c r="L57" i="1"/>
  <c r="K57" i="1"/>
  <c r="J57" i="1"/>
  <c r="N56" i="1"/>
  <c r="M56" i="1"/>
  <c r="L56" i="1"/>
  <c r="K56" i="1"/>
  <c r="J56" i="1"/>
  <c r="N55" i="1"/>
  <c r="M55" i="1"/>
  <c r="L55" i="1"/>
  <c r="K55" i="1"/>
  <c r="J55" i="1"/>
  <c r="N54" i="1"/>
  <c r="M54" i="1"/>
  <c r="L54" i="1"/>
  <c r="K54" i="1"/>
  <c r="J54" i="1"/>
  <c r="N53" i="1"/>
  <c r="M53" i="1"/>
  <c r="L53" i="1"/>
  <c r="K53" i="1"/>
  <c r="J53" i="1"/>
  <c r="N52" i="1"/>
  <c r="M52" i="1"/>
  <c r="L52" i="1"/>
  <c r="K52" i="1"/>
  <c r="J52" i="1"/>
  <c r="N51" i="1"/>
  <c r="M51" i="1"/>
  <c r="L51" i="1"/>
  <c r="K51" i="1"/>
  <c r="J51" i="1"/>
  <c r="N50" i="1"/>
  <c r="M50" i="1"/>
  <c r="L50" i="1"/>
  <c r="K50" i="1"/>
  <c r="J50" i="1"/>
  <c r="N49" i="1"/>
  <c r="M49" i="1"/>
  <c r="L49" i="1"/>
  <c r="K49" i="1"/>
  <c r="J49" i="1"/>
  <c r="N48" i="1"/>
  <c r="M48" i="1"/>
  <c r="L48" i="1"/>
  <c r="K48" i="1"/>
  <c r="J48" i="1"/>
  <c r="N47" i="1"/>
  <c r="M47" i="1"/>
  <c r="L47" i="1"/>
  <c r="N46" i="1"/>
  <c r="M46" i="1"/>
  <c r="L46" i="1"/>
  <c r="K46" i="1"/>
  <c r="J46" i="1"/>
  <c r="N45" i="1"/>
  <c r="M45" i="1"/>
  <c r="L45" i="1"/>
  <c r="K45" i="1"/>
  <c r="J45" i="1"/>
  <c r="N44" i="1"/>
  <c r="M44" i="1"/>
  <c r="L44" i="1"/>
  <c r="K44" i="1"/>
  <c r="J44" i="1"/>
  <c r="N43" i="1"/>
  <c r="M43" i="1"/>
  <c r="L43" i="1"/>
  <c r="K43" i="1"/>
  <c r="J43" i="1"/>
  <c r="N42" i="1"/>
  <c r="M42" i="1"/>
  <c r="L42" i="1"/>
  <c r="K42" i="1"/>
  <c r="J42" i="1"/>
  <c r="N41" i="1"/>
  <c r="M41" i="1"/>
  <c r="L41" i="1"/>
  <c r="K41" i="1"/>
  <c r="J41" i="1"/>
  <c r="N40" i="1"/>
  <c r="M40" i="1"/>
  <c r="L40" i="1"/>
  <c r="K40" i="1"/>
  <c r="J40" i="1"/>
  <c r="N39" i="1"/>
  <c r="M39" i="1"/>
  <c r="L39" i="1"/>
  <c r="K39" i="1"/>
  <c r="J39" i="1"/>
  <c r="N38" i="1"/>
  <c r="M38" i="1"/>
  <c r="L38" i="1"/>
  <c r="K38" i="1"/>
  <c r="J38" i="1"/>
  <c r="N37" i="1"/>
  <c r="M37" i="1"/>
  <c r="L37" i="1"/>
  <c r="K37" i="1"/>
  <c r="J37" i="1"/>
  <c r="N36" i="1"/>
  <c r="M36" i="1"/>
  <c r="L36" i="1"/>
  <c r="K36" i="1"/>
  <c r="J36" i="1"/>
  <c r="N35" i="1"/>
  <c r="M35" i="1"/>
  <c r="L35" i="1"/>
  <c r="K35" i="1"/>
  <c r="J35" i="1"/>
  <c r="N34" i="1"/>
  <c r="M34" i="1"/>
  <c r="L34" i="1"/>
  <c r="K34" i="1"/>
  <c r="J34" i="1"/>
  <c r="N33" i="1"/>
  <c r="M33" i="1"/>
  <c r="L33" i="1"/>
  <c r="K33" i="1"/>
  <c r="J33" i="1"/>
  <c r="N32" i="1"/>
  <c r="M32" i="1"/>
  <c r="L32" i="1"/>
  <c r="K32" i="1"/>
  <c r="J32" i="1"/>
  <c r="N31" i="1"/>
  <c r="M31" i="1"/>
  <c r="L31" i="1"/>
  <c r="K31" i="1"/>
  <c r="J31" i="1"/>
  <c r="N30" i="1"/>
  <c r="M30" i="1"/>
  <c r="L30" i="1"/>
  <c r="K30" i="1"/>
  <c r="J30" i="1"/>
  <c r="N29" i="1"/>
  <c r="M29" i="1"/>
  <c r="L29" i="1"/>
  <c r="K29" i="1"/>
  <c r="J29" i="1"/>
  <c r="N28" i="1"/>
  <c r="M28" i="1"/>
  <c r="L28" i="1"/>
  <c r="K28" i="1"/>
  <c r="J28" i="1"/>
  <c r="N27" i="1"/>
  <c r="M27" i="1"/>
  <c r="L27" i="1"/>
  <c r="K27" i="1"/>
  <c r="J27" i="1"/>
  <c r="N26" i="1"/>
  <c r="M26" i="1"/>
  <c r="L26" i="1"/>
  <c r="K26" i="1"/>
  <c r="J26" i="1"/>
  <c r="N25" i="1"/>
  <c r="M25" i="1"/>
  <c r="L25" i="1"/>
  <c r="K25" i="1"/>
  <c r="J25" i="1"/>
  <c r="N24" i="1"/>
  <c r="M24" i="1"/>
  <c r="L24" i="1"/>
  <c r="K24" i="1"/>
  <c r="J24" i="1"/>
  <c r="N23" i="1"/>
  <c r="M23" i="1"/>
  <c r="L23" i="1"/>
  <c r="K23" i="1"/>
  <c r="J23" i="1"/>
  <c r="N22" i="1"/>
  <c r="M22" i="1"/>
  <c r="L22" i="1"/>
  <c r="K22" i="1"/>
  <c r="J22" i="1"/>
  <c r="N21" i="1"/>
  <c r="M21" i="1"/>
  <c r="L21" i="1"/>
  <c r="K21" i="1"/>
  <c r="J21" i="1"/>
  <c r="N20" i="1"/>
  <c r="M20" i="1"/>
  <c r="L20" i="1"/>
  <c r="K20" i="1"/>
  <c r="J20" i="1"/>
  <c r="N19" i="1"/>
  <c r="M19" i="1"/>
  <c r="L19" i="1"/>
  <c r="K47" i="1"/>
  <c r="J47" i="1"/>
  <c r="K19" i="1"/>
  <c r="J19" i="1"/>
  <c r="N109" i="1"/>
  <c r="O56" i="10" l="1" a="1"/>
  <c r="Q28" i="10"/>
  <c r="AE27" i="10"/>
  <c r="U20" i="10"/>
  <c r="V20" i="10" s="1"/>
  <c r="W20" i="10" s="1"/>
  <c r="X20" i="10" s="1"/>
  <c r="Y20" i="10" s="1"/>
  <c r="Z20" i="10" s="1"/>
  <c r="AA20" i="10" s="1"/>
  <c r="AB20" i="10" s="1"/>
  <c r="AC20" i="10" s="1"/>
  <c r="A707" i="1"/>
  <c r="A708" i="1" s="1"/>
  <c r="A709" i="1" s="1"/>
  <c r="A710" i="1" s="1"/>
  <c r="A711" i="1" s="1"/>
  <c r="A712" i="1" s="1"/>
  <c r="A713" i="1" s="1"/>
  <c r="A714" i="1" s="1"/>
  <c r="A715" i="1" s="1"/>
  <c r="A716" i="1" s="1"/>
  <c r="A717" i="1" s="1"/>
  <c r="A718" i="1" s="1"/>
  <c r="A719" i="1" s="1"/>
  <c r="A720" i="1" s="1"/>
  <c r="A721" i="1" s="1"/>
  <c r="A722" i="1" s="1"/>
  <c r="A723" i="1" s="1"/>
  <c r="A724" i="1" s="1"/>
  <c r="A725" i="1" s="1"/>
  <c r="A726" i="1" s="1"/>
  <c r="A727" i="1" s="1"/>
  <c r="A728" i="1" s="1"/>
  <c r="A729" i="1" s="1"/>
  <c r="A730" i="1" s="1"/>
  <c r="A731" i="1" s="1"/>
  <c r="A732" i="1" s="1"/>
  <c r="A733" i="1" s="1"/>
  <c r="A734" i="1" s="1"/>
  <c r="A735" i="1" s="1"/>
  <c r="A736" i="1" s="1"/>
  <c r="A737" i="1" s="1"/>
  <c r="A738" i="1" s="1"/>
  <c r="A739" i="1" s="1"/>
  <c r="A740" i="1" s="1"/>
  <c r="A741" i="1" s="1"/>
  <c r="A742" i="1" s="1"/>
  <c r="A743" i="1" s="1"/>
  <c r="A744" i="1" s="1"/>
  <c r="A745" i="1" s="1"/>
  <c r="A746" i="1" s="1"/>
  <c r="A747" i="1" s="1"/>
  <c r="A748" i="1" s="1"/>
  <c r="A749" i="1" s="1"/>
  <c r="A750" i="1" s="1"/>
  <c r="A751" i="1" s="1"/>
  <c r="A752" i="1" s="1"/>
  <c r="A753" i="1" s="1"/>
  <c r="A754" i="1" s="1"/>
  <c r="A755" i="1" s="1"/>
  <c r="A756" i="1" s="1"/>
  <c r="A757" i="1" s="1"/>
  <c r="A758" i="1" s="1"/>
  <c r="A759" i="1" s="1"/>
  <c r="A760" i="1" s="1"/>
  <c r="A761" i="1" s="1"/>
  <c r="A762" i="1" s="1"/>
  <c r="A763" i="1" s="1"/>
  <c r="A764" i="1" s="1"/>
  <c r="A765" i="1" s="1"/>
  <c r="A766" i="1" s="1"/>
  <c r="A767" i="1" s="1"/>
  <c r="A768" i="1" s="1"/>
  <c r="A769" i="1" s="1"/>
  <c r="A770" i="1" s="1"/>
  <c r="A771" i="1" s="1"/>
  <c r="A772" i="1" s="1"/>
  <c r="A773" i="1" s="1"/>
  <c r="A774" i="1" s="1"/>
  <c r="A775" i="1" s="1"/>
  <c r="A776" i="1" s="1"/>
  <c r="A777" i="1" s="1"/>
  <c r="A778" i="1" s="1"/>
  <c r="A779" i="1" s="1"/>
  <c r="A780" i="1" s="1"/>
  <c r="A781" i="1" s="1"/>
  <c r="A782" i="1" s="1"/>
  <c r="A783" i="1" s="1"/>
  <c r="A784" i="1" s="1"/>
  <c r="A785" i="1" s="1"/>
  <c r="A786" i="1" s="1"/>
  <c r="A787" i="1" s="1"/>
  <c r="A788" i="1" s="1"/>
  <c r="A789" i="1" s="1"/>
  <c r="A790" i="1" s="1"/>
  <c r="A791" i="1" s="1"/>
  <c r="A792" i="1" s="1"/>
  <c r="A793" i="1" s="1"/>
  <c r="A794" i="1" s="1"/>
  <c r="A795" i="1" s="1"/>
  <c r="A796" i="1" s="1"/>
  <c r="A797" i="1" s="1"/>
  <c r="A798" i="1" s="1"/>
  <c r="A799" i="1" s="1"/>
  <c r="A800" i="1" s="1"/>
  <c r="A801" i="1" s="1"/>
  <c r="A802" i="1" s="1"/>
  <c r="A803" i="1" s="1"/>
  <c r="A804" i="1" s="1"/>
  <c r="A805" i="1" s="1"/>
  <c r="A806" i="1" s="1"/>
  <c r="A807" i="1" s="1"/>
  <c r="A808" i="1" s="1"/>
  <c r="A809" i="1" s="1"/>
  <c r="A810" i="1" s="1"/>
  <c r="A811" i="1" s="1"/>
  <c r="A812" i="1" s="1"/>
  <c r="A813" i="1" s="1"/>
  <c r="A814" i="1" s="1"/>
  <c r="A815" i="1" s="1"/>
  <c r="A816" i="1" s="1"/>
  <c r="A817" i="1" s="1"/>
  <c r="A818" i="1" s="1"/>
  <c r="A819" i="1" s="1"/>
  <c r="A820" i="1" s="1"/>
  <c r="A821" i="1" s="1"/>
  <c r="A822" i="1" s="1"/>
  <c r="A823" i="1" s="1"/>
  <c r="A824" i="1" s="1"/>
  <c r="A825" i="1" s="1"/>
  <c r="A826" i="1" s="1"/>
  <c r="A827" i="1" s="1"/>
  <c r="A828" i="1" s="1"/>
  <c r="A829" i="1" s="1"/>
  <c r="A830" i="1" s="1"/>
  <c r="A831" i="1" s="1"/>
  <c r="A832" i="1" s="1"/>
  <c r="A833" i="1" s="1"/>
  <c r="A834" i="1" s="1"/>
  <c r="A835" i="1" s="1"/>
  <c r="A836" i="1" s="1"/>
  <c r="A837" i="1" s="1"/>
  <c r="A838" i="1" s="1"/>
  <c r="A839" i="1" s="1"/>
  <c r="A840" i="1" s="1"/>
  <c r="A841" i="1" s="1"/>
  <c r="A842" i="1" s="1"/>
  <c r="A843" i="1" s="1"/>
  <c r="A844" i="1" s="1"/>
  <c r="A845" i="1" s="1"/>
  <c r="A846" i="1" s="1"/>
  <c r="A847" i="1" s="1"/>
  <c r="A848" i="1" s="1"/>
  <c r="A849" i="1" s="1"/>
  <c r="A850" i="1" s="1"/>
  <c r="A851" i="1" s="1"/>
  <c r="A852" i="1" s="1"/>
  <c r="A853" i="1" s="1"/>
  <c r="A854" i="1" s="1"/>
  <c r="A855" i="1" s="1"/>
  <c r="A856" i="1" s="1"/>
  <c r="A857" i="1" s="1"/>
  <c r="A858" i="1" s="1"/>
  <c r="A859" i="1" s="1"/>
  <c r="A860" i="1" s="1"/>
  <c r="A861" i="1" s="1"/>
  <c r="A862" i="1" s="1"/>
  <c r="A863" i="1" s="1"/>
  <c r="A864" i="1" s="1"/>
  <c r="A865" i="1" s="1"/>
  <c r="A866" i="1" s="1"/>
  <c r="A867" i="1" s="1"/>
  <c r="A868" i="1" s="1"/>
  <c r="A869" i="1" s="1"/>
  <c r="A870" i="1" s="1"/>
  <c r="A871" i="1" s="1"/>
  <c r="A872" i="1" s="1"/>
  <c r="A873" i="1" s="1"/>
  <c r="A874" i="1" s="1"/>
  <c r="A875" i="1" s="1"/>
  <c r="A876" i="1" s="1"/>
  <c r="A877" i="1" s="1"/>
  <c r="A878" i="1" s="1"/>
  <c r="A879" i="1" s="1"/>
  <c r="A880" i="1" s="1"/>
  <c r="A881" i="1" s="1"/>
  <c r="A882" i="1" s="1"/>
  <c r="A883" i="1" s="1"/>
  <c r="A884" i="1" s="1"/>
  <c r="A885" i="1" s="1"/>
  <c r="A886" i="1" s="1"/>
  <c r="A887" i="1" s="1"/>
  <c r="A888" i="1" s="1"/>
  <c r="A889" i="1" s="1"/>
  <c r="A890" i="1" s="1"/>
  <c r="A891" i="1" s="1"/>
  <c r="A892" i="1" s="1"/>
  <c r="A893" i="1" s="1"/>
  <c r="A894" i="1" s="1"/>
  <c r="A895" i="1" s="1"/>
  <c r="A896" i="1" s="1"/>
  <c r="A897" i="1" s="1"/>
  <c r="A898" i="1" s="1"/>
  <c r="A899" i="1" s="1"/>
  <c r="A900" i="1" s="1"/>
  <c r="A901" i="1" s="1"/>
  <c r="A902" i="1" s="1"/>
  <c r="A903" i="1" s="1"/>
  <c r="A904" i="1" s="1"/>
  <c r="A905" i="1" s="1"/>
  <c r="A906" i="1" s="1"/>
  <c r="A907" i="1" s="1"/>
  <c r="A908" i="1" s="1"/>
  <c r="A909" i="1" s="1"/>
  <c r="A910" i="1" s="1"/>
  <c r="A911" i="1" s="1"/>
  <c r="A912" i="1" s="1"/>
  <c r="A913" i="1" s="1"/>
  <c r="A914" i="1" s="1"/>
  <c r="A915" i="1" s="1"/>
  <c r="A916" i="1" s="1"/>
  <c r="A917" i="1" s="1"/>
  <c r="A918" i="1" s="1"/>
  <c r="A919" i="1" s="1"/>
  <c r="A920" i="1" s="1"/>
  <c r="A921" i="1" s="1"/>
  <c r="A922" i="1" s="1"/>
  <c r="A923" i="1" s="1"/>
  <c r="A924" i="1" s="1"/>
  <c r="A925" i="1" s="1"/>
  <c r="A926" i="1" s="1"/>
  <c r="A927" i="1" s="1"/>
  <c r="A928" i="1" s="1"/>
  <c r="A929" i="1" s="1"/>
  <c r="A930" i="1" s="1"/>
  <c r="A931" i="1" s="1"/>
  <c r="A932" i="1" s="1"/>
  <c r="A933" i="1" s="1"/>
  <c r="A934" i="1" s="1"/>
  <c r="A935" i="1" s="1"/>
  <c r="A936" i="1" s="1"/>
  <c r="A937" i="1" s="1"/>
  <c r="A938" i="1" s="1"/>
  <c r="A939" i="1" s="1"/>
  <c r="A940" i="1" s="1"/>
  <c r="A941" i="1" s="1"/>
  <c r="A942" i="1" s="1"/>
  <c r="A943" i="1" s="1"/>
  <c r="A944" i="1" s="1"/>
  <c r="A945" i="1" s="1"/>
  <c r="A946" i="1" s="1"/>
  <c r="A947" i="1" s="1"/>
  <c r="A948" i="1" s="1"/>
  <c r="A949" i="1" s="1"/>
  <c r="A950" i="1" s="1"/>
  <c r="A951" i="1" s="1"/>
  <c r="A952" i="1" s="1"/>
  <c r="A953" i="1" s="1"/>
  <c r="A954" i="1" s="1"/>
  <c r="A955" i="1" s="1"/>
  <c r="A956" i="1" s="1"/>
  <c r="A957" i="1" s="1"/>
  <c r="A958" i="1" s="1"/>
  <c r="A959" i="1" s="1"/>
  <c r="A960" i="1" s="1"/>
  <c r="A961" i="1" s="1"/>
  <c r="A962" i="1" s="1"/>
  <c r="A963" i="1" s="1"/>
  <c r="A964" i="1" s="1"/>
  <c r="A965" i="1" s="1"/>
  <c r="A966" i="1" s="1"/>
  <c r="A967" i="1" s="1"/>
  <c r="A968" i="1" s="1"/>
  <c r="A969" i="1" s="1"/>
  <c r="A970" i="1" s="1"/>
  <c r="A971" i="1" s="1"/>
  <c r="A972" i="1" s="1"/>
  <c r="A973" i="1" s="1"/>
  <c r="A974" i="1" s="1"/>
  <c r="A975" i="1" s="1"/>
  <c r="A976" i="1" s="1"/>
  <c r="A977" i="1" s="1"/>
  <c r="A978" i="1" s="1"/>
  <c r="A979" i="1" s="1"/>
  <c r="A980" i="1" s="1"/>
  <c r="A981" i="1" s="1"/>
  <c r="A982" i="1" s="1"/>
  <c r="A983" i="1" s="1"/>
  <c r="A984" i="1" s="1"/>
  <c r="A985" i="1" s="1"/>
  <c r="A986" i="1" s="1"/>
  <c r="A987" i="1" s="1"/>
  <c r="A988" i="1" s="1"/>
  <c r="A989" i="1" s="1"/>
  <c r="A990" i="1" s="1"/>
  <c r="A991" i="1" s="1"/>
  <c r="A992" i="1" s="1"/>
  <c r="A993" i="1" s="1"/>
  <c r="A994" i="1" s="1"/>
  <c r="A995" i="1" s="1"/>
  <c r="A996" i="1" s="1"/>
  <c r="A997" i="1" s="1"/>
  <c r="A998" i="1" s="1"/>
  <c r="A999" i="1" s="1"/>
  <c r="A1000" i="1" s="1"/>
  <c r="A1001" i="1" s="1"/>
  <c r="A1002" i="1" s="1"/>
  <c r="A1003" i="1" s="1"/>
  <c r="A1004" i="1" s="1"/>
  <c r="A1005" i="1" s="1"/>
  <c r="A1006" i="1" s="1"/>
  <c r="A1007" i="1" s="1"/>
  <c r="A1008" i="1" s="1"/>
  <c r="A1009" i="1" s="1"/>
  <c r="A1010" i="1" s="1"/>
  <c r="A1011" i="1" s="1"/>
  <c r="A1012" i="1" s="1"/>
  <c r="A1013" i="1" s="1"/>
  <c r="A1014" i="1" s="1"/>
  <c r="A1015" i="1" s="1"/>
  <c r="A1016" i="1" s="1"/>
  <c r="A1017" i="1" s="1"/>
  <c r="A1018" i="1" s="1"/>
  <c r="A1019" i="1" s="1"/>
  <c r="A1020" i="1" s="1"/>
  <c r="A1021" i="1" s="1"/>
  <c r="A1022" i="1" s="1"/>
  <c r="A1023" i="1" s="1"/>
  <c r="A1024" i="1" s="1"/>
  <c r="A1025" i="1" s="1"/>
  <c r="A1026" i="1" s="1"/>
  <c r="A1027" i="1" s="1"/>
  <c r="A1028" i="1" s="1"/>
  <c r="A1029" i="1" s="1"/>
  <c r="A1030" i="1" s="1"/>
  <c r="A1031" i="1" s="1"/>
  <c r="A1032" i="1" s="1"/>
  <c r="A1033" i="1" s="1"/>
  <c r="A1034" i="1" s="1"/>
  <c r="A1035" i="1" s="1"/>
  <c r="H229" i="1"/>
  <c r="H149" i="1"/>
  <c r="H356" i="1"/>
  <c r="H175" i="1"/>
  <c r="H345" i="1"/>
  <c r="H147" i="1"/>
  <c r="H242" i="1"/>
  <c r="H169" i="1"/>
  <c r="O56" i="10" l="1"/>
  <c r="O74" i="10" s="1"/>
  <c r="AC88" i="10"/>
  <c r="U88" i="10"/>
  <c r="AB87" i="10"/>
  <c r="T87" i="10"/>
  <c r="AA86" i="10"/>
  <c r="S86" i="10"/>
  <c r="Z85" i="10"/>
  <c r="R85" i="10"/>
  <c r="Y84" i="10"/>
  <c r="Q84" i="10"/>
  <c r="X83" i="10"/>
  <c r="P83" i="10"/>
  <c r="W82" i="10"/>
  <c r="O82" i="10"/>
  <c r="V81" i="10"/>
  <c r="AC80" i="10"/>
  <c r="U80" i="10"/>
  <c r="AB79" i="10"/>
  <c r="T79" i="10"/>
  <c r="AA78" i="10"/>
  <c r="S78" i="10"/>
  <c r="Z77" i="10"/>
  <c r="R77" i="10"/>
  <c r="Y76" i="10"/>
  <c r="Q76" i="10"/>
  <c r="X75" i="10"/>
  <c r="P75" i="10"/>
  <c r="W74" i="10"/>
  <c r="AB88" i="10"/>
  <c r="T88" i="10"/>
  <c r="AA87" i="10"/>
  <c r="S87" i="10"/>
  <c r="Z86" i="10"/>
  <c r="R86" i="10"/>
  <c r="Y85" i="10"/>
  <c r="Q85" i="10"/>
  <c r="X84" i="10"/>
  <c r="P84" i="10"/>
  <c r="W83" i="10"/>
  <c r="O83" i="10"/>
  <c r="V82" i="10"/>
  <c r="AC81" i="10"/>
  <c r="U81" i="10"/>
  <c r="AB80" i="10"/>
  <c r="T80" i="10"/>
  <c r="AA79" i="10"/>
  <c r="S79" i="10"/>
  <c r="Z78" i="10"/>
  <c r="R78" i="10"/>
  <c r="Y77" i="10"/>
  <c r="Q77" i="10"/>
  <c r="X76" i="10"/>
  <c r="P76" i="10"/>
  <c r="W75" i="10"/>
  <c r="O75" i="10"/>
  <c r="V74" i="10"/>
  <c r="AA88" i="10"/>
  <c r="S88" i="10"/>
  <c r="Z87" i="10"/>
  <c r="R87" i="10"/>
  <c r="Y86" i="10"/>
  <c r="Q86" i="10"/>
  <c r="X85" i="10"/>
  <c r="P85" i="10"/>
  <c r="W84" i="10"/>
  <c r="O84" i="10"/>
  <c r="V83" i="10"/>
  <c r="AC82" i="10"/>
  <c r="U82" i="10"/>
  <c r="AB81" i="10"/>
  <c r="T81" i="10"/>
  <c r="AA80" i="10"/>
  <c r="S80" i="10"/>
  <c r="Z79" i="10"/>
  <c r="R79" i="10"/>
  <c r="Y78" i="10"/>
  <c r="Q78" i="10"/>
  <c r="X77" i="10"/>
  <c r="P77" i="10"/>
  <c r="W76" i="10"/>
  <c r="O76" i="10"/>
  <c r="V75" i="10"/>
  <c r="AC74" i="10"/>
  <c r="U74" i="10"/>
  <c r="Z88" i="10"/>
  <c r="R88" i="10"/>
  <c r="Y87" i="10"/>
  <c r="Q87" i="10"/>
  <c r="X86" i="10"/>
  <c r="P86" i="10"/>
  <c r="W85" i="10"/>
  <c r="O85" i="10"/>
  <c r="V84" i="10"/>
  <c r="AC83" i="10"/>
  <c r="U83" i="10"/>
  <c r="AB82" i="10"/>
  <c r="T82" i="10"/>
  <c r="AA81" i="10"/>
  <c r="S81" i="10"/>
  <c r="Z80" i="10"/>
  <c r="R80" i="10"/>
  <c r="Y79" i="10"/>
  <c r="Q79" i="10"/>
  <c r="X78" i="10"/>
  <c r="P78" i="10"/>
  <c r="W77" i="10"/>
  <c r="O77" i="10"/>
  <c r="V76" i="10"/>
  <c r="AC75" i="10"/>
  <c r="U75" i="10"/>
  <c r="AB74" i="10"/>
  <c r="T74" i="10"/>
  <c r="Y88" i="10"/>
  <c r="Q88" i="10"/>
  <c r="X87" i="10"/>
  <c r="P87" i="10"/>
  <c r="W86" i="10"/>
  <c r="O86" i="10"/>
  <c r="V85" i="10"/>
  <c r="AC84" i="10"/>
  <c r="U84" i="10"/>
  <c r="AB83" i="10"/>
  <c r="T83" i="10"/>
  <c r="AA82" i="10"/>
  <c r="S82" i="10"/>
  <c r="Z81" i="10"/>
  <c r="R81" i="10"/>
  <c r="Y80" i="10"/>
  <c r="Q80" i="10"/>
  <c r="X79" i="10"/>
  <c r="P79" i="10"/>
  <c r="W78" i="10"/>
  <c r="O78" i="10"/>
  <c r="V77" i="10"/>
  <c r="AC76" i="10"/>
  <c r="U76" i="10"/>
  <c r="AB75" i="10"/>
  <c r="T75" i="10"/>
  <c r="AA74" i="10"/>
  <c r="S74" i="10"/>
  <c r="X88" i="10"/>
  <c r="P88" i="10"/>
  <c r="W87" i="10"/>
  <c r="O87" i="10"/>
  <c r="V86" i="10"/>
  <c r="AC85" i="10"/>
  <c r="U85" i="10"/>
  <c r="AB84" i="10"/>
  <c r="T84" i="10"/>
  <c r="AA83" i="10"/>
  <c r="S83" i="10"/>
  <c r="Z82" i="10"/>
  <c r="R82" i="10"/>
  <c r="Y81" i="10"/>
  <c r="Q81" i="10"/>
  <c r="X80" i="10"/>
  <c r="P80" i="10"/>
  <c r="W79" i="10"/>
  <c r="O79" i="10"/>
  <c r="AE79" i="10" s="1"/>
  <c r="V78" i="10"/>
  <c r="AC77" i="10"/>
  <c r="U77" i="10"/>
  <c r="AB76" i="10"/>
  <c r="T76" i="10"/>
  <c r="AA75" i="10"/>
  <c r="S75" i="10"/>
  <c r="Z74" i="10"/>
  <c r="R74" i="10"/>
  <c r="W88" i="10"/>
  <c r="O88" i="10"/>
  <c r="V87" i="10"/>
  <c r="AC86" i="10"/>
  <c r="U86" i="10"/>
  <c r="AB85" i="10"/>
  <c r="T85" i="10"/>
  <c r="AA84" i="10"/>
  <c r="S84" i="10"/>
  <c r="Z83" i="10"/>
  <c r="R83" i="10"/>
  <c r="Y82" i="10"/>
  <c r="Q82" i="10"/>
  <c r="X81" i="10"/>
  <c r="P81" i="10"/>
  <c r="W80" i="10"/>
  <c r="O80" i="10"/>
  <c r="V79" i="10"/>
  <c r="AC78" i="10"/>
  <c r="U78" i="10"/>
  <c r="AB77" i="10"/>
  <c r="T77" i="10"/>
  <c r="AA76" i="10"/>
  <c r="S76" i="10"/>
  <c r="Z75" i="10"/>
  <c r="R75" i="10"/>
  <c r="Y74" i="10"/>
  <c r="Q74" i="10"/>
  <c r="V88" i="10"/>
  <c r="AC87" i="10"/>
  <c r="U87" i="10"/>
  <c r="AB86" i="10"/>
  <c r="T86" i="10"/>
  <c r="AA85" i="10"/>
  <c r="S85" i="10"/>
  <c r="Z84" i="10"/>
  <c r="R84" i="10"/>
  <c r="Y83" i="10"/>
  <c r="Q83" i="10"/>
  <c r="X82" i="10"/>
  <c r="P82" i="10"/>
  <c r="W81" i="10"/>
  <c r="O81" i="10"/>
  <c r="V80" i="10"/>
  <c r="AC79" i="10"/>
  <c r="U79" i="10"/>
  <c r="AB78" i="10"/>
  <c r="T78" i="10"/>
  <c r="AA77" i="10"/>
  <c r="S77" i="10"/>
  <c r="Z76" i="10"/>
  <c r="R76" i="10"/>
  <c r="Y75" i="10"/>
  <c r="Q75" i="10"/>
  <c r="X74" i="10"/>
  <c r="P74" i="10"/>
  <c r="Q29" i="10"/>
  <c r="AE28" i="10"/>
  <c r="U21" i="10"/>
  <c r="V21" i="10" s="1"/>
  <c r="W21" i="10" s="1"/>
  <c r="X21" i="10" s="1"/>
  <c r="Y21" i="10" s="1"/>
  <c r="Z21" i="10" s="1"/>
  <c r="AA21" i="10" s="1"/>
  <c r="AB21" i="10" s="1"/>
  <c r="AC21" i="10" s="1"/>
  <c r="H276" i="1"/>
  <c r="AE86" i="10" l="1"/>
  <c r="AE75" i="10"/>
  <c r="AE82" i="10"/>
  <c r="AE85" i="10"/>
  <c r="AE81" i="10"/>
  <c r="AE77" i="10"/>
  <c r="AE84" i="10"/>
  <c r="AE78" i="10"/>
  <c r="AE88" i="10"/>
  <c r="AE80" i="10"/>
  <c r="AE76" i="10"/>
  <c r="AE87" i="10"/>
  <c r="AE83" i="10"/>
  <c r="AE74" i="10"/>
  <c r="AE29" i="10"/>
  <c r="Q30" i="10"/>
  <c r="V22" i="10"/>
  <c r="W22" i="10" s="1"/>
  <c r="X22" i="10" s="1"/>
  <c r="Y22" i="10" s="1"/>
  <c r="Z22" i="10" s="1"/>
  <c r="AA22" i="10" s="1"/>
  <c r="AB22" i="10" s="1"/>
  <c r="AC22" i="10" s="1"/>
  <c r="H492" i="1"/>
  <c r="Q31" i="10" l="1"/>
  <c r="AE30" i="10"/>
  <c r="W23" i="10"/>
  <c r="X23" i="10" s="1"/>
  <c r="Y23" i="10" s="1"/>
  <c r="Z23" i="10" s="1"/>
  <c r="AA23" i="10" s="1"/>
  <c r="AB23" i="10" s="1"/>
  <c r="AC23" i="10" s="1"/>
  <c r="C1037" i="1"/>
  <c r="H553" i="1"/>
  <c r="H531" i="1"/>
  <c r="H740" i="1"/>
  <c r="H559" i="1"/>
  <c r="H626" i="1"/>
  <c r="H613" i="1"/>
  <c r="H533" i="1"/>
  <c r="H729" i="1"/>
  <c r="AE31" i="10" l="1"/>
  <c r="Q32" i="10"/>
  <c r="AE32" i="10" s="1"/>
  <c r="X24" i="10"/>
  <c r="Y24" i="10" s="1"/>
  <c r="Z24" i="10" s="1"/>
  <c r="AA24" i="10" s="1"/>
  <c r="AB24" i="10" s="1"/>
  <c r="AC24" i="10" s="1"/>
  <c r="H660" i="1"/>
  <c r="Y25" i="10" l="1"/>
  <c r="Z25" i="10" s="1"/>
  <c r="AA25" i="10" s="1"/>
  <c r="AB25" i="10" s="1"/>
  <c r="AC25" i="10" s="1"/>
  <c r="H916" i="1"/>
  <c r="H912" i="1"/>
  <c r="H910" i="1"/>
  <c r="Z26" i="10" l="1"/>
  <c r="AA26" i="10" s="1"/>
  <c r="AB26" i="10" s="1"/>
  <c r="AC26" i="10" s="1"/>
  <c r="H925" i="1"/>
  <c r="C1042" i="1"/>
  <c r="H973" i="1"/>
  <c r="H982" i="1"/>
  <c r="H969" i="1"/>
  <c r="H967" i="1"/>
  <c r="AA27" i="10" l="1"/>
  <c r="AB27" i="10" s="1"/>
  <c r="AC27" i="10" s="1"/>
  <c r="AB28" i="10" l="1"/>
  <c r="AC28" i="10" s="1"/>
  <c r="AC29" i="10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<sst xmlns="http://schemas.openxmlformats.org/spreadsheetml/2006/main" count="1777" uniqueCount="1114">
  <si>
    <t>Man_StandingJump_FW_UP_01</t>
  </si>
  <si>
    <t>Images</t>
  </si>
  <si>
    <t>Foreground</t>
  </si>
  <si>
    <t>Middleground</t>
  </si>
  <si>
    <t>Background</t>
  </si>
  <si>
    <t>Man_StandingJump_RH_UP_01</t>
  </si>
  <si>
    <t>Man_StandingJump_LH_UPandOver_01</t>
  </si>
  <si>
    <t>Man_StandingJump_RH_UPandOver_01</t>
  </si>
  <si>
    <t>Man_StandingJump_RH_UPandOver_02</t>
  </si>
  <si>
    <t>Man_StandingJump_RH_UPandOver_03</t>
  </si>
  <si>
    <t>Man_StandingJump_RH_UPandOver_04</t>
  </si>
  <si>
    <t>Man_StandingJump_RH_UPandOver_05</t>
  </si>
  <si>
    <t>Man_StandingJump_RH_UPandOver_06</t>
  </si>
  <si>
    <t>Man_StandingJump_LH_UPandOver_02</t>
  </si>
  <si>
    <t>Man_StandingJump_LH_UPandOver_03</t>
  </si>
  <si>
    <t>Man_StandingJump_LH_UPandOver_04</t>
  </si>
  <si>
    <t>Man_StandingJump_LH_UPandOver_05</t>
  </si>
  <si>
    <t>Man_StandingJump_LH_UPandOver_06</t>
  </si>
  <si>
    <t>Man_Walk_FallDown_RH_01</t>
  </si>
  <si>
    <t>Man_Walk_FallDown_RH_02</t>
  </si>
  <si>
    <t>Man_Walk_FallDown_RH_03</t>
  </si>
  <si>
    <t>Man_Walk_FallDown_RH_04</t>
  </si>
  <si>
    <t>Man_Walk_FallDown_RH_05</t>
  </si>
  <si>
    <t>Man_Walk_FallDown_RH_06</t>
  </si>
  <si>
    <t>Man_Walk_FallMore_RH_01</t>
  </si>
  <si>
    <t>Man_Walk_FallMore_RH_02</t>
  </si>
  <si>
    <t>Man_Walk_FallDown_LH_01</t>
  </si>
  <si>
    <t>Man_Walk_FallDown_LH_02</t>
  </si>
  <si>
    <t>Man_Walk_FallDown_LH_03</t>
  </si>
  <si>
    <t>Man_Walk_FallDown_LH_04</t>
  </si>
  <si>
    <t>Man_Walk_FallDown_LH_05</t>
  </si>
  <si>
    <t>Man_Walk_FallDown_LH_06</t>
  </si>
  <si>
    <t>Man_Walk_FallMore_LH_01</t>
  </si>
  <si>
    <t>Man_Walk_FallMore_LH_02</t>
  </si>
  <si>
    <t>Man_Walk_FallLand_RH_01</t>
  </si>
  <si>
    <t>Man_Walk_FallLand_RH_04</t>
  </si>
  <si>
    <t>Man_Walk_FallLand_RH_03</t>
  </si>
  <si>
    <t>Man_Walk_FallLand_RH_02</t>
  </si>
  <si>
    <t>Man_Walk_FallLand_LH_01</t>
  </si>
  <si>
    <t>Man_Walk_FallLand_LH_04</t>
  </si>
  <si>
    <t>Man_Walk_FallLand_LH_03</t>
  </si>
  <si>
    <t>Man_Walk_FallLand_LH_02</t>
  </si>
  <si>
    <t>Man_Walk_FW_01</t>
  </si>
  <si>
    <t>Man_Walk_BK_01</t>
  </si>
  <si>
    <t>Man_Walk_BK_02</t>
  </si>
  <si>
    <t>Man_Walk_BK_03</t>
  </si>
  <si>
    <t>Man_Walk_BK_04</t>
  </si>
  <si>
    <t>Man_StandingJump_BK_01</t>
  </si>
  <si>
    <t>Man_StandingJump_BK_02</t>
  </si>
  <si>
    <t>Man_StandingJump_BK_03</t>
  </si>
  <si>
    <t>Man_StandingJump_BK_04</t>
  </si>
  <si>
    <t>Man_StandingJump_BK_05</t>
  </si>
  <si>
    <t>Man_StandingJump_BK_06</t>
  </si>
  <si>
    <t>Man_StandingJump_BK_07</t>
  </si>
  <si>
    <t>Man_StandingJump_BK_UP_02</t>
  </si>
  <si>
    <t>Man_StandingJump_BK_UP_03</t>
  </si>
  <si>
    <t>Man_StandingJump_BK_UP_04</t>
  </si>
  <si>
    <t>Man_StandingJump_BK_UP_05</t>
  </si>
  <si>
    <t>Man_StandingJump_BK_UP_06</t>
  </si>
  <si>
    <t>Man_Walk_RH_01</t>
  </si>
  <si>
    <t>Man_Walk_RH_02</t>
  </si>
  <si>
    <t>Man_Walk_RH_03</t>
  </si>
  <si>
    <t>Man_Walk_RH_04</t>
  </si>
  <si>
    <t>Man_StandingJump_RH_01</t>
  </si>
  <si>
    <t>Man_StandingJump_RH_02</t>
  </si>
  <si>
    <t>Man_StandingJump_RH_03</t>
  </si>
  <si>
    <t>Man_StandingJump_RH_04</t>
  </si>
  <si>
    <t>Man_StandingJump_RH_05</t>
  </si>
  <si>
    <t>Man_StandingJump_RH_06</t>
  </si>
  <si>
    <t>Man_StandingJump_RH_07</t>
  </si>
  <si>
    <t>Man_StandingJump_RH_UP_02</t>
  </si>
  <si>
    <t>Man_StandingJump_RH_UP_03</t>
  </si>
  <si>
    <t>Man_StandingJump_RH_UP_04</t>
  </si>
  <si>
    <t>Man_StandingJump_RH_UP_05</t>
  </si>
  <si>
    <t>Man_StandingJump_RH_UP_06</t>
  </si>
  <si>
    <t>Man_WalkingJump_RH_01</t>
  </si>
  <si>
    <t>Man_WalkingJump_RH_02</t>
  </si>
  <si>
    <t>Man_WalkingJump_RH_03</t>
  </si>
  <si>
    <t>Man_WalkingJump_RH_04</t>
  </si>
  <si>
    <t>Man_WalkingJump_RH_05</t>
  </si>
  <si>
    <t>Man_WalkingJump_RH_06</t>
  </si>
  <si>
    <t>Man_WalkingJump_RH_07</t>
  </si>
  <si>
    <t>Man_WalkingJump_RH_08</t>
  </si>
  <si>
    <t>Man_WalkingJump_RH_2_01</t>
  </si>
  <si>
    <t>Man_WalkingJump_RH_2_02</t>
  </si>
  <si>
    <t>Man_WalkingJump_RH_2_03</t>
  </si>
  <si>
    <t>Man_WalkingJump_RH_2_04</t>
  </si>
  <si>
    <t>Man_WalkingJump_RH_2_05</t>
  </si>
  <si>
    <t>Man_WalkingJump_RH_2_06</t>
  </si>
  <si>
    <t>Man_WalkingJump_RH_2_07</t>
  </si>
  <si>
    <t>Man_WalkingJump_RH_2_08</t>
  </si>
  <si>
    <t>Man_WalkingJump_RH_UP_01</t>
  </si>
  <si>
    <t>Man_WalkingJump_RH_UP_02</t>
  </si>
  <si>
    <t>Man_WalkingJump_RH_UP_03</t>
  </si>
  <si>
    <t>Man_WalkingJump_RH_UP_04</t>
  </si>
  <si>
    <t>Man_WalkingJump_RH_UP_05</t>
  </si>
  <si>
    <t>Man_Walk_FW_02</t>
  </si>
  <si>
    <t>Man_Walk_FW_03</t>
  </si>
  <si>
    <t>Man_Walk_FW_04</t>
  </si>
  <si>
    <t>Man_StandingJump_FW_01</t>
  </si>
  <si>
    <t>Man_StandingJump_FW_02</t>
  </si>
  <si>
    <t>Man_StandingJump_FW_03</t>
  </si>
  <si>
    <t>Man_StandingJump_FW_04</t>
  </si>
  <si>
    <t>Man_StandingJump_FW_05</t>
  </si>
  <si>
    <t>Man_StandingJump_FW_06</t>
  </si>
  <si>
    <t>Man_StandingJump_FW_07</t>
  </si>
  <si>
    <t>Man_StandingJump_FW_UP_02</t>
  </si>
  <si>
    <t>Man_StandingJump_FW_UP_03</t>
  </si>
  <si>
    <t>Man_StandingJump_FW_UP_04</t>
  </si>
  <si>
    <t>Man_StandingJump_FW_UP_05</t>
  </si>
  <si>
    <t>Man_StandingJump_FW_UP_06</t>
  </si>
  <si>
    <t>Man_Walk_LH_01</t>
  </si>
  <si>
    <t>Man_Walk_LH_02</t>
  </si>
  <si>
    <t>Man_Walk_LH_03</t>
  </si>
  <si>
    <t>Man_Walk_LH_04</t>
  </si>
  <si>
    <t>Man_StandingJump_LH_01</t>
  </si>
  <si>
    <t>Man_StandingJump_LH_02</t>
  </si>
  <si>
    <t>Man_StandingJump_LH_03</t>
  </si>
  <si>
    <t>Man_StandingJump_LH_04</t>
  </si>
  <si>
    <t>Man_StandingJump_LH_05</t>
  </si>
  <si>
    <t>Man_StandingJump_LH_06</t>
  </si>
  <si>
    <t>Man_StandingJump_LH_07</t>
  </si>
  <si>
    <t>Man_StandingJump_LH_UP_01</t>
  </si>
  <si>
    <t>Man_StandingJump_LH_UP_02</t>
  </si>
  <si>
    <t>Man_StandingJump_LH_UP_03</t>
  </si>
  <si>
    <t>Man_StandingJump_LH_UP_04</t>
  </si>
  <si>
    <t>Man_StandingJump_LH_UP_05</t>
  </si>
  <si>
    <t>Man_StandingJump_LH_UP_06</t>
  </si>
  <si>
    <t>Man_WalkingJump_LH_01</t>
  </si>
  <si>
    <t>Man_WalkingJump_LH_02</t>
  </si>
  <si>
    <t>Man_WalkingJump_LH_03</t>
  </si>
  <si>
    <t>Man_WalkingJump_LH_04</t>
  </si>
  <si>
    <t>Man_WalkingJump_LH_05</t>
  </si>
  <si>
    <t>Man_WalkingJump_LH_06</t>
  </si>
  <si>
    <t>Man_WalkingJump_LH_07</t>
  </si>
  <si>
    <t>Man_WalkingJump_LH_08</t>
  </si>
  <si>
    <t>Man_WalkingJump_LH_2_01</t>
  </si>
  <si>
    <t>Man_WalkingJump_LH_2_02</t>
  </si>
  <si>
    <t>Man_WalkingJump_LH_2_03</t>
  </si>
  <si>
    <t>Man_WalkingJump_LH_2_04</t>
  </si>
  <si>
    <t>Man_WalkingJump_LH_2_05</t>
  </si>
  <si>
    <t>Man_WalkingJump_LH_2_06</t>
  </si>
  <si>
    <t>Man_WalkingJump_LH_2_07</t>
  </si>
  <si>
    <t>Man_WalkingJump_LH_2_08</t>
  </si>
  <si>
    <t>Man_WalkingJump_LH_UP_01</t>
  </si>
  <si>
    <t>Man_WalkingJump_LH_UP_02</t>
  </si>
  <si>
    <t>Man_WalkingJump_LH_UP_03</t>
  </si>
  <si>
    <t>Man_WalkingJump_LH_UP_04</t>
  </si>
  <si>
    <t>Man_WalkingJump_LH_UP_05</t>
  </si>
  <si>
    <t>Man_StandingJumpDown_RH_01</t>
  </si>
  <si>
    <t>Man_StandingJumpDown_RH_02</t>
  </si>
  <si>
    <t>Man_StandingJumpDown_RH_03</t>
  </si>
  <si>
    <t>Man_StandingJumpDown_RH_04</t>
  </si>
  <si>
    <t>Man_StandingJumpDown_RH_05</t>
  </si>
  <si>
    <t>Man_StandingJumpDown_RH_06</t>
  </si>
  <si>
    <t>Man_StandingJumpDown_RH_07</t>
  </si>
  <si>
    <t>Man_StandingJumpDown_RH_08</t>
  </si>
  <si>
    <t>Man_StandingJumpDown_RH_09</t>
  </si>
  <si>
    <t>Man_StandingJump_BK_UP_01</t>
  </si>
  <si>
    <t>Man_Walk_RH_00</t>
  </si>
  <si>
    <t>Man_Walk_LH_00</t>
  </si>
  <si>
    <t>Man_ClimbStairs_RH_01</t>
  </si>
  <si>
    <t>Man_ClimbStairs_RH_02</t>
  </si>
  <si>
    <t>Man_ClimbStairs_RH_03</t>
  </si>
  <si>
    <t>Man_ClimbStairs_RH_04</t>
  </si>
  <si>
    <t>Man_ClimbStairs_RH_05</t>
  </si>
  <si>
    <t>Man_ClimbStairs_RH_06</t>
  </si>
  <si>
    <t>Man_ClimbStairs_RH_07</t>
  </si>
  <si>
    <t>Man_ClimbStairs_RH_08</t>
  </si>
  <si>
    <t>Man_DescendStairs_RH_01</t>
  </si>
  <si>
    <t>Man_DescendStairs_RH_02</t>
  </si>
  <si>
    <t>Man_DescendStairs_RH_03</t>
  </si>
  <si>
    <t>Man_DescendStairs_RH_04</t>
  </si>
  <si>
    <t>Man_DescendStairs_RH_05</t>
  </si>
  <si>
    <t>Man_DescendStairs_RH_06</t>
  </si>
  <si>
    <t>Man_DescendStairs_RH_07</t>
  </si>
  <si>
    <t>Man_DescendStairs_RH_08</t>
  </si>
  <si>
    <t>Man_ClimbStairs_LH_01</t>
  </si>
  <si>
    <t>Man_ClimbStairs_LH_02</t>
  </si>
  <si>
    <t>Man_ClimbStairs_LH_03</t>
  </si>
  <si>
    <t>Man_ClimbStairs_LH_04</t>
  </si>
  <si>
    <t>Man_ClimbStairs_LH_05</t>
  </si>
  <si>
    <t>Man_ClimbStairs_LH_06</t>
  </si>
  <si>
    <t>Man_ClimbStairs_LH_07</t>
  </si>
  <si>
    <t>Man_ClimbStairs_LH_08</t>
  </si>
  <si>
    <t>Man_DescendStairs_LH_01</t>
  </si>
  <si>
    <t>Man_DescendStairs_LH_02</t>
  </si>
  <si>
    <t>Man_DescendStairs_LH_03</t>
  </si>
  <si>
    <t>Man_DescendStairs_LH_04</t>
  </si>
  <si>
    <t>Man_DescendStairs_LH_05</t>
  </si>
  <si>
    <t>Man_DescendStairs_LH_06</t>
  </si>
  <si>
    <t>Man_DescendStairs_LH_07</t>
  </si>
  <si>
    <t>Man_DescendStairs_LH_08</t>
  </si>
  <si>
    <t>Man_StandingJump_Small_LH_01</t>
  </si>
  <si>
    <t>Man_StandingJump_Small_LH_02</t>
  </si>
  <si>
    <t>Man_StandingJump_Small_LH_03</t>
  </si>
  <si>
    <t>Man_StandingJump_Small_RH_01</t>
  </si>
  <si>
    <t>Man_StandingJump_Small_RH_03</t>
  </si>
  <si>
    <t>Man_StandingJump_Small_RH_02</t>
  </si>
  <si>
    <t>StanceY</t>
  </si>
  <si>
    <t>Man_ClimbLadder_BK_RH_UP_01</t>
  </si>
  <si>
    <t>Man_ClimbLadder_BK_RH_UP_02</t>
  </si>
  <si>
    <t>Man_ClimbLadder_BK_RH_UP_03</t>
  </si>
  <si>
    <t>Man_ClimbLadder_BK_RH_UP_04</t>
  </si>
  <si>
    <t>Man_ClimbLadder_BK_RH_UP_05</t>
  </si>
  <si>
    <t>Man_ClimbLadder_BK_RH_UP_06</t>
  </si>
  <si>
    <t>Man_ClimbLadder_BK_RH_UP_07</t>
  </si>
  <si>
    <t>Man_ClimbLadder_BK_RH_UP_08</t>
  </si>
  <si>
    <t>Man_ClimbLadder_BK_RH_UP_09</t>
  </si>
  <si>
    <t>Man_ClimbLadder_BK_RH_UP_10</t>
  </si>
  <si>
    <t>Man_ClimbLadder_BK_RH_UP_11</t>
  </si>
  <si>
    <t>Man_ClimbLadder_BK_RH_UP_12</t>
  </si>
  <si>
    <t>Man_ClimbLadder_BK_RH_UP_13</t>
  </si>
  <si>
    <t>Man_ClimbLadder_BK_RH_UP_14</t>
  </si>
  <si>
    <t>Man_ClimbLadder_BK_RH_DOWN_01</t>
  </si>
  <si>
    <t>Man_ClimbLadder_BK_RH_DOWN_02</t>
  </si>
  <si>
    <t>Man_ClimbLadder_BK_RH_DOWN_03</t>
  </si>
  <si>
    <t>Man_ClimbLadder_BK_RH_DOWN_04</t>
  </si>
  <si>
    <t>Man_ClimbLadder_BK_RH_DOWN_05</t>
  </si>
  <si>
    <t>Man_ClimbLadder_BK_RH_DOWN_06</t>
  </si>
  <si>
    <t>Man_ClimbLadder_BK_RH_DOWN_07</t>
  </si>
  <si>
    <t>Man_ClimbLadder_BK_RH_DOWN_08</t>
  </si>
  <si>
    <t>Man_ClimbLadder_BK_RH_DOWN_09</t>
  </si>
  <si>
    <t>Man_ClimbLadder_BK_RH_DOWN_10</t>
  </si>
  <si>
    <t>Man_ClimbLadder_BK_RH_DOWN_11</t>
  </si>
  <si>
    <t>Man_ClimbLadder_BK_RH_DOWN_12</t>
  </si>
  <si>
    <t>Man_ClimbLadder_BK_RH_DOWN_13</t>
  </si>
  <si>
    <t>Man_ClimbLadder_BK_RH_DOWN_14</t>
  </si>
  <si>
    <t>Man_ClimbLadder_BK_LH_UP_01</t>
  </si>
  <si>
    <t>Man_ClimbLadder_BK_LH_UP_02</t>
  </si>
  <si>
    <t>Man_ClimbLadder_BK_LH_UP_03</t>
  </si>
  <si>
    <t>Man_ClimbLadder_BK_LH_UP_04</t>
  </si>
  <si>
    <t>Man_ClimbLadder_BK_LH_UP_05</t>
  </si>
  <si>
    <t>Man_ClimbLadder_BK_LH_UP_06</t>
  </si>
  <si>
    <t>Man_ClimbLadder_BK_LH_UP_07</t>
  </si>
  <si>
    <t>Man_ClimbLadder_BK_LH_UP_08</t>
  </si>
  <si>
    <t>Man_ClimbLadder_BK_LH_UP_09</t>
  </si>
  <si>
    <t>Man_ClimbLadder_BK_LH_UP_10</t>
  </si>
  <si>
    <t>Man_ClimbLadder_BK_LH_UP_11</t>
  </si>
  <si>
    <t>Man_ClimbLadder_BK_LH_UP_12</t>
  </si>
  <si>
    <t>Man_ClimbLadder_BK_LH_UP_13</t>
  </si>
  <si>
    <t>Man_ClimbLadder_BK_LH_UP_14</t>
  </si>
  <si>
    <t>Man_ClimbLadder_BK_LH_DOWN_01</t>
  </si>
  <si>
    <t>Man_ClimbLadder_BK_LH_DOWN_02</t>
  </si>
  <si>
    <t>Man_ClimbLadder_BK_LH_DOWN_03</t>
  </si>
  <si>
    <t>Man_ClimbLadder_BK_LH_DOWN_04</t>
  </si>
  <si>
    <t>Man_ClimbLadder_BK_LH_DOWN_05</t>
  </si>
  <si>
    <t>Man_ClimbLadder_BK_LH_DOWN_06</t>
  </si>
  <si>
    <t>Man_ClimbLadder_BK_LH_DOWN_07</t>
  </si>
  <si>
    <t>Man_ClimbLadder_BK_LH_DOWN_08</t>
  </si>
  <si>
    <t>Man_ClimbLadder_BK_LH_DOWN_09</t>
  </si>
  <si>
    <t>Man_ClimbLadder_BK_LH_DOWN_10</t>
  </si>
  <si>
    <t>Man_ClimbLadder_BK_LH_DOWN_11</t>
  </si>
  <si>
    <t>Man_ClimbLadder_BK_LH_DOWN_12</t>
  </si>
  <si>
    <t>Man_ClimbLadder_BK_LH_DOWN_13</t>
  </si>
  <si>
    <t>Man_ClimbLadder_BK_LH_DOWN_14</t>
  </si>
  <si>
    <t>Man_WalkingJump_RH_25_01</t>
  </si>
  <si>
    <t>Man_WalkingJump_RH_25_02</t>
  </si>
  <si>
    <t>Man_WalkingJump_RH_25_03</t>
  </si>
  <si>
    <t>Man_WalkingJump_RH_25_04</t>
  </si>
  <si>
    <t>Man_WalkingJump_RH_25_05</t>
  </si>
  <si>
    <t>Man_WalkingJump_RH_25_06</t>
  </si>
  <si>
    <t>Man_WalkingJump_RH_25_07</t>
  </si>
  <si>
    <t>Man_WalkingJump_RH_25_08</t>
  </si>
  <si>
    <t>Man_WalkingJump_RH_25_09</t>
  </si>
  <si>
    <t>Man_WalkingJump_RH_25_10</t>
  </si>
  <si>
    <t>Man_WalkingJump_RH_25_11</t>
  </si>
  <si>
    <t>Man_WalkingJump_RH_1D_25_01</t>
  </si>
  <si>
    <t>Man_WalkingJump_RH_1D_25_02</t>
  </si>
  <si>
    <t>Man_WalkingJump_RH_1D_25_03</t>
  </si>
  <si>
    <t>Man_WalkingJump_RH_1D_25_04</t>
  </si>
  <si>
    <t>Man_WalkingJump_RH_1D_25_05</t>
  </si>
  <si>
    <t>Man_WalkingJump_RH_1D_25_06</t>
  </si>
  <si>
    <t>Man_WalkingJump_RH_1D_25_07</t>
  </si>
  <si>
    <t>Man_WalkingJump_RH_1D_25_08</t>
  </si>
  <si>
    <t>Man_WalkingJump_RH_1D_25_09</t>
  </si>
  <si>
    <t>Man_WalkingJump_RH_1D_25_10</t>
  </si>
  <si>
    <t>Man_WalkingJump_RH_1D_25_11</t>
  </si>
  <si>
    <t>Man_WalkingJump_LH_25_01</t>
  </si>
  <si>
    <t>Man_WalkingJump_LH_25_02</t>
  </si>
  <si>
    <t>Man_WalkingJump_LH_25_03</t>
  </si>
  <si>
    <t>Man_WalkingJump_LH_25_04</t>
  </si>
  <si>
    <t>Man_WalkingJump_LH_25_05</t>
  </si>
  <si>
    <t>Man_WalkingJump_LH_25_06</t>
  </si>
  <si>
    <t>Man_WalkingJump_LH_25_07</t>
  </si>
  <si>
    <t>Man_WalkingJump_LH_25_08</t>
  </si>
  <si>
    <t>Man_WalkingJump_LH_25_09</t>
  </si>
  <si>
    <t>Man_WalkingJump_LH_25_10</t>
  </si>
  <si>
    <t>Man_WalkingJump_LH_25_11</t>
  </si>
  <si>
    <t>Man_WalkingJump_LH_1D_25_01</t>
  </si>
  <si>
    <t>Man_WalkingJump_LH_1D_25_02</t>
  </si>
  <si>
    <t>Man_WalkingJump_LH_1D_25_03</t>
  </si>
  <si>
    <t>Man_WalkingJump_LH_1D_25_04</t>
  </si>
  <si>
    <t>Man_WalkingJump_LH_1D_25_05</t>
  </si>
  <si>
    <t>Man_WalkingJump_LH_1D_25_06</t>
  </si>
  <si>
    <t>Man_WalkingJump_LH_1D_25_07</t>
  </si>
  <si>
    <t>Man_WalkingJump_LH_1D_25_08</t>
  </si>
  <si>
    <t>Man_WalkingJump_LH_1D_25_09</t>
  </si>
  <si>
    <t>Man_WalkingJump_LH_1D_25_10</t>
  </si>
  <si>
    <t>Man_WalkingJump_LH_1D_25_11</t>
  </si>
  <si>
    <t>Man_Rope_Start_RH_01</t>
  </si>
  <si>
    <t>Man_Rope_Start_RH_02</t>
  </si>
  <si>
    <t>Man_Rope_Start_RH_03</t>
  </si>
  <si>
    <t>Man_Rope_Start_RH_04</t>
  </si>
  <si>
    <t>Man_Rope_Start_RH_05</t>
  </si>
  <si>
    <t>Man_Rope_Start_RH_06</t>
  </si>
  <si>
    <t>Man_Rope_Start_RH_07</t>
  </si>
  <si>
    <t>Man_Rope_End_RH_01</t>
  </si>
  <si>
    <t>Man_Rope_End_RH_02</t>
  </si>
  <si>
    <t>Man_Rope_End_RH_03</t>
  </si>
  <si>
    <t>Man_Rope_End_RH_04</t>
  </si>
  <si>
    <t>Man_Rope_End_RH_05</t>
  </si>
  <si>
    <t>Man_Rope_End_RH_06</t>
  </si>
  <si>
    <t>Man_Rope_Start_LH_01</t>
  </si>
  <si>
    <t>Man_Rope_Start_LH_02</t>
  </si>
  <si>
    <t>Man_Rope_Start_LH_03</t>
  </si>
  <si>
    <t>Man_Rope_Start_LH_04</t>
  </si>
  <si>
    <t>Man_Rope_Start_LH_05</t>
  </si>
  <si>
    <t>Man_Rope_Start_LH_06</t>
  </si>
  <si>
    <t>Man_Rope_Start_LH_07</t>
  </si>
  <si>
    <t>Man_Rope_End_LH_01</t>
  </si>
  <si>
    <t>Man_Rope_End_LH_02</t>
  </si>
  <si>
    <t>Man_Rope_End_LH_03</t>
  </si>
  <si>
    <t>Man_Rope_End_LH_04</t>
  </si>
  <si>
    <t>Man_Rope_End_LH_05</t>
  </si>
  <si>
    <t>Man_Rope_End_LH_06</t>
  </si>
  <si>
    <t>Man_Walk_FallMore_BK_01</t>
  </si>
  <si>
    <t>Man_Walk_FallMore_BK_02</t>
  </si>
  <si>
    <t>Man_Walk_FallLand_BK_02</t>
  </si>
  <si>
    <t>Man_Walk_FallLand_BK_01</t>
  </si>
  <si>
    <t>Man_Walk_FallLand_BK_03</t>
  </si>
  <si>
    <t>Man_Walk_FallLand_BK_04</t>
  </si>
  <si>
    <t>Man_BounceJump_RH_01</t>
  </si>
  <si>
    <t>Man_BounceJump_RH_02</t>
  </si>
  <si>
    <t>Man_BounceJump_RH_03</t>
  </si>
  <si>
    <t>Man_BounceJump_RH_04</t>
  </si>
  <si>
    <t>Man_BounceJump_RH_05</t>
  </si>
  <si>
    <t>Man_BounceJump_RH_06</t>
  </si>
  <si>
    <t>Man_BounceJump_RH_07</t>
  </si>
  <si>
    <t>Man_BounceJump_RH_08</t>
  </si>
  <si>
    <t>Man_BounceJump_RH_09</t>
  </si>
  <si>
    <t>Man_BounceJump_RH_10</t>
  </si>
  <si>
    <t>Man_BounceJump_RH_11</t>
  </si>
  <si>
    <t>Man_BounceJump_RH_12</t>
  </si>
  <si>
    <t>Man_BounceJump_RH_13</t>
  </si>
  <si>
    <t>Man_BounceJump_RH_14</t>
  </si>
  <si>
    <t>Man_BounceJump_RH_15</t>
  </si>
  <si>
    <t>Man_BounceJump_RH_16</t>
  </si>
  <si>
    <t>Man_BounceJump_RH_17</t>
  </si>
  <si>
    <t>Man_BounceJump_RH_18</t>
  </si>
  <si>
    <t>Man_BounceJump_RH_19</t>
  </si>
  <si>
    <t>Man_BounceJump_RH_20</t>
  </si>
  <si>
    <t>Man_BounceJump_RH_21</t>
  </si>
  <si>
    <t>Man_BounceJump_RH_22</t>
  </si>
  <si>
    <t>Man_BounceJump_RH_23</t>
  </si>
  <si>
    <t>Man_BounceJump_RH_24</t>
  </si>
  <si>
    <t>Man_BounceJump_RH_25</t>
  </si>
  <si>
    <t>Man_BounceJump_RH_26</t>
  </si>
  <si>
    <t>Man_BounceJump_RH_27</t>
  </si>
  <si>
    <t>Man_BounceJump_RH_28</t>
  </si>
  <si>
    <t>Man_BounceJump_RH_29</t>
  </si>
  <si>
    <t>Man_BounceJump_RH_30</t>
  </si>
  <si>
    <t>Man_BounceJump_RH_31</t>
  </si>
  <si>
    <t>Man_BounceJump_RH_32</t>
  </si>
  <si>
    <t>Man_BounceJump_LH_01</t>
  </si>
  <si>
    <t>Man_BounceJump_LH_02</t>
  </si>
  <si>
    <t>Man_BounceJump_LH_03</t>
  </si>
  <si>
    <t>Man_BounceJump_LH_04</t>
  </si>
  <si>
    <t>Man_BounceJump_LH_05</t>
  </si>
  <si>
    <t>Man_BounceJump_LH_06</t>
  </si>
  <si>
    <t>Man_BounceJump_LH_07</t>
  </si>
  <si>
    <t>Man_BounceJump_LH_08</t>
  </si>
  <si>
    <t>Man_BounceJump_LH_09</t>
  </si>
  <si>
    <t>Man_BounceJump_LH_10</t>
  </si>
  <si>
    <t>Man_BounceJump_LH_11</t>
  </si>
  <si>
    <t>Man_BounceJump_LH_12</t>
  </si>
  <si>
    <t>Man_BounceJump_LH_13</t>
  </si>
  <si>
    <t>Man_BounceJump_LH_14</t>
  </si>
  <si>
    <t>Man_BounceJump_LH_15</t>
  </si>
  <si>
    <t>Man_BounceJump_LH_16</t>
  </si>
  <si>
    <t>Man_BounceJump_LH_17</t>
  </si>
  <si>
    <t>Man_BounceJump_LH_18</t>
  </si>
  <si>
    <t>Man_BounceJump_LH_19</t>
  </si>
  <si>
    <t>Man_BounceJump_LH_20</t>
  </si>
  <si>
    <t>Man_BounceJump_LH_21</t>
  </si>
  <si>
    <t>Man_BounceJump_LH_22</t>
  </si>
  <si>
    <t>Man_BounceJump_LH_23</t>
  </si>
  <si>
    <t>Man_BounceJump_LH_24</t>
  </si>
  <si>
    <t>Man_BounceJump_LH_25</t>
  </si>
  <si>
    <t>Man_BounceJump_LH_26</t>
  </si>
  <si>
    <t>Man_BounceJump_LH_27</t>
  </si>
  <si>
    <t>Man_BounceJump_LH_28</t>
  </si>
  <si>
    <t>Man_BounceJump_LH_29</t>
  </si>
  <si>
    <t>Man_BounceJump_LH_30</t>
  </si>
  <si>
    <t>Man_BounceJump_LH_31</t>
  </si>
  <si>
    <t>Man_BounceJump_LH_32</t>
  </si>
  <si>
    <t>Man_BounceJump_RH_33</t>
  </si>
  <si>
    <t>Man_BounceJump_RH_34</t>
  </si>
  <si>
    <t>Man_BounceJump_LH_33</t>
  </si>
  <si>
    <t>Man_BounceJump_LH_34</t>
  </si>
  <si>
    <t>Man_Walk_FallLandSpring_BK_01</t>
  </si>
  <si>
    <t>Man_Walk_FallLandSpring_BK_02</t>
  </si>
  <si>
    <t>Man_Walk_FallLandSpring_BK_03</t>
  </si>
  <si>
    <t>Man_Walk_FallLandSpring_BK_04</t>
  </si>
  <si>
    <t>Man_Walk_FallLandSpring_BK_05</t>
  </si>
  <si>
    <t>Man_Walk_FallLandSpring_BK_06</t>
  </si>
  <si>
    <t>Man_Walk_FallLandSpring_BK_07</t>
  </si>
  <si>
    <t>Man_Walk_FallLandSpring_BK_08</t>
  </si>
  <si>
    <t>Man_Walk_FallLandSpring_BK_09</t>
  </si>
  <si>
    <t>Man_Walk_FallLandSpring_BK_10</t>
  </si>
  <si>
    <t>Man_Walk_FallLandSpring_BK_11</t>
  </si>
  <si>
    <t>Man_Walk_FallLandSpring_BK_12</t>
  </si>
  <si>
    <t>Man_Walk_FallLandSpring_BK_13</t>
  </si>
  <si>
    <t>Man_Walk_FallLandSpring_BK_14</t>
  </si>
  <si>
    <t>Man_Walk_FallLandSpring_BK_15</t>
  </si>
  <si>
    <t>Man_Walk_FallLandSpring_BK_16</t>
  </si>
  <si>
    <t>Man_Walk_FallLandSpring_BK_17</t>
  </si>
  <si>
    <t>Man_Walk_FallLandSpring_BK_18</t>
  </si>
  <si>
    <t>Man_Walk_FallLandSpring_BK_19</t>
  </si>
  <si>
    <t>Man_Walk_FallLandSpring_BK_20</t>
  </si>
  <si>
    <t>Man_Walk_FallLandSpring_BK_21</t>
  </si>
  <si>
    <t>Man_Walk_FallLandSpring_BK_22</t>
  </si>
  <si>
    <t>Man_Walk_FallLandSpring_BK_23</t>
  </si>
  <si>
    <t>Man_Walk_FallLandSpring_BK_24</t>
  </si>
  <si>
    <t>Man_Walk_FallLandSpring_BK_25</t>
  </si>
  <si>
    <t>Man_Walk_FallLandSpring_BK_26</t>
  </si>
  <si>
    <t>Man_Walk_FallLandSpring_BK_27</t>
  </si>
  <si>
    <t>Man_Walk_FallLandSpring_BK_28</t>
  </si>
  <si>
    <t>Man_ClimbStairs_LH_Half_01</t>
  </si>
  <si>
    <t>Man_ClimbStairs_LH_Half_04</t>
  </si>
  <si>
    <t>Man_ClimbStairs_LH_Half_03</t>
  </si>
  <si>
    <t>Man_ClimbStairs_LH_Half_02</t>
  </si>
  <si>
    <t>Man_DescendStairs_LH_Half_01</t>
  </si>
  <si>
    <t>Man_DescendStairs_LH_Half_02</t>
  </si>
  <si>
    <t>Man_DescendStairs_LH_Half_03</t>
  </si>
  <si>
    <t>Man_DescendStairs_LH_Half_04</t>
  </si>
  <si>
    <t>Man_ClimbStairs_RH_Half_01</t>
  </si>
  <si>
    <t>Man_ClimbStairs_RH_Half_02</t>
  </si>
  <si>
    <t>Man_ClimbStairs_RH_Half_03</t>
  </si>
  <si>
    <t>Man_ClimbStairs_RH_Half_04</t>
  </si>
  <si>
    <t>Man_DescendStairs_RH_Half_01</t>
  </si>
  <si>
    <t>Man_DescendStairs_RH_Half_02</t>
  </si>
  <si>
    <t>Man_DescendStairs_RH_Half_03</t>
  </si>
  <si>
    <t>Man_DescendStairs_RH_Half_04</t>
  </si>
  <si>
    <t>Man_Slide_RH_01</t>
  </si>
  <si>
    <t>Man_Slide_RH_02</t>
  </si>
  <si>
    <t>Man_Slide_RH_03</t>
  </si>
  <si>
    <t>Man_Slide_RH_04</t>
  </si>
  <si>
    <t>Man_Slide_RH_05</t>
  </si>
  <si>
    <t>Man_Slide_RH_06</t>
  </si>
  <si>
    <t>Man_Slide_RH_07</t>
  </si>
  <si>
    <t>Man_Slide_RH_08</t>
  </si>
  <si>
    <t>Man_Slide_RH_09</t>
  </si>
  <si>
    <t>Man_Slide_RH_10</t>
  </si>
  <si>
    <t>Man_Slide_RH_11</t>
  </si>
  <si>
    <t>Man_Slide_RH_Full_01</t>
  </si>
  <si>
    <t>Man_Slide_RH_Full_02</t>
  </si>
  <si>
    <t>Man_Slide_RH_Full_03</t>
  </si>
  <si>
    <t>Man_Slide_RH_Full_04</t>
  </si>
  <si>
    <t>Man_Slide_RH_Full_05</t>
  </si>
  <si>
    <t>Man_Slide_RH_Full_06</t>
  </si>
  <si>
    <t>Man_Slide_RH_Full_07</t>
  </si>
  <si>
    <t>Man_Slide_RH_Full_08</t>
  </si>
  <si>
    <t>Man_Slide_RH_Full_09</t>
  </si>
  <si>
    <t>Man_Slide_RH_Full_10</t>
  </si>
  <si>
    <t>Man_Slide_RH_Full_11</t>
  </si>
  <si>
    <t>Man_Slide_RH_Full_12</t>
  </si>
  <si>
    <t>Man_Slide_RH_Full_13</t>
  </si>
  <si>
    <t>Man_Slide_RH_Full_Land_01</t>
  </si>
  <si>
    <t>Man_Slide_RH_Full_Land_02</t>
  </si>
  <si>
    <t>Man_Slide_RH_Full_Land_03</t>
  </si>
  <si>
    <t>Man_Slide_RH_Full_Land_04</t>
  </si>
  <si>
    <t>Man_Slide_RH_Full_Land_05</t>
  </si>
  <si>
    <t>Man_Slide_RH_Full_Land_06</t>
  </si>
  <si>
    <t>Man_Slide_RH_Full_Land_07</t>
  </si>
  <si>
    <t>Man_Slide_RH_Full_Land_08</t>
  </si>
  <si>
    <t>Man_Slide_RH_Full_Land_09</t>
  </si>
  <si>
    <t>Man_Slide_RH_Full_Land_10</t>
  </si>
  <si>
    <t>Man_Slide_RH_Full_Land_11</t>
  </si>
  <si>
    <t>Man_Slide_RH_Full_Land_12</t>
  </si>
  <si>
    <t>Man_Slide_RH_Full_Land_13</t>
  </si>
  <si>
    <t>Man_Slide_LH_01</t>
  </si>
  <si>
    <t>Man_Slide_LH_02</t>
  </si>
  <si>
    <t>Man_Slide_LH_03</t>
  </si>
  <si>
    <t>Man_Slide_LH_04</t>
  </si>
  <si>
    <t>Man_Slide_LH_05</t>
  </si>
  <si>
    <t>Man_Slide_LH_06</t>
  </si>
  <si>
    <t>Man_Slide_LH_07</t>
  </si>
  <si>
    <t>Man_Slide_LH_08</t>
  </si>
  <si>
    <t>Man_Slide_LH_09</t>
  </si>
  <si>
    <t>Man_Slide_LH_10</t>
  </si>
  <si>
    <t>Man_Slide_LH_11</t>
  </si>
  <si>
    <t>Man_Slide_LH_Full_01</t>
  </si>
  <si>
    <t>Man_Slide_LH_Full_02</t>
  </si>
  <si>
    <t>Man_Slide_LH_Full_03</t>
  </si>
  <si>
    <t>Man_Slide_LH_Full_04</t>
  </si>
  <si>
    <t>Man_Slide_LH_Full_05</t>
  </si>
  <si>
    <t>Man_Slide_LH_Full_06</t>
  </si>
  <si>
    <t>Man_Slide_LH_Full_07</t>
  </si>
  <si>
    <t>Man_Slide_LH_Full_08</t>
  </si>
  <si>
    <t>Man_Slide_LH_Full_09</t>
  </si>
  <si>
    <t>Man_Slide_LH_Full_10</t>
  </si>
  <si>
    <t>Man_Slide_LH_Full_11</t>
  </si>
  <si>
    <t>Man_Slide_LH_Full_12</t>
  </si>
  <si>
    <t>Man_Slide_LH_Full_13</t>
  </si>
  <si>
    <t>Man_Slide_LH_Full_Land_01</t>
  </si>
  <si>
    <t>Man_Slide_LH_Full_Land_02</t>
  </si>
  <si>
    <t>Man_Slide_LH_Full_Land_03</t>
  </si>
  <si>
    <t>Man_Slide_LH_Full_Land_04</t>
  </si>
  <si>
    <t>Man_Slide_LH_Full_Land_05</t>
  </si>
  <si>
    <t>Man_Slide_LH_Full_Land_06</t>
  </si>
  <si>
    <t>Man_Slide_LH_Full_Land_07</t>
  </si>
  <si>
    <t>Man_Slide_LH_Full_Land_08</t>
  </si>
  <si>
    <t>Man_Slide_LH_Full_Land_09</t>
  </si>
  <si>
    <t>Man_Slide_LH_Full_Land_10</t>
  </si>
  <si>
    <t>Man_Slide_LH_Full_Land_11</t>
  </si>
  <si>
    <t>Man_Slide_LH_Full_Land_12</t>
  </si>
  <si>
    <t>Man_Slide_LH_Full_Land_13</t>
  </si>
  <si>
    <t>Man_Hammering_RH_00</t>
  </si>
  <si>
    <t>Man_Hammering_RH_01</t>
  </si>
  <si>
    <t>Man_Hammering_RH_02</t>
  </si>
  <si>
    <t>Man_Hammering_RH_03</t>
  </si>
  <si>
    <t>Man_Hammering_RH_04</t>
  </si>
  <si>
    <t>Man_Hammering_RH_05</t>
  </si>
  <si>
    <t>Man_Hammering_RH_06</t>
  </si>
  <si>
    <t>Man_Hammering_RH_07</t>
  </si>
  <si>
    <t>Man_Hammering_RH_08</t>
  </si>
  <si>
    <t>Man_Hammering_RH_09</t>
  </si>
  <si>
    <t>Man_Hammering_RH_10</t>
  </si>
  <si>
    <t>Man_Levering_RH_00</t>
  </si>
  <si>
    <t>Man_Levering_RH_01</t>
  </si>
  <si>
    <t>Man_Levering_RH_02</t>
  </si>
  <si>
    <t>Man_Levering_RH_03</t>
  </si>
  <si>
    <t>Man_Levering_RH_04</t>
  </si>
  <si>
    <t>Man_Levering_RH_05</t>
  </si>
  <si>
    <t>Man_Levering_RH_06</t>
  </si>
  <si>
    <t>Man_Levering_RH_07</t>
  </si>
  <si>
    <t>Man_Levering_RH_08</t>
  </si>
  <si>
    <t>Man_Levering_RH_09</t>
  </si>
  <si>
    <t>Man_Levering_RH_10</t>
  </si>
  <si>
    <t>Man_Hammering_LH_00</t>
  </si>
  <si>
    <t>Man_Hammering_LH_01</t>
  </si>
  <si>
    <t>Man_Hammering_LH_02</t>
  </si>
  <si>
    <t>Man_Hammering_LH_03</t>
  </si>
  <si>
    <t>Man_Hammering_LH_04</t>
  </si>
  <si>
    <t>Man_Hammering_LH_05</t>
  </si>
  <si>
    <t>Man_Hammering_LH_06</t>
  </si>
  <si>
    <t>Man_Hammering_LH_07</t>
  </si>
  <si>
    <t>Man_Hammering_LH_08</t>
  </si>
  <si>
    <t>Man_Hammering_LH_09</t>
  </si>
  <si>
    <t>Man_Hammering_LH_10</t>
  </si>
  <si>
    <t>Man_Levering_LH_00</t>
  </si>
  <si>
    <t>Man_Levering_LH_01</t>
  </si>
  <si>
    <t>Man_Levering_LH_02</t>
  </si>
  <si>
    <t>Man_Levering_LH_03</t>
  </si>
  <si>
    <t>Man_Levering_LH_04</t>
  </si>
  <si>
    <t>Man_Levering_LH_05</t>
  </si>
  <si>
    <t>Man_Levering_LH_06</t>
  </si>
  <si>
    <t>Man_Levering_LH_07</t>
  </si>
  <si>
    <t>Man_Levering_LH_08</t>
  </si>
  <si>
    <t>Man_Levering_LH_09</t>
  </si>
  <si>
    <t>Man_Levering_LH_10</t>
  </si>
  <si>
    <t>Man_WalkingJump_RH_2D_25_01</t>
  </si>
  <si>
    <t>Man_WalkingJump_RH_2D_25_02</t>
  </si>
  <si>
    <t>Man_WalkingJump_RH_2D_25_03</t>
  </si>
  <si>
    <t>Man_WalkingJump_RH_2D_25_04</t>
  </si>
  <si>
    <t>Man_WalkingJump_RH_2D_25_05</t>
  </si>
  <si>
    <t>Man_WalkingJump_RH_2D_25_06</t>
  </si>
  <si>
    <t>Man_WalkingJump_RH_2D_25_07</t>
  </si>
  <si>
    <t>Man_WalkingJump_RH_2D_25_08</t>
  </si>
  <si>
    <t>Man_WalkingJump_RH_2D_25_09</t>
  </si>
  <si>
    <t>Man_WalkingJump_RH_2D_25_10</t>
  </si>
  <si>
    <t>Man_WalkingJump_RH_2D_25_11</t>
  </si>
  <si>
    <t>Man_WalkingJump_LH_2D_25_01</t>
  </si>
  <si>
    <t>Man_WalkingJump_LH_2D_25_02</t>
  </si>
  <si>
    <t>Man_WalkingJump_LH_2D_25_03</t>
  </si>
  <si>
    <t>Man_WalkingJump_LH_2D_25_04</t>
  </si>
  <si>
    <t>Man_WalkingJump_LH_2D_25_05</t>
  </si>
  <si>
    <t>Man_WalkingJump_LH_2D_25_06</t>
  </si>
  <si>
    <t>Man_WalkingJump_LH_2D_25_07</t>
  </si>
  <si>
    <t>Man_WalkingJump_LH_2D_25_08</t>
  </si>
  <si>
    <t>Man_WalkingJump_LH_2D_25_09</t>
  </si>
  <si>
    <t>Man_WalkingJump_LH_2D_25_10</t>
  </si>
  <si>
    <t>Man_WalkingJump_LH_2D_25_11</t>
  </si>
  <si>
    <t>Man_Rollers_RH_01</t>
  </si>
  <si>
    <t>Man_Rollers_RH_02</t>
  </si>
  <si>
    <t>Man_Rollers_RH_03</t>
  </si>
  <si>
    <t>Man_Rollers_RH_04</t>
  </si>
  <si>
    <t>Man_Rollers_Stand_RH_01</t>
  </si>
  <si>
    <t>Man_Rollers_Stand_RH_04</t>
  </si>
  <si>
    <t>Man_Rollers_Stand_RH_03</t>
  </si>
  <si>
    <t>Man_Rollers_Stand_RH_02</t>
  </si>
  <si>
    <t>Man_Rollers_LH_01</t>
  </si>
  <si>
    <t>Man_Rollers_LH_02</t>
  </si>
  <si>
    <t>Man_Rollers_LH_03</t>
  </si>
  <si>
    <t>Man_Rollers_LH_04</t>
  </si>
  <si>
    <t>Man_Rollers_Stand_LH_01</t>
  </si>
  <si>
    <t>Man_Rollers_Stand_LH_02</t>
  </si>
  <si>
    <t>Man_Rollers_Stand_LH_03</t>
  </si>
  <si>
    <t>Man_Rollers_Stand_LH_04</t>
  </si>
  <si>
    <t>Man_Rollers_Fall_RH_01</t>
  </si>
  <si>
    <t>Man_Rollers_Fall_RH_02</t>
  </si>
  <si>
    <t>Man_Rollers_Fall_RH_03</t>
  </si>
  <si>
    <t>Man_Rollers_Fall_RH_04</t>
  </si>
  <si>
    <t>Man_Rollers_Fall_RH_05</t>
  </si>
  <si>
    <t>Man_Rollers_Fall_LH_01</t>
  </si>
  <si>
    <t>Man_Rollers_Fall_LH_02</t>
  </si>
  <si>
    <t>Man_Rollers_Fall_LH_03</t>
  </si>
  <si>
    <t>Man_Rollers_Fall_LH_04</t>
  </si>
  <si>
    <t>Man_Rollers_Fall_LH_05</t>
  </si>
  <si>
    <t>Man_Vine_RH_01</t>
  </si>
  <si>
    <t>Man_Vine_RH_02</t>
  </si>
  <si>
    <t>Man_Vine_RH_03</t>
  </si>
  <si>
    <t>Man_Vine_RH_04</t>
  </si>
  <si>
    <t>Man_Vine_RH_05</t>
  </si>
  <si>
    <t>Man_Vine_RH_06</t>
  </si>
  <si>
    <t>Man_Vine_RH_07</t>
  </si>
  <si>
    <t>Man_Vine_RH_08</t>
  </si>
  <si>
    <t>Man_Vine_RH_09</t>
  </si>
  <si>
    <t>Man_Vine_RH_10</t>
  </si>
  <si>
    <t>Man_Vine_RH_11</t>
  </si>
  <si>
    <t>Man_Vine_RH_12</t>
  </si>
  <si>
    <t>Man_Vine_RH_13</t>
  </si>
  <si>
    <t>Man_Vine_RH_14</t>
  </si>
  <si>
    <t>Man_Vine_RH_15</t>
  </si>
  <si>
    <t>Man_Vine_RH_16</t>
  </si>
  <si>
    <t>Man_Vine_RH_17</t>
  </si>
  <si>
    <t>Man_Vine_RH_18</t>
  </si>
  <si>
    <t>Man_Vine_RH_19</t>
  </si>
  <si>
    <t>Man_Vine_RH_20</t>
  </si>
  <si>
    <t>Man_Vine_LH_01</t>
  </si>
  <si>
    <t>Man_Vine_LH_02</t>
  </si>
  <si>
    <t>Man_Vine_LH_03</t>
  </si>
  <si>
    <t>Man_Vine_LH_04</t>
  </si>
  <si>
    <t>Man_Vine_LH_05</t>
  </si>
  <si>
    <t>Man_Vine_LH_06</t>
  </si>
  <si>
    <t>Man_Vine_LH_07</t>
  </si>
  <si>
    <t>Man_Vine_LH_08</t>
  </si>
  <si>
    <t>Man_Vine_LH_09</t>
  </si>
  <si>
    <t>Man_Vine_LH_10</t>
  </si>
  <si>
    <t>Man_Vine_LH_11</t>
  </si>
  <si>
    <t>Man_Vine_LH_12</t>
  </si>
  <si>
    <t>Man_Vine_LH_13</t>
  </si>
  <si>
    <t>Man_Vine_LH_14</t>
  </si>
  <si>
    <t>Man_Vine_LH_15</t>
  </si>
  <si>
    <t>Man_Vine_LH_16</t>
  </si>
  <si>
    <t>Man_Vine_LH_17</t>
  </si>
  <si>
    <t>Man_Vine_LH_18</t>
  </si>
  <si>
    <t>Man_Vine_LH_19</t>
  </si>
  <si>
    <t>Man_Vine_LH_20</t>
  </si>
  <si>
    <t>Man_Die_Fall_LH_01</t>
  </si>
  <si>
    <t>Man_Die_Fall_LH_04</t>
  </si>
  <si>
    <t>Man_Die_Fall_LH_03</t>
  </si>
  <si>
    <t>Man_Die_Fall_LH_02</t>
  </si>
  <si>
    <t>Man_Die_Fall_RH_01</t>
  </si>
  <si>
    <t>Man_Die_Fall_RH_02</t>
  </si>
  <si>
    <t>Man_Die_Fall_RH_03</t>
  </si>
  <si>
    <t>Man_Die_Fall_RH_04</t>
  </si>
  <si>
    <t>Man_Die_Fire_RH_01</t>
  </si>
  <si>
    <t>Man_Die_Fire_RH_02</t>
  </si>
  <si>
    <t>Man_Die_Fire_RH_03</t>
  </si>
  <si>
    <t>Man_Die_Fire_RH_04</t>
  </si>
  <si>
    <t>Man_Die_Fire_RH_05</t>
  </si>
  <si>
    <t>Man_Die_Fire_RH_06</t>
  </si>
  <si>
    <t>Man_Die_Fire_RH_07</t>
  </si>
  <si>
    <t>Man_Die_Fire_RH_08</t>
  </si>
  <si>
    <t>Man_Die_Fire_RH_09</t>
  </si>
  <si>
    <t>Man_Die_Fire_RH_10</t>
  </si>
  <si>
    <t>Man_Die_Fire_RH_11</t>
  </si>
  <si>
    <t>Man_Die_Fire_RH_12</t>
  </si>
  <si>
    <t>Man_Walk_RH_07</t>
  </si>
  <si>
    <t>Man_Walk_RH_08</t>
  </si>
  <si>
    <t>Man_Walk_RH_05</t>
  </si>
  <si>
    <t>Man_Walk_RH_06</t>
  </si>
  <si>
    <t>Man_Walk_LH_05</t>
  </si>
  <si>
    <t>Man_Walk_LH_06</t>
  </si>
  <si>
    <t>Man_Walk_LH_07</t>
  </si>
  <si>
    <t>Man_Walk_LH_08</t>
  </si>
  <si>
    <t>Man_Die_Fire_Adj_RH_01</t>
  </si>
  <si>
    <t>Man_Die_Fire_Adj_RH_02</t>
  </si>
  <si>
    <t>Man_Die_Fire_LH_01</t>
  </si>
  <si>
    <t>Man_Die_Fire_LH_02</t>
  </si>
  <si>
    <t>Man_Die_Fire_LH_03</t>
  </si>
  <si>
    <t>Man_Die_Fire_LH_04</t>
  </si>
  <si>
    <t>Man_Die_Fire_LH_05</t>
  </si>
  <si>
    <t>Man_Die_Fire_LH_06</t>
  </si>
  <si>
    <t>Man_Die_Fire_LH_07</t>
  </si>
  <si>
    <t>Man_Die_Fire_LH_08</t>
  </si>
  <si>
    <t>Man_Die_Fire_LH_09</t>
  </si>
  <si>
    <t>Man_Die_Fire_LH_10</t>
  </si>
  <si>
    <t>Man_Die_Fire_LH_11</t>
  </si>
  <si>
    <t>Man_Die_Fire_LH_12</t>
  </si>
  <si>
    <t>Man_Die_Fire_Adj_LH_01</t>
  </si>
  <si>
    <t>Man_Die_Fire_Adj_LH_02</t>
  </si>
  <si>
    <t>Enemy_Walk_RH_00</t>
  </si>
  <si>
    <t>None</t>
  </si>
  <si>
    <t>Enemy_Walk_RH_01</t>
  </si>
  <si>
    <t>Enemy_Walk_RH_02</t>
  </si>
  <si>
    <t>Enemy_Walk_RH_03</t>
  </si>
  <si>
    <t>Enemy_Walk_Bow_RH_00</t>
  </si>
  <si>
    <t>Enemy_Walk_Bow_RH_03</t>
  </si>
  <si>
    <t>Enemy_Walk_Bow_RH_02</t>
  </si>
  <si>
    <t>Enemy_Walk_Bow_RH_01</t>
  </si>
  <si>
    <t>Enemy_Fire_RH_00</t>
  </si>
  <si>
    <t>Enemy_Fire_RH_01</t>
  </si>
  <si>
    <t>Enemy_Fire_RH_02</t>
  </si>
  <si>
    <t>Enemy_Fire_RH_03</t>
  </si>
  <si>
    <t>Enemy_Fire_RH_04</t>
  </si>
  <si>
    <t>Enemy_Fire_RH_05</t>
  </si>
  <si>
    <t>Enemy_Fire_RH_06</t>
  </si>
  <si>
    <t>Enemy_Fire_RH_07</t>
  </si>
  <si>
    <t>Enemy_Walk_LH_00</t>
  </si>
  <si>
    <t>Enemy_Walk_LH_01</t>
  </si>
  <si>
    <t>Enemy_Walk_LH_02</t>
  </si>
  <si>
    <t>Enemy_Walk_LH_03</t>
  </si>
  <si>
    <t>Enemy_Walk_Bow_LH_00</t>
  </si>
  <si>
    <t>Enemy_Walk_Bow_LH_01</t>
  </si>
  <si>
    <t>Enemy_Walk_Bow_LH_02</t>
  </si>
  <si>
    <t>Enemy_Walk_Bow_LH_03</t>
  </si>
  <si>
    <t>Enemy_Fire_LH_00</t>
  </si>
  <si>
    <t>Enemy_Fire_LH_01</t>
  </si>
  <si>
    <t>Enemy_Fire_LH_02</t>
  </si>
  <si>
    <t>Enemy_Fire_LH_03</t>
  </si>
  <si>
    <t>Enemy_Fire_LH_04</t>
  </si>
  <si>
    <t>Enemy_Fire_LH_05</t>
  </si>
  <si>
    <t>Enemy_Fire_LH_06</t>
  </si>
  <si>
    <t>Enemy_Fire_LH_07</t>
  </si>
  <si>
    <t>Enemy_Fire_RH_08</t>
  </si>
  <si>
    <t>Enemy_Fire_RH_09</t>
  </si>
  <si>
    <t>Enemy_Fire_RH_10</t>
  </si>
  <si>
    <t>Enemy_Fire_RH_11</t>
  </si>
  <si>
    <t>Enemy_Fire_RH_12</t>
  </si>
  <si>
    <t>Enemy_Fire_LH_08</t>
  </si>
  <si>
    <t>Enemy_Fire_LH_09</t>
  </si>
  <si>
    <t>Enemy_Fire_LH_10</t>
  </si>
  <si>
    <t>Enemy_Fire_LH_11</t>
  </si>
  <si>
    <t>Enemy_Fire_LH_12</t>
  </si>
  <si>
    <t>Man_Die_Arrow_FallForward_RH_01</t>
  </si>
  <si>
    <t>Man_Die_Arrow_FallForward_RH_04</t>
  </si>
  <si>
    <t>Man_Die_Arrow_FallForward_RH_03</t>
  </si>
  <si>
    <t>Man_Die_Arrow_FallForward_RH_02</t>
  </si>
  <si>
    <t>Man_Die_Arrow_FallBackward_RH_01</t>
  </si>
  <si>
    <t>Man_Die_Arrow_FallBackward_RH_02</t>
  </si>
  <si>
    <t>Man_Die_Arrow_FallBackward_RH_03</t>
  </si>
  <si>
    <t>Man_Die_Arrow_FallBackward_RH_04</t>
  </si>
  <si>
    <t>Man_Vine_Exit_RH_01</t>
  </si>
  <si>
    <t>Man_Vine_Exit_RH_02</t>
  </si>
  <si>
    <t>Man_Vine_Exit_RH_03</t>
  </si>
  <si>
    <t>Man_Vine_Exit_RH_04</t>
  </si>
  <si>
    <t>Man_Vine_Exit_RH_05</t>
  </si>
  <si>
    <t>Man_Vine_Exit_RH_06</t>
  </si>
  <si>
    <t>Man_Vine_Exit_RH_07</t>
  </si>
  <si>
    <t>Man_Vine_Exit_RH_08</t>
  </si>
  <si>
    <t>Man_Vine_Exit_LH_01</t>
  </si>
  <si>
    <t>Man_Vine_Exit_LH_02</t>
  </si>
  <si>
    <t>Man_Vine_Exit_LH_03</t>
  </si>
  <si>
    <t>Man_Vine_Exit_LH_04</t>
  </si>
  <si>
    <t>Man_Vine_Exit_LH_05</t>
  </si>
  <si>
    <t>Man_Vine_Exit_LH_06</t>
  </si>
  <si>
    <t>Man_Vine_Exit_LH_07</t>
  </si>
  <si>
    <t>Man_Vine_Exit_LH_08</t>
  </si>
  <si>
    <t>Man_Vine_Entry_RH_01</t>
  </si>
  <si>
    <t>Man_Vine_Entry_RH_02</t>
  </si>
  <si>
    <t>Man_Vine_Entry_RH_03</t>
  </si>
  <si>
    <t>Man_Vine_Entry_RH_04</t>
  </si>
  <si>
    <t>Man_Vine_Entry_RH_05</t>
  </si>
  <si>
    <t>Man_Vine_Entry_RH_06</t>
  </si>
  <si>
    <t>Man_Vine_Entry_RH_07</t>
  </si>
  <si>
    <t>Man_Vine_Entry_RH_08</t>
  </si>
  <si>
    <t>Man_Vine_Entry_LH_01</t>
  </si>
  <si>
    <t>Man_Vine_Entry_LH_02</t>
  </si>
  <si>
    <t>Man_Vine_Entry_LH_03</t>
  </si>
  <si>
    <t>Man_Vine_Entry_LH_04</t>
  </si>
  <si>
    <t>Man_Vine_Entry_LH_05</t>
  </si>
  <si>
    <t>Man_Vine_Entry_LH_06</t>
  </si>
  <si>
    <t>Man_Vine_Entry_LH_07</t>
  </si>
  <si>
    <t>Man_Vine_Entry_LH_08</t>
  </si>
  <si>
    <t>Enemy_Trebochet_Release_RH_01</t>
  </si>
  <si>
    <t>Enemy_Trebochet_Release_RH_02</t>
  </si>
  <si>
    <t>Enemy_Trebochet_Release_RH_03</t>
  </si>
  <si>
    <t>Enemy_Trebochet_Release_RH_04</t>
  </si>
  <si>
    <t>Enemy_Trebochet_Release_RH_05</t>
  </si>
  <si>
    <t>Enemy_Trebochet_Release_RH_06</t>
  </si>
  <si>
    <t>Enemy_Trebochet_Release_LH_01</t>
  </si>
  <si>
    <t>Enemy_Trebochet_Release_LH_02</t>
  </si>
  <si>
    <t>Enemy_Trebochet_Release_LH_03</t>
  </si>
  <si>
    <t>Enemy_Trebochet_Release_LH_04</t>
  </si>
  <si>
    <t>Enemy_Trebochet_Release_LH_05</t>
  </si>
  <si>
    <t>Enemy_Trebochet_Release_LH_06</t>
  </si>
  <si>
    <t>Enemy_Trebochet_Release_LH_07</t>
  </si>
  <si>
    <t>Enemy_Trebochet_Release_LH_08</t>
  </si>
  <si>
    <t>Enemy_Trebochet_Release_LH_09</t>
  </si>
  <si>
    <t>Enemy_Trebochet_Release_LH_10</t>
  </si>
  <si>
    <t>Enemy_Trebochet_Release_LH_11</t>
  </si>
  <si>
    <t>Enemy_Trebochet_Release_LH_12</t>
  </si>
  <si>
    <t>Enemy_Trebochet_Release_LH_13</t>
  </si>
  <si>
    <t>Enemy_Trebochet_Release_LH_14</t>
  </si>
  <si>
    <t>Enemy_Trebochet_Release_RH_07</t>
  </si>
  <si>
    <t>Enemy_Trebochet_Release_RH_08</t>
  </si>
  <si>
    <t>Enemy_Trebochet_Release_RH_09</t>
  </si>
  <si>
    <t>Enemy_Trebochet_Release_RH_10</t>
  </si>
  <si>
    <t>Enemy_Trebochet_Release_RH_12</t>
  </si>
  <si>
    <t>Enemy_Trebochet_Release_RH_11</t>
  </si>
  <si>
    <t>Enemy_Trebochet_Release_RH_13</t>
  </si>
  <si>
    <t>Enemy_Trebochet_Release_RH_14</t>
  </si>
  <si>
    <t>Man_Die_FWD_RH_01</t>
  </si>
  <si>
    <t>Man_Die_FWD_RH_04</t>
  </si>
  <si>
    <t>Man_Die_FWD_RH_03</t>
  </si>
  <si>
    <t>Man_Die_FWD_RH_02</t>
  </si>
  <si>
    <t>Man_Die_BWD_RH_01</t>
  </si>
  <si>
    <t>Man_Die_BWD_RH_02</t>
  </si>
  <si>
    <t>Man_Die_BWD_RH_03</t>
  </si>
  <si>
    <t>Man_Die_BWD_RH_04</t>
  </si>
  <si>
    <t>Man_Die_FWD_LH_01</t>
  </si>
  <si>
    <t>Man_Die_FWD_LH_02</t>
  </si>
  <si>
    <t>Man_Die_FWD_LH_03</t>
  </si>
  <si>
    <t>Man_Die_FWD_LH_04</t>
  </si>
  <si>
    <t>Man_Die_BWD_LH_01</t>
  </si>
  <si>
    <t>Man_Die_BWD_LH_02</t>
  </si>
  <si>
    <t>Man_Die_BWD_LH_03</t>
  </si>
  <si>
    <t>Man_Die_BWD_LH_04</t>
  </si>
  <si>
    <t>Man_Sword_Lunge_RH_01</t>
  </si>
  <si>
    <t>Man_Sword_Stationary_RH</t>
  </si>
  <si>
    <t>Man_Sword_Lunge_RH_02</t>
  </si>
  <si>
    <t>Man_Sword_Lunge_RH_03</t>
  </si>
  <si>
    <t>Man_Sword_Lunge_RH_04</t>
  </si>
  <si>
    <t>Man_Sword_Lunge_RH_05</t>
  </si>
  <si>
    <t>Man_Sword_Lunge_RH_06</t>
  </si>
  <si>
    <t>Man_Sword_Walk_RH_01</t>
  </si>
  <si>
    <t>Man_Sword_Walk_RH_02</t>
  </si>
  <si>
    <t>Man_Sword_Walk_RH_03</t>
  </si>
  <si>
    <t>Man_Sword_Walk_RH_04</t>
  </si>
  <si>
    <t>Man_Sword_Walk_BK_RH_01</t>
  </si>
  <si>
    <t>Man_Sword_Walk_BK_RH_02</t>
  </si>
  <si>
    <t>Man_Sword_Walk_BK_RH_03</t>
  </si>
  <si>
    <t>Man_Sword_Walk_BK_RH_04</t>
  </si>
  <si>
    <t>Man_Sword_StandingJump_RH_01</t>
  </si>
  <si>
    <t>Man_Sword_StandingJump_RH_07</t>
  </si>
  <si>
    <t>Man_Sword_StandingJump_RH_06</t>
  </si>
  <si>
    <t>Man_Sword_StandingJump_RH_02</t>
  </si>
  <si>
    <t>Man_Sword_StandingJump_RH_03</t>
  </si>
  <si>
    <t>Man_Sword_StandingJump_RH_04</t>
  </si>
  <si>
    <t>Man_Sword_StandingJump_RH_05</t>
  </si>
  <si>
    <t>Enemy_Sword_Stationary_RH</t>
  </si>
  <si>
    <t>Enemy_Sword_Lunge_RH_01</t>
  </si>
  <si>
    <t>Enemy_Sword_Lunge_RH_02</t>
  </si>
  <si>
    <t>Enemy_Sword_Lunge_RH_03</t>
  </si>
  <si>
    <t>Enemy_Sword_Lunge_RH_04</t>
  </si>
  <si>
    <t>Enemy_Sword_Lunge_RH_05</t>
  </si>
  <si>
    <t>Enemy_Sword_Lunge_RH_06</t>
  </si>
  <si>
    <t>Enemy_Sword_Walk_RH_01</t>
  </si>
  <si>
    <t>Enemy_Sword_Walk_RH_02</t>
  </si>
  <si>
    <t>Enemy_Sword_Walk_RH_03</t>
  </si>
  <si>
    <t>Enemy_Sword_Walk_RH_04</t>
  </si>
  <si>
    <t>Enemy_Sword_Walk_BK_RH_01</t>
  </si>
  <si>
    <t>Enemy_Sword_Walk_BK_RH_02</t>
  </si>
  <si>
    <t>Enemy_Sword_Walk_BK_RH_03</t>
  </si>
  <si>
    <t>Enemy_Sword_Walk_BK_RH_04</t>
  </si>
  <si>
    <t>Enemy_Sword_StandingJump_RH_01</t>
  </si>
  <si>
    <t>Enemy_Sword_StandingJump_RH_02</t>
  </si>
  <si>
    <t>Enemy_Sword_StandingJump_RH_03</t>
  </si>
  <si>
    <t>Enemy_Sword_StandingJump_RH_04</t>
  </si>
  <si>
    <t>Enemy_Sword_StandingJump_RH_05</t>
  </si>
  <si>
    <t>Enemy_Sword_StandingJump_RH_06</t>
  </si>
  <si>
    <t>Enemy_Sword_StandingJump_RH_07</t>
  </si>
  <si>
    <t>Enemy_Sword_Lunge_LH_01</t>
  </si>
  <si>
    <t>Enemy_Sword_Lunge_LH_02</t>
  </si>
  <si>
    <t>Enemy_Sword_Lunge_LH_03</t>
  </si>
  <si>
    <t>Enemy_Sword_Lunge_LH_04</t>
  </si>
  <si>
    <t>Enemy_Sword_Lunge_LH_05</t>
  </si>
  <si>
    <t>Enemy_Sword_Lunge_LH_06</t>
  </si>
  <si>
    <t>Enemy_Sword_Walk_LH_01</t>
  </si>
  <si>
    <t>Enemy_Sword_Walk_LH_02</t>
  </si>
  <si>
    <t>Enemy_Sword_Walk_LH_03</t>
  </si>
  <si>
    <t>Enemy_Sword_Walk_LH_04</t>
  </si>
  <si>
    <t>Enemy_Sword_Walk_BK_LH_01</t>
  </si>
  <si>
    <t>Enemy_Sword_Walk_BK_LH_02</t>
  </si>
  <si>
    <t>Enemy_Sword_Walk_BK_LH_03</t>
  </si>
  <si>
    <t>Enemy_Sword_Walk_BK_LH_04</t>
  </si>
  <si>
    <t>Enemy_Sword_StandingJump_LH_01</t>
  </si>
  <si>
    <t>Enemy_Sword_StandingJump_LH_02</t>
  </si>
  <si>
    <t>Enemy_Sword_StandingJump_LH_03</t>
  </si>
  <si>
    <t>Enemy_Sword_StandingJump_LH_04</t>
  </si>
  <si>
    <t>Enemy_Sword_StandingJump_LH_05</t>
  </si>
  <si>
    <t>Enemy_Sword_StandingJump_LH_06</t>
  </si>
  <si>
    <t>Enemy_Sword_StandingJump_LH_07</t>
  </si>
  <si>
    <t>Enemy_Sword_Stationary_LH</t>
  </si>
  <si>
    <t>Man_Sword_Stationary_LH</t>
  </si>
  <si>
    <t>Man_Sword_Lunge_LH_01</t>
  </si>
  <si>
    <t>Man_Sword_Lunge_LH_02</t>
  </si>
  <si>
    <t>Man_Sword_Lunge_LH_03</t>
  </si>
  <si>
    <t>Man_Sword_Lunge_LH_04</t>
  </si>
  <si>
    <t>Man_Sword_Lunge_LH_05</t>
  </si>
  <si>
    <t>Man_Sword_Lunge_LH_06</t>
  </si>
  <si>
    <t>Man_Sword_Walk_LH_01</t>
  </si>
  <si>
    <t>Man_Sword_Walk_LH_02</t>
  </si>
  <si>
    <t>Man_Sword_Walk_LH_03</t>
  </si>
  <si>
    <t>Man_Sword_Walk_LH_04</t>
  </si>
  <si>
    <t>Man_Sword_Walk_BK_LH_01</t>
  </si>
  <si>
    <t>Man_Sword_Walk_BK_LH_02</t>
  </si>
  <si>
    <t>Man_Sword_Walk_BK_LH_03</t>
  </si>
  <si>
    <t>Man_Sword_Walk_BK_LH_04</t>
  </si>
  <si>
    <t>Man_Sword_StandingJump_LH_01</t>
  </si>
  <si>
    <t>Man_Sword_StandingJump_LH_02</t>
  </si>
  <si>
    <t>Man_Sword_StandingJump_LH_03</t>
  </si>
  <si>
    <t>Man_Sword_StandingJump_LH_04</t>
  </si>
  <si>
    <t>Man_Sword_StandingJump_LH_05</t>
  </si>
  <si>
    <t>Man_Sword_StandingJump_LH_06</t>
  </si>
  <si>
    <t>Man_Sword_StandingJump_LH_07</t>
  </si>
  <si>
    <t>Man_Die_Arrow_FallForward_LH_01</t>
  </si>
  <si>
    <t>Man_Die_Arrow_FallForward_LH_02</t>
  </si>
  <si>
    <t>Man_Die_Arrow_FallForward_LH_03</t>
  </si>
  <si>
    <t>Man_Die_Arrow_FallForward_LH_04</t>
  </si>
  <si>
    <t>Man_Die_Arrow_FallBackward_LH_01</t>
  </si>
  <si>
    <t>Man_Die_Arrow_FallBackward_LH_02</t>
  </si>
  <si>
    <t>Man_Die_Arrow_FallBackward_LH_03</t>
  </si>
  <si>
    <t>Man_Die_Arrow_FallBackward_LH_04</t>
  </si>
  <si>
    <t>Enemy_Die_FWD_LH_01</t>
  </si>
  <si>
    <t>Enemy_Die_FWD_LH_02</t>
  </si>
  <si>
    <t>Enemy_Die_FWD_LH_03</t>
  </si>
  <si>
    <t>Enemy_Die_FWD_LH_04</t>
  </si>
  <si>
    <t>Enemy_Die_BWD_LH_01</t>
  </si>
  <si>
    <t>Enemy_Die_BWD_LH_02</t>
  </si>
  <si>
    <t>Enemy_Die_BWD_LH_03</t>
  </si>
  <si>
    <t>Enemy_Die_BWD_LH_04</t>
  </si>
  <si>
    <t>Enemy_Die_FWD_RH_01</t>
  </si>
  <si>
    <t>Enemy_Die_FWD_RH_02</t>
  </si>
  <si>
    <t>Enemy_Die_FWD_RH_03</t>
  </si>
  <si>
    <t>Enemy_Die_FWD_RH_04</t>
  </si>
  <si>
    <t>Enemy_Die_BWD_RH_01</t>
  </si>
  <si>
    <t>Enemy_Die_BWD_RH_02</t>
  </si>
  <si>
    <t>Enemy_Die_BWD_RH_03</t>
  </si>
  <si>
    <t>Enemy_Die_BWD_RH_04</t>
  </si>
  <si>
    <t>Enemy_Die_FWD_RH_05</t>
  </si>
  <si>
    <t>Enemy_Die_FWD_RH_06</t>
  </si>
  <si>
    <t>Enemy_Die_FWD_RH_07</t>
  </si>
  <si>
    <t>Enemy_Die_FWD_RH_08</t>
  </si>
  <si>
    <t>Enemy_Die_BWD_RH_05</t>
  </si>
  <si>
    <t>Enemy_Die_BWD_RH_06</t>
  </si>
  <si>
    <t>Enemy_Die_BWD_RH_07</t>
  </si>
  <si>
    <t>Enemy_Die_BWD_RH_08</t>
  </si>
  <si>
    <t>Enemy_Die_FWD_LH_05</t>
  </si>
  <si>
    <t>Enemy_Die_FWD_LH_06</t>
  </si>
  <si>
    <t>Enemy_Die_FWD_LH_07</t>
  </si>
  <si>
    <t>Enemy_Die_FWD_LH_08</t>
  </si>
  <si>
    <t>Enemy_Die_BWD_LH_05</t>
  </si>
  <si>
    <t>Enemy_Die_BWD_LH_06</t>
  </si>
  <si>
    <t>Enemy_Die_BWD_LH_07</t>
  </si>
  <si>
    <t>Enemy_Die_BWD_LH_08</t>
  </si>
  <si>
    <t>Enemy_Die_FWD_LH_09</t>
  </si>
  <si>
    <t>Enemy_Die_FWD_LH_10</t>
  </si>
  <si>
    <t>Enemy_Die_FWD_LH_11</t>
  </si>
  <si>
    <t>Enemy_Die_FWD_LH_12</t>
  </si>
  <si>
    <t>Enemy_Die_FWD_LH_13</t>
  </si>
  <si>
    <t>Enemy_Die_BWD_LH_09</t>
  </si>
  <si>
    <t>Enemy_Die_BWD_LH_10</t>
  </si>
  <si>
    <t>Enemy_Die_BWD_LH_11</t>
  </si>
  <si>
    <t>Enemy_Die_BWD_LH_12</t>
  </si>
  <si>
    <t>Enemy_Die_BWD_LH_13</t>
  </si>
  <si>
    <t>Enemy_Die_FWD_RH_09</t>
  </si>
  <si>
    <t>Enemy_Die_FWD_RH_10</t>
  </si>
  <si>
    <t>Enemy_Die_FWD_RH_11</t>
  </si>
  <si>
    <t>Enemy_Die_FWD_RH_12</t>
  </si>
  <si>
    <t>Enemy_Die_FWD_RH_13</t>
  </si>
  <si>
    <t>Enemy_Die_BWD_RH_09</t>
  </si>
  <si>
    <t>Enemy_Die_BWD_RH_10</t>
  </si>
  <si>
    <t>Enemy_Die_BWD_RH_11</t>
  </si>
  <si>
    <t>Enemy_Die_BWD_RH_12</t>
  </si>
  <si>
    <t>Enemy_Die_BWD_RH_13</t>
  </si>
  <si>
    <t>Man_Die_Water_RH_01</t>
  </si>
  <si>
    <t>Man_Die_Water_RH_02</t>
  </si>
  <si>
    <t>Man_Die_Water_RH_03</t>
  </si>
  <si>
    <t>Man_Die_Water_RH_04</t>
  </si>
  <si>
    <t>Man_Die_Water_RH_05</t>
  </si>
  <si>
    <t>Man_Die_Water_RH_06</t>
  </si>
  <si>
    <t>Man_Die_Water_RH_07</t>
  </si>
  <si>
    <t>Man_Die_Water_LH_02</t>
  </si>
  <si>
    <t>Man_Die_Water_LH_01</t>
  </si>
  <si>
    <t>Man_Die_Water_LH_03</t>
  </si>
  <si>
    <t>Man_Die_Water_LH_04</t>
  </si>
  <si>
    <t>Man_Die_Water_LH_05</t>
  </si>
  <si>
    <t>Man_Die_Water_LH_06</t>
  </si>
  <si>
    <t>Man_Die_Water_LH_07</t>
  </si>
  <si>
    <t>Man_Die_Water_RH_02_01</t>
  </si>
  <si>
    <t>Man_Die_Water_RH_02_02</t>
  </si>
  <si>
    <t>Man_Die_Water_RH_02_03</t>
  </si>
  <si>
    <t>Man_Die_Water_RH_02_04</t>
  </si>
  <si>
    <t>Man_Die_Water_RH_02_05</t>
  </si>
  <si>
    <t>Man_Die_Water_RH_02_06</t>
  </si>
  <si>
    <t>Man_Die_Water_RH_02_07</t>
  </si>
  <si>
    <t>Man_Die_Water_LH_02_01</t>
  </si>
  <si>
    <t>Man_Die_Water_LH_02_02</t>
  </si>
  <si>
    <t>Man_Die_Water_LH_02_03</t>
  </si>
  <si>
    <t>Man_Die_Water_LH_02_04</t>
  </si>
  <si>
    <t>Man_Die_Water_LH_02_05</t>
  </si>
  <si>
    <t>Man_Die_Water_LH_02_06</t>
  </si>
  <si>
    <t>Man_Die_Water_LH_02_07</t>
  </si>
  <si>
    <t>UL / ML</t>
  </si>
  <si>
    <t>UM / MM</t>
  </si>
  <si>
    <t>31,31,31,31,</t>
  </si>
  <si>
    <t>31,31,32,32,</t>
  </si>
  <si>
    <t>33,33,31,31,</t>
  </si>
  <si>
    <t xml:space="preserve"> 0, 0,</t>
  </si>
  <si>
    <t xml:space="preserve"> 0, 0, 0, 0, </t>
  </si>
  <si>
    <t xml:space="preserve"> 0, 0,39,39,</t>
  </si>
  <si>
    <t xml:space="preserve"> 0, 0,40,40,</t>
  </si>
  <si>
    <t xml:space="preserve"> 0, 0,38,38,</t>
  </si>
  <si>
    <t>Man_Slide_LH_Full_Cont_01</t>
  </si>
  <si>
    <t>Man_Slide_LH_Full_Cont_02</t>
  </si>
  <si>
    <t>Man_Slide_LH_Full_Cont_03</t>
  </si>
  <si>
    <t>Man_Slide_LH_Full_Cont_04</t>
  </si>
  <si>
    <t>Man_Slide_LH_Full_Cont_05</t>
  </si>
  <si>
    <t>Man_Slide_LH_Full_Cont_06</t>
  </si>
  <si>
    <t>Man_Slide_LH_Full_Cont_07</t>
  </si>
  <si>
    <t>Man_Slide_LH_Full_Cont_08</t>
  </si>
  <si>
    <t>Man_Slide_RH_Full_Cont_01</t>
  </si>
  <si>
    <t>Man_Slide_RH_Full_Cont_02</t>
  </si>
  <si>
    <t>Man_Slide_RH_Full_Cont_03</t>
  </si>
  <si>
    <t>Man_Slide_RH_Full_Cont_04</t>
  </si>
  <si>
    <t>Man_Slide_RH_Full_Cont_05</t>
  </si>
  <si>
    <t>Man_Slide_RH_Full_Cont_06</t>
  </si>
  <si>
    <t>Man_Slide_RH_Full_Cont_07</t>
  </si>
  <si>
    <t>Man_Slide_RH_Full_Cont_08</t>
  </si>
  <si>
    <t>Man_Slide_LH_Full_CanCont_01</t>
  </si>
  <si>
    <t>Man_Slide_LH_Full_CanCont_02</t>
  </si>
  <si>
    <t>Man_Slide_LH_Full_CanCont_03</t>
  </si>
  <si>
    <t>Man_Slide_LH_Full_CanCont_04</t>
  </si>
  <si>
    <t>Man_Slide_LH_Full_CanCont_05</t>
  </si>
  <si>
    <t>Man_Slide_LH_Full_CanCont_06</t>
  </si>
  <si>
    <t>Man_Slide_LH_Full_CanCont_07</t>
  </si>
  <si>
    <t>Man_Slide_LH_Full_CanCont_08</t>
  </si>
  <si>
    <t>Man_Slide_LH_Full_CanCont_09</t>
  </si>
  <si>
    <t>Man_Slide_LH_Full_CanCont_10</t>
  </si>
  <si>
    <t>Man_Slide_LH_Full_CanCont_11</t>
  </si>
  <si>
    <t>Man_Slide_LH_Full_CanCont_12</t>
  </si>
  <si>
    <t>Man_Slide_LH_Full_CanCont_13</t>
  </si>
  <si>
    <t>Man_Slide_RH_Full_CanCont_01</t>
  </si>
  <si>
    <t>Man_Slide_RH_Full_CanCont_02</t>
  </si>
  <si>
    <t>Man_Slide_RH_Full_CanCont_03</t>
  </si>
  <si>
    <t>Man_Slide_RH_Full_CanCont_04</t>
  </si>
  <si>
    <t>Man_Slide_RH_Full_CanCont_05</t>
  </si>
  <si>
    <t>Man_Slide_RH_Full_CanCont_06</t>
  </si>
  <si>
    <t>Man_Slide_RH_Full_CanCont_07</t>
  </si>
  <si>
    <t>Man_Slide_RH_Full_CanCont_08</t>
  </si>
  <si>
    <t>Man_Slide_RH_Full_CanCont_09</t>
  </si>
  <si>
    <t>Man_Slide_RH_Full_CanCont_10</t>
  </si>
  <si>
    <t>Man_Slide_RH_Full_CanCont_11</t>
  </si>
  <si>
    <t>Man_Slide_RH_Full_CanCont_12</t>
  </si>
  <si>
    <t>Man_Slide_RH_Full_CanCont_13</t>
  </si>
  <si>
    <t xml:space="preserve"> 0, 0,29, 0, </t>
  </si>
  <si>
    <t xml:space="preserve"> 0, 0, 0,30, </t>
  </si>
  <si>
    <t>};</t>
  </si>
  <si>
    <t>0,                             // Data</t>
  </si>
  <si>
    <t>0,                             // Counter</t>
  </si>
  <si>
    <t>0,                             // Position X</t>
  </si>
  <si>
    <t>0,                             // Position Y</t>
  </si>
  <si>
    <t>255,                             // Frame</t>
  </si>
  <si>
    <t>0                            // EnemyType::None</t>
  </si>
  <si>
    <t>0,                             // Stance::Enemy_None</t>
  </si>
  <si>
    <t>0,                             // Inventory ItemType::None</t>
  </si>
  <si>
    <t>9,                             // Frame</t>
  </si>
  <si>
    <t>Pos X</t>
  </si>
  <si>
    <t>PosY</t>
  </si>
  <si>
    <t>Stance</t>
  </si>
  <si>
    <t>107 Stance::Man_Walk_RH_00
479 Man_Walk_LH_00</t>
  </si>
  <si>
    <t>61,                             // ItemType::Puff</t>
  </si>
  <si>
    <t xml:space="preserve"> 1, 1, 2, 2,</t>
  </si>
  <si>
    <t xml:space="preserve"> 1, 1,</t>
  </si>
  <si>
    <t xml:space="preserve"> 2, 2,</t>
  </si>
  <si>
    <t>16,                             // Position Y</t>
  </si>
  <si>
    <t>38,                             // ItemType::SwingyThing</t>
  </si>
  <si>
    <t xml:space="preserve"> 4, 5, 1, 2,</t>
  </si>
  <si>
    <t xml:space="preserve"> 4, 5,</t>
  </si>
  <si>
    <t xml:space="preserve"> 1, 2,</t>
  </si>
  <si>
    <t>112,                             // Position X</t>
  </si>
  <si>
    <t>Left / Right</t>
  </si>
  <si>
    <t>x</t>
  </si>
  <si>
    <t>y</t>
  </si>
  <si>
    <t>Base</t>
  </si>
  <si>
    <t>from 1</t>
  </si>
  <si>
    <t>From 4</t>
  </si>
  <si>
    <t>from 7</t>
  </si>
  <si>
    <t>from 12</t>
  </si>
  <si>
    <t># Update the distances with the new data</t>
  </si>
  <si>
    <t>additional_distances = {</t>
  </si>
  <si>
    <t xml:space="preserve">    (1, 4): 40, (4, 6): 32, (7, 9): 25, (12, 11): 26</t>
  </si>
  <si>
    <t>}</t>
  </si>
  <si>
    <t># Add new distances to the existing distances</t>
  </si>
  <si>
    <t>for (i, j), dist in additional_distances.items():</t>
  </si>
  <si>
    <t xml:space="preserve">    distance_matrix[i, j] = dist</t>
  </si>
  <si>
    <t xml:space="preserve">    distance_matrix[j, i] = dist  # Symmetric</t>
  </si>
  <si>
    <t># Recompute the shortest distances using the Floyd-Warshall algorithm</t>
  </si>
  <si>
    <t>for k in range(num_positions):</t>
  </si>
  <si>
    <t xml:space="preserve">    for i in range(num_positions):</t>
  </si>
  <si>
    <t xml:space="preserve">        for j in range(num_positions):</t>
  </si>
  <si>
    <t xml:space="preserve">            distance_matrix[i, j] = min(</t>
  </si>
  <si>
    <t xml:space="preserve">                distance_matrix[i, j], distance_matrix[i, k] + distance_matrix[k, j]</t>
  </si>
  <si>
    <t xml:space="preserve">            )</t>
  </si>
  <si>
    <t>distance_matrix</t>
  </si>
  <si>
    <t>array([[ 36., 18., 40., 65., 58., 98., 90., 123., 141., 116., 92., 72., 46., 24.</t>
  </si>
  <si>
    <t>, [ 18., 36., 22., 47., 40., 80., 72., 105., 132., 130., 110., 90., 64., 42.</t>
  </si>
  <si>
    <t>, [ 40., 22., 44., 25., 57., 97., 89., 122., 149., 147., 132., 112., 86., 64.</t>
  </si>
  <si>
    <t>, [ 65., 47., 25., 50., 32., 72., 64., 97., 124., 122., 146., 137., 111., 89.</t>
  </si>
  <si>
    <t>, [ 58., 40., 57., 32., 64., 40., 32., 65., 92., 90., 114., 130., 104., 82.</t>
  </si>
  <si>
    <t>, [ 98., 80., 97., 72., 40., 70., 35., 68., 95., 93., 117., 137., 144., 122.</t>
  </si>
  <si>
    <t>, [ 90., 72., 89., 64., 32., 35., 64., 33., 60., 58., 82., 102., 128., 114.</t>
  </si>
  <si>
    <t>, [123., 105., 122., 97., 65., 68., 33., 50., 27., 25., 49., 69., 95., 117.</t>
  </si>
  <si>
    <t>, [141., 132., 149., 124., 92., 95., 60., 27., 50., 25., 49., 69., 95., 117.</t>
  </si>
  <si>
    <t>, [116., 130., 147., 122., 90., 93., 58., 25., 25., 48., 24., 44., 70., 92.</t>
  </si>
  <si>
    <t>, [ 92., 110., 132., 146., 114., 117., 82., 49., 49., 24., 40., 20., 46., 68.</t>
  </si>
  <si>
    <t>, [ 72., 90., 112., 137., 130., 137., 102., 69., 69., 44., 20., 40., 26., 48.</t>
  </si>
  <si>
    <t>, [ 46., 64., 86., 111., 104., 144., 128., 95., 95., 70., 46., 26., 44., 22.</t>
  </si>
  <si>
    <t>, [ 24., 42., 64., 89., 82., 122., 114., 117., 117., 92., 68., 48., 22., 44.</t>
  </si>
  <si>
    <t>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</si>
</sst>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2"/>
      <color theme="1"/>
      <name val="Aptos Narrow"/>
      <family val="2"/>
      <scheme val="minor"/>
    </font>
    <font>
      <sz val="12"/>
      <color rgb="FF4FC1FF"/>
      <name val="Menlo"/>
      <family val="2"/>
    </font>
    <font>
      <i/>
      <sz val="12"/>
      <color theme="1"/>
      <name val="Aptos Narrow"/>
      <family val="2"/>
      <scheme val="minor"/>
    </font>
    <font>
      <i/>
      <sz val="12"/>
      <color theme="1"/>
      <name val="Aptos Narrow"/>
      <scheme val="minor"/>
    </font>
    <font>
      <sz val="12"/>
      <name val="Aptos Narrow"/>
      <family val="2"/>
      <scheme val="minor"/>
    </font>
    <font>
      <sz val="22"/>
      <color theme="1"/>
      <name val="Aptos Narrow"/>
      <family val="2"/>
      <scheme val="minor"/>
    </font>
    <font>
      <b/>
      <sz val="12"/>
      <color theme="1"/>
      <name val="Aptos Narrow"/>
      <scheme val="minor"/>
    </font>
    <font>
      <sz val="12"/>
      <color theme="1"/>
      <name val="Aptos Narrow"/>
      <scheme val="minor"/>
    </font>
    <font>
      <sz val="12"/>
      <color theme="1"/>
      <name val="Courier New"/>
      <family val="1"/>
    </font>
  </fonts>
  <fills count="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4">
    <xf numFmtId="0" fontId="0" fillId="0" borderId="0" xfId="0"/>
    <xf numFmtId="0" fontId="1" fillId="0" borderId="0" xfId="0" applyFont="1"/>
    <xf numFmtId="0" fontId="2" fillId="0" borderId="0" xfId="0" applyFont="1"/>
    <xf numFmtId="0" fontId="3" fillId="0" borderId="0" xfId="0" applyFont="1"/>
    <xf numFmtId="0" fontId="0" fillId="2" borderId="0" xfId="0" applyFill="1"/>
    <xf numFmtId="0" fontId="1" fillId="2" borderId="0" xfId="0" applyFont="1" applyFill="1"/>
    <xf numFmtId="0" fontId="4" fillId="2" borderId="0" xfId="0" applyFont="1" applyFill="1"/>
    <xf numFmtId="0" fontId="2" fillId="2" borderId="0" xfId="0" applyFont="1" applyFill="1"/>
    <xf numFmtId="0" fontId="1" fillId="3" borderId="0" xfId="0" applyFont="1" applyFill="1"/>
    <xf numFmtId="0" fontId="2" fillId="3" borderId="0" xfId="0" applyFont="1" applyFill="1"/>
    <xf numFmtId="0" fontId="0" fillId="3" borderId="0" xfId="0" applyFill="1"/>
    <xf numFmtId="0" fontId="5" fillId="4" borderId="0" xfId="0" applyFont="1" applyFill="1" applyAlignment="1">
      <alignment horizontal="center" vertical="center"/>
    </xf>
    <xf numFmtId="0" fontId="0" fillId="4" borderId="0" xfId="0" applyFill="1"/>
    <xf numFmtId="0" fontId="6" fillId="0" borderId="0" xfId="0" applyFont="1"/>
    <xf numFmtId="0" fontId="7" fillId="0" borderId="0" xfId="0" applyFont="1" applyAlignment="1">
      <alignment horizontal="center" vertical="center"/>
    </xf>
    <xf numFmtId="0" fontId="0" fillId="0" borderId="0" xfId="0" quotePrefix="1"/>
    <xf numFmtId="0" fontId="7" fillId="0" borderId="0" xfId="0" applyFont="1" applyAlignment="1">
      <alignment horizontal="center" vertical="center" wrapText="1"/>
    </xf>
    <xf numFmtId="0" fontId="8" fillId="0" borderId="0" xfId="0" applyFont="1"/>
    <xf numFmtId="0" fontId="8" fillId="0" borderId="0" xfId="0" quotePrefix="1" applyFont="1"/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0" borderId="0" xfId="0" quotePrefix="1" applyAlignment="1">
      <alignment wrapText="1"/>
    </xf>
    <xf numFmtId="0" fontId="6" fillId="8" borderId="0" xfId="0" applyFont="1" applyFill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E975D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6" Type="http://schemas.openxmlformats.org/officeDocument/2006/relationships/image" Target="../media/image26.png"/><Relationship Id="rId21" Type="http://schemas.openxmlformats.org/officeDocument/2006/relationships/image" Target="../media/image21.png"/><Relationship Id="rId34" Type="http://schemas.openxmlformats.org/officeDocument/2006/relationships/image" Target="../media/image34.png"/><Relationship Id="rId42" Type="http://schemas.openxmlformats.org/officeDocument/2006/relationships/image" Target="../media/image42.png"/><Relationship Id="rId47" Type="http://schemas.openxmlformats.org/officeDocument/2006/relationships/image" Target="../media/image47.png"/><Relationship Id="rId50" Type="http://schemas.openxmlformats.org/officeDocument/2006/relationships/image" Target="../media/image50.png"/><Relationship Id="rId55" Type="http://schemas.openxmlformats.org/officeDocument/2006/relationships/image" Target="../media/image55.png"/><Relationship Id="rId63" Type="http://schemas.openxmlformats.org/officeDocument/2006/relationships/image" Target="../media/image6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9" Type="http://schemas.openxmlformats.org/officeDocument/2006/relationships/image" Target="../media/image29.png"/><Relationship Id="rId11" Type="http://schemas.openxmlformats.org/officeDocument/2006/relationships/image" Target="../media/image11.png"/><Relationship Id="rId24" Type="http://schemas.openxmlformats.org/officeDocument/2006/relationships/image" Target="../media/image24.png"/><Relationship Id="rId32" Type="http://schemas.openxmlformats.org/officeDocument/2006/relationships/image" Target="../media/image32.png"/><Relationship Id="rId37" Type="http://schemas.openxmlformats.org/officeDocument/2006/relationships/image" Target="../media/image37.png"/><Relationship Id="rId40" Type="http://schemas.openxmlformats.org/officeDocument/2006/relationships/image" Target="../media/image40.png"/><Relationship Id="rId45" Type="http://schemas.openxmlformats.org/officeDocument/2006/relationships/image" Target="../media/image45.png"/><Relationship Id="rId53" Type="http://schemas.openxmlformats.org/officeDocument/2006/relationships/image" Target="../media/image53.png"/><Relationship Id="rId58" Type="http://schemas.openxmlformats.org/officeDocument/2006/relationships/image" Target="../media/image58.png"/><Relationship Id="rId66" Type="http://schemas.openxmlformats.org/officeDocument/2006/relationships/image" Target="../media/image66.png"/><Relationship Id="rId5" Type="http://schemas.openxmlformats.org/officeDocument/2006/relationships/image" Target="../media/image5.png"/><Relationship Id="rId61" Type="http://schemas.openxmlformats.org/officeDocument/2006/relationships/image" Target="../media/image61.png"/><Relationship Id="rId19" Type="http://schemas.openxmlformats.org/officeDocument/2006/relationships/image" Target="../media/image1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Relationship Id="rId35" Type="http://schemas.openxmlformats.org/officeDocument/2006/relationships/image" Target="../media/image35.png"/><Relationship Id="rId43" Type="http://schemas.openxmlformats.org/officeDocument/2006/relationships/image" Target="../media/image43.png"/><Relationship Id="rId48" Type="http://schemas.openxmlformats.org/officeDocument/2006/relationships/image" Target="../media/image48.png"/><Relationship Id="rId56" Type="http://schemas.openxmlformats.org/officeDocument/2006/relationships/image" Target="../media/image56.png"/><Relationship Id="rId64" Type="http://schemas.openxmlformats.org/officeDocument/2006/relationships/image" Target="../media/image64.png"/><Relationship Id="rId8" Type="http://schemas.openxmlformats.org/officeDocument/2006/relationships/image" Target="../media/image8.png"/><Relationship Id="rId51" Type="http://schemas.openxmlformats.org/officeDocument/2006/relationships/image" Target="../media/image51.png"/><Relationship Id="rId3" Type="http://schemas.openxmlformats.org/officeDocument/2006/relationships/image" Target="../media/image3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38" Type="http://schemas.openxmlformats.org/officeDocument/2006/relationships/image" Target="../media/image38.png"/><Relationship Id="rId46" Type="http://schemas.openxmlformats.org/officeDocument/2006/relationships/image" Target="../media/image46.png"/><Relationship Id="rId59" Type="http://schemas.openxmlformats.org/officeDocument/2006/relationships/image" Target="../media/image59.png"/><Relationship Id="rId67" Type="http://schemas.openxmlformats.org/officeDocument/2006/relationships/image" Target="../media/image67.png"/><Relationship Id="rId20" Type="http://schemas.openxmlformats.org/officeDocument/2006/relationships/image" Target="../media/image20.png"/><Relationship Id="rId41" Type="http://schemas.openxmlformats.org/officeDocument/2006/relationships/image" Target="../media/image41.png"/><Relationship Id="rId54" Type="http://schemas.openxmlformats.org/officeDocument/2006/relationships/image" Target="../media/image54.png"/><Relationship Id="rId62" Type="http://schemas.openxmlformats.org/officeDocument/2006/relationships/image" Target="../media/image6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36" Type="http://schemas.openxmlformats.org/officeDocument/2006/relationships/image" Target="../media/image36.png"/><Relationship Id="rId49" Type="http://schemas.openxmlformats.org/officeDocument/2006/relationships/image" Target="../media/image49.png"/><Relationship Id="rId57" Type="http://schemas.openxmlformats.org/officeDocument/2006/relationships/image" Target="../media/image57.png"/><Relationship Id="rId10" Type="http://schemas.openxmlformats.org/officeDocument/2006/relationships/image" Target="../media/image10.png"/><Relationship Id="rId31" Type="http://schemas.openxmlformats.org/officeDocument/2006/relationships/image" Target="../media/image31.png"/><Relationship Id="rId44" Type="http://schemas.openxmlformats.org/officeDocument/2006/relationships/image" Target="../media/image44.png"/><Relationship Id="rId52" Type="http://schemas.openxmlformats.org/officeDocument/2006/relationships/image" Target="../media/image52.png"/><Relationship Id="rId60" Type="http://schemas.openxmlformats.org/officeDocument/2006/relationships/image" Target="../media/image60.png"/><Relationship Id="rId65" Type="http://schemas.openxmlformats.org/officeDocument/2006/relationships/image" Target="../media/image65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9" Type="http://schemas.openxmlformats.org/officeDocument/2006/relationships/image" Target="../media/image39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75.png"/><Relationship Id="rId13" Type="http://schemas.openxmlformats.org/officeDocument/2006/relationships/image" Target="../media/image80.png"/><Relationship Id="rId3" Type="http://schemas.openxmlformats.org/officeDocument/2006/relationships/image" Target="../media/image70.png"/><Relationship Id="rId7" Type="http://schemas.openxmlformats.org/officeDocument/2006/relationships/image" Target="../media/image74.png"/><Relationship Id="rId12" Type="http://schemas.openxmlformats.org/officeDocument/2006/relationships/image" Target="../media/image79.png"/><Relationship Id="rId2" Type="http://schemas.openxmlformats.org/officeDocument/2006/relationships/image" Target="../media/image69.png"/><Relationship Id="rId1" Type="http://schemas.openxmlformats.org/officeDocument/2006/relationships/image" Target="../media/image68.png"/><Relationship Id="rId6" Type="http://schemas.openxmlformats.org/officeDocument/2006/relationships/image" Target="../media/image73.png"/><Relationship Id="rId11" Type="http://schemas.openxmlformats.org/officeDocument/2006/relationships/image" Target="../media/image78.png"/><Relationship Id="rId5" Type="http://schemas.openxmlformats.org/officeDocument/2006/relationships/image" Target="../media/image72.png"/><Relationship Id="rId10" Type="http://schemas.openxmlformats.org/officeDocument/2006/relationships/image" Target="../media/image77.png"/><Relationship Id="rId4" Type="http://schemas.openxmlformats.org/officeDocument/2006/relationships/image" Target="../media/image71.png"/><Relationship Id="rId9" Type="http://schemas.openxmlformats.org/officeDocument/2006/relationships/image" Target="../media/image76.png"/><Relationship Id="rId14" Type="http://schemas.openxmlformats.org/officeDocument/2006/relationships/image" Target="../media/image81.png"/></Relationships>
</file>

<file path=xl/drawings/_rels/drawing3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26" Type="http://schemas.openxmlformats.org/officeDocument/2006/relationships/image" Target="../media/image82.png"/><Relationship Id="rId39" Type="http://schemas.openxmlformats.org/officeDocument/2006/relationships/image" Target="../media/image35.png"/><Relationship Id="rId21" Type="http://schemas.openxmlformats.org/officeDocument/2006/relationships/image" Target="../media/image21.png"/><Relationship Id="rId34" Type="http://schemas.openxmlformats.org/officeDocument/2006/relationships/image" Target="../media/image30.png"/><Relationship Id="rId42" Type="http://schemas.openxmlformats.org/officeDocument/2006/relationships/image" Target="../media/image38.png"/><Relationship Id="rId47" Type="http://schemas.openxmlformats.org/officeDocument/2006/relationships/image" Target="../media/image43.png"/><Relationship Id="rId50" Type="http://schemas.openxmlformats.org/officeDocument/2006/relationships/image" Target="../media/image46.png"/><Relationship Id="rId55" Type="http://schemas.openxmlformats.org/officeDocument/2006/relationships/image" Target="../media/image86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9" Type="http://schemas.openxmlformats.org/officeDocument/2006/relationships/image" Target="../media/image85.png"/><Relationship Id="rId11" Type="http://schemas.openxmlformats.org/officeDocument/2006/relationships/image" Target="../media/image11.png"/><Relationship Id="rId24" Type="http://schemas.openxmlformats.org/officeDocument/2006/relationships/image" Target="../media/image24.png"/><Relationship Id="rId32" Type="http://schemas.openxmlformats.org/officeDocument/2006/relationships/image" Target="../media/image28.png"/><Relationship Id="rId37" Type="http://schemas.openxmlformats.org/officeDocument/2006/relationships/image" Target="../media/image33.png"/><Relationship Id="rId40" Type="http://schemas.openxmlformats.org/officeDocument/2006/relationships/image" Target="../media/image36.png"/><Relationship Id="rId45" Type="http://schemas.openxmlformats.org/officeDocument/2006/relationships/image" Target="../media/image41.png"/><Relationship Id="rId53" Type="http://schemas.openxmlformats.org/officeDocument/2006/relationships/image" Target="../media/image49.png"/><Relationship Id="rId5" Type="http://schemas.openxmlformats.org/officeDocument/2006/relationships/image" Target="../media/image5.png"/><Relationship Id="rId10" Type="http://schemas.openxmlformats.org/officeDocument/2006/relationships/image" Target="../media/image10.png"/><Relationship Id="rId19" Type="http://schemas.openxmlformats.org/officeDocument/2006/relationships/image" Target="../media/image19.png"/><Relationship Id="rId31" Type="http://schemas.openxmlformats.org/officeDocument/2006/relationships/image" Target="../media/image27.png"/><Relationship Id="rId44" Type="http://schemas.openxmlformats.org/officeDocument/2006/relationships/image" Target="../media/image40.png"/><Relationship Id="rId52" Type="http://schemas.openxmlformats.org/officeDocument/2006/relationships/image" Target="../media/image48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83.png"/><Relationship Id="rId30" Type="http://schemas.openxmlformats.org/officeDocument/2006/relationships/image" Target="../media/image26.png"/><Relationship Id="rId35" Type="http://schemas.openxmlformats.org/officeDocument/2006/relationships/image" Target="../media/image31.png"/><Relationship Id="rId43" Type="http://schemas.openxmlformats.org/officeDocument/2006/relationships/image" Target="../media/image39.png"/><Relationship Id="rId48" Type="http://schemas.openxmlformats.org/officeDocument/2006/relationships/image" Target="../media/image44.png"/><Relationship Id="rId56" Type="http://schemas.openxmlformats.org/officeDocument/2006/relationships/image" Target="../media/image87.png"/><Relationship Id="rId8" Type="http://schemas.openxmlformats.org/officeDocument/2006/relationships/image" Target="../media/image8.png"/><Relationship Id="rId51" Type="http://schemas.openxmlformats.org/officeDocument/2006/relationships/image" Target="../media/image47.png"/><Relationship Id="rId3" Type="http://schemas.openxmlformats.org/officeDocument/2006/relationships/image" Target="../media/image3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29.png"/><Relationship Id="rId38" Type="http://schemas.openxmlformats.org/officeDocument/2006/relationships/image" Target="../media/image34.png"/><Relationship Id="rId46" Type="http://schemas.openxmlformats.org/officeDocument/2006/relationships/image" Target="../media/image42.png"/><Relationship Id="rId20" Type="http://schemas.openxmlformats.org/officeDocument/2006/relationships/image" Target="../media/image20.png"/><Relationship Id="rId41" Type="http://schemas.openxmlformats.org/officeDocument/2006/relationships/image" Target="../media/image37.png"/><Relationship Id="rId54" Type="http://schemas.openxmlformats.org/officeDocument/2006/relationships/image" Target="../media/image50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84.png"/><Relationship Id="rId36" Type="http://schemas.openxmlformats.org/officeDocument/2006/relationships/image" Target="../media/image32.png"/><Relationship Id="rId49" Type="http://schemas.openxmlformats.org/officeDocument/2006/relationships/image" Target="../media/image4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25400</xdr:colOff>
      <xdr:row>0</xdr:row>
      <xdr:rowOff>25400</xdr:rowOff>
    </xdr:from>
    <xdr:to>
      <xdr:col>0</xdr:col>
      <xdr:colOff>799400</xdr:colOff>
      <xdr:row>0</xdr:row>
      <xdr:rowOff>799400</xdr:rowOff>
    </xdr:to>
    <xdr:pic>
      <xdr:nvPicPr>
        <xdr:cNvPr id="2" name="Picture 1" descr=" 1, 1, 2, 2,">
          <a:extLst>
            <a:ext uri="{FF2B5EF4-FFF2-40B4-BE49-F238E27FC236}">
              <a16:creationId xmlns:a16="http://schemas.microsoft.com/office/drawing/2014/main" id="{94ED1192-DF96-4C43-823A-036217F7D7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5400" y="25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</xdr:colOff>
      <xdr:row>1</xdr:row>
      <xdr:rowOff>25400</xdr:rowOff>
    </xdr:from>
    <xdr:to>
      <xdr:col>0</xdr:col>
      <xdr:colOff>812100</xdr:colOff>
      <xdr:row>1</xdr:row>
      <xdr:rowOff>799400</xdr:rowOff>
    </xdr:to>
    <xdr:pic>
      <xdr:nvPicPr>
        <xdr:cNvPr id="3" name="Picture 2" descr=" 1, 0, 2, 0,">
          <a:extLst>
            <a:ext uri="{FF2B5EF4-FFF2-40B4-BE49-F238E27FC236}">
              <a16:creationId xmlns:a16="http://schemas.microsoft.com/office/drawing/2014/main" id="{C286302E-7822-3740-9807-EC05196656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8100" y="886178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</xdr:colOff>
      <xdr:row>2</xdr:row>
      <xdr:rowOff>25400</xdr:rowOff>
    </xdr:from>
    <xdr:to>
      <xdr:col>0</xdr:col>
      <xdr:colOff>812100</xdr:colOff>
      <xdr:row>2</xdr:row>
      <xdr:rowOff>799400</xdr:rowOff>
    </xdr:to>
    <xdr:pic>
      <xdr:nvPicPr>
        <xdr:cNvPr id="4" name="Picture 3" descr=" 0, 1, 0, 2,">
          <a:extLst>
            <a:ext uri="{FF2B5EF4-FFF2-40B4-BE49-F238E27FC236}">
              <a16:creationId xmlns:a16="http://schemas.microsoft.com/office/drawing/2014/main" id="{77D77530-79A9-ED43-A445-4853138E34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8100" y="1746956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</xdr:colOff>
      <xdr:row>3</xdr:row>
      <xdr:rowOff>25400</xdr:rowOff>
    </xdr:from>
    <xdr:to>
      <xdr:col>0</xdr:col>
      <xdr:colOff>812100</xdr:colOff>
      <xdr:row>3</xdr:row>
      <xdr:rowOff>799400</xdr:rowOff>
    </xdr:to>
    <xdr:pic>
      <xdr:nvPicPr>
        <xdr:cNvPr id="5" name="Picture 4" descr=" 4, 5, 1, 2,">
          <a:extLst>
            <a:ext uri="{FF2B5EF4-FFF2-40B4-BE49-F238E27FC236}">
              <a16:creationId xmlns:a16="http://schemas.microsoft.com/office/drawing/2014/main" id="{2EE04FB5-A3B0-CB4B-87EB-3FD66C52CB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8100" y="2616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0</xdr:row>
      <xdr:rowOff>25400</xdr:rowOff>
    </xdr:from>
    <xdr:to>
      <xdr:col>1</xdr:col>
      <xdr:colOff>799400</xdr:colOff>
      <xdr:row>0</xdr:row>
      <xdr:rowOff>799400</xdr:rowOff>
    </xdr:to>
    <xdr:pic>
      <xdr:nvPicPr>
        <xdr:cNvPr id="6" name="Picture 5" descr=" 0, 0, 1, 1">
          <a:extLst>
            <a:ext uri="{FF2B5EF4-FFF2-40B4-BE49-F238E27FC236}">
              <a16:creationId xmlns:a16="http://schemas.microsoft.com/office/drawing/2014/main" id="{039964A9-3812-524D-8236-75EE708B67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872067" y="25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</xdr:row>
      <xdr:rowOff>25400</xdr:rowOff>
    </xdr:from>
    <xdr:to>
      <xdr:col>1</xdr:col>
      <xdr:colOff>799400</xdr:colOff>
      <xdr:row>4</xdr:row>
      <xdr:rowOff>799400</xdr:rowOff>
    </xdr:to>
    <xdr:pic>
      <xdr:nvPicPr>
        <xdr:cNvPr id="7" name="Picture 6" descr=" 0, 0, 0, 6,">
          <a:extLst>
            <a:ext uri="{FF2B5EF4-FFF2-40B4-BE49-F238E27FC236}">
              <a16:creationId xmlns:a16="http://schemas.microsoft.com/office/drawing/2014/main" id="{8B9DBBB5-9063-F047-B536-BB91E966A6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876300" y="34798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4</xdr:row>
      <xdr:rowOff>25400</xdr:rowOff>
    </xdr:from>
    <xdr:to>
      <xdr:col>0</xdr:col>
      <xdr:colOff>799400</xdr:colOff>
      <xdr:row>4</xdr:row>
      <xdr:rowOff>799400</xdr:rowOff>
    </xdr:to>
    <xdr:pic>
      <xdr:nvPicPr>
        <xdr:cNvPr id="8" name="Picture 7" descr=" 0, 0,11, 0,">
          <a:extLst>
            <a:ext uri="{FF2B5EF4-FFF2-40B4-BE49-F238E27FC236}">
              <a16:creationId xmlns:a16="http://schemas.microsoft.com/office/drawing/2014/main" id="{4D7D50B2-D6FD-8441-AB71-F9CA7A6370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25400" y="34798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</xdr:row>
      <xdr:rowOff>25400</xdr:rowOff>
    </xdr:from>
    <xdr:to>
      <xdr:col>1</xdr:col>
      <xdr:colOff>799400</xdr:colOff>
      <xdr:row>3</xdr:row>
      <xdr:rowOff>799400</xdr:rowOff>
    </xdr:to>
    <xdr:pic>
      <xdr:nvPicPr>
        <xdr:cNvPr id="9" name="Picture 8" descr=" 9,10, 2, 1,">
          <a:extLst>
            <a:ext uri="{FF2B5EF4-FFF2-40B4-BE49-F238E27FC236}">
              <a16:creationId xmlns:a16="http://schemas.microsoft.com/office/drawing/2014/main" id="{4A90C69C-52D2-A34E-BCB6-822AC75ADC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76300" y="2616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38100</xdr:colOff>
      <xdr:row>9</xdr:row>
      <xdr:rowOff>38100</xdr:rowOff>
    </xdr:from>
    <xdr:to>
      <xdr:col>1</xdr:col>
      <xdr:colOff>812100</xdr:colOff>
      <xdr:row>9</xdr:row>
      <xdr:rowOff>812100</xdr:rowOff>
    </xdr:to>
    <xdr:pic>
      <xdr:nvPicPr>
        <xdr:cNvPr id="10" name="Picture 9" descr="12,12, 7, 7,">
          <a:extLst>
            <a:ext uri="{FF2B5EF4-FFF2-40B4-BE49-F238E27FC236}">
              <a16:creationId xmlns:a16="http://schemas.microsoft.com/office/drawing/2014/main" id="{92CC138C-E5B2-C243-A6DD-44ACC73BE2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889000" y="78105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10</xdr:row>
      <xdr:rowOff>38100</xdr:rowOff>
    </xdr:from>
    <xdr:to>
      <xdr:col>0</xdr:col>
      <xdr:colOff>799400</xdr:colOff>
      <xdr:row>10</xdr:row>
      <xdr:rowOff>812100</xdr:rowOff>
    </xdr:to>
    <xdr:pic>
      <xdr:nvPicPr>
        <xdr:cNvPr id="11" name="Picture 10" descr=" 8, 8,12,12,">
          <a:extLst>
            <a:ext uri="{FF2B5EF4-FFF2-40B4-BE49-F238E27FC236}">
              <a16:creationId xmlns:a16="http://schemas.microsoft.com/office/drawing/2014/main" id="{4C34A6AF-A648-A544-89B0-FA69071360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5400" y="86741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</xdr:row>
      <xdr:rowOff>25400</xdr:rowOff>
    </xdr:from>
    <xdr:to>
      <xdr:col>1</xdr:col>
      <xdr:colOff>799400</xdr:colOff>
      <xdr:row>10</xdr:row>
      <xdr:rowOff>799400</xdr:rowOff>
    </xdr:to>
    <xdr:pic>
      <xdr:nvPicPr>
        <xdr:cNvPr id="12" name="Picture 11" descr="12,12,12,12,">
          <a:extLst>
            <a:ext uri="{FF2B5EF4-FFF2-40B4-BE49-F238E27FC236}">
              <a16:creationId xmlns:a16="http://schemas.microsoft.com/office/drawing/2014/main" id="{FB0572C6-23FA-7248-8861-53BFF5C8DE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876300" y="8661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11</xdr:row>
      <xdr:rowOff>25400</xdr:rowOff>
    </xdr:from>
    <xdr:to>
      <xdr:col>0</xdr:col>
      <xdr:colOff>799400</xdr:colOff>
      <xdr:row>11</xdr:row>
      <xdr:rowOff>799400</xdr:rowOff>
    </xdr:to>
    <xdr:pic>
      <xdr:nvPicPr>
        <xdr:cNvPr id="13" name="Picture 12" descr="13,15,13, 0,">
          <a:extLst>
            <a:ext uri="{FF2B5EF4-FFF2-40B4-BE49-F238E27FC236}">
              <a16:creationId xmlns:a16="http://schemas.microsoft.com/office/drawing/2014/main" id="{34174AF7-B97A-9442-8CF6-4898D5AA8F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25400" y="9525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</xdr:col>
      <xdr:colOff>41275</xdr:colOff>
      <xdr:row>11</xdr:row>
      <xdr:rowOff>41275</xdr:rowOff>
    </xdr:from>
    <xdr:to>
      <xdr:col>2</xdr:col>
      <xdr:colOff>815275</xdr:colOff>
      <xdr:row>11</xdr:row>
      <xdr:rowOff>815275</xdr:rowOff>
    </xdr:to>
    <xdr:pic>
      <xdr:nvPicPr>
        <xdr:cNvPr id="14" name="Picture 13" descr="15,15, 0, 0,">
          <a:extLst>
            <a:ext uri="{FF2B5EF4-FFF2-40B4-BE49-F238E27FC236}">
              <a16:creationId xmlns:a16="http://schemas.microsoft.com/office/drawing/2014/main" id="{E4A8655A-74E1-0541-8874-4AE99B72D2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755775" y="94710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50800</xdr:colOff>
      <xdr:row>11</xdr:row>
      <xdr:rowOff>25400</xdr:rowOff>
    </xdr:from>
    <xdr:to>
      <xdr:col>1</xdr:col>
      <xdr:colOff>824800</xdr:colOff>
      <xdr:row>11</xdr:row>
      <xdr:rowOff>799400</xdr:rowOff>
    </xdr:to>
    <xdr:pic>
      <xdr:nvPicPr>
        <xdr:cNvPr id="15" name="Picture 14" descr="15,14, 0,14,">
          <a:extLst>
            <a:ext uri="{FF2B5EF4-FFF2-40B4-BE49-F238E27FC236}">
              <a16:creationId xmlns:a16="http://schemas.microsoft.com/office/drawing/2014/main" id="{702B7F5E-273F-934C-90E3-83CAF4E821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901700" y="9525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4</xdr:col>
      <xdr:colOff>57150</xdr:colOff>
      <xdr:row>11</xdr:row>
      <xdr:rowOff>53975</xdr:rowOff>
    </xdr:from>
    <xdr:to>
      <xdr:col>4</xdr:col>
      <xdr:colOff>831150</xdr:colOff>
      <xdr:row>11</xdr:row>
      <xdr:rowOff>827975</xdr:rowOff>
    </xdr:to>
    <xdr:pic>
      <xdr:nvPicPr>
        <xdr:cNvPr id="16" name="Picture 15" descr="16, 0, 1, 1,">
          <a:extLst>
            <a:ext uri="{FF2B5EF4-FFF2-40B4-BE49-F238E27FC236}">
              <a16:creationId xmlns:a16="http://schemas.microsoft.com/office/drawing/2014/main" id="{A2E2A27D-405F-7B46-95D0-8A5E9E6F20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3486150" y="94837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5</xdr:col>
      <xdr:colOff>73025</xdr:colOff>
      <xdr:row>11</xdr:row>
      <xdr:rowOff>53975</xdr:rowOff>
    </xdr:from>
    <xdr:to>
      <xdr:col>6</xdr:col>
      <xdr:colOff>358</xdr:colOff>
      <xdr:row>11</xdr:row>
      <xdr:rowOff>827975</xdr:rowOff>
    </xdr:to>
    <xdr:pic>
      <xdr:nvPicPr>
        <xdr:cNvPr id="17" name="Picture 16" descr=" 0,17, 1, 1,">
          <a:extLst>
            <a:ext uri="{FF2B5EF4-FFF2-40B4-BE49-F238E27FC236}">
              <a16:creationId xmlns:a16="http://schemas.microsoft.com/office/drawing/2014/main" id="{990ED5E8-5D33-0A4C-812B-6234BD7F3E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4359275" y="94837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3</xdr:col>
      <xdr:colOff>41275</xdr:colOff>
      <xdr:row>11</xdr:row>
      <xdr:rowOff>41275</xdr:rowOff>
    </xdr:from>
    <xdr:to>
      <xdr:col>3</xdr:col>
      <xdr:colOff>815275</xdr:colOff>
      <xdr:row>11</xdr:row>
      <xdr:rowOff>815275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1B29F8AA-F8E1-BC4B-8105-2286677922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613025" y="94710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5</xdr:row>
      <xdr:rowOff>25400</xdr:rowOff>
    </xdr:from>
    <xdr:to>
      <xdr:col>0</xdr:col>
      <xdr:colOff>799400</xdr:colOff>
      <xdr:row>5</xdr:row>
      <xdr:rowOff>799400</xdr:rowOff>
    </xdr:to>
    <xdr:pic>
      <xdr:nvPicPr>
        <xdr:cNvPr id="19" name="Picture 18" descr="19, 0, 2, 0,">
          <a:extLst>
            <a:ext uri="{FF2B5EF4-FFF2-40B4-BE49-F238E27FC236}">
              <a16:creationId xmlns:a16="http://schemas.microsoft.com/office/drawing/2014/main" id="{1EF45816-F86A-BD4F-BD30-66B50601E3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400" y="4343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38100</xdr:colOff>
      <xdr:row>5</xdr:row>
      <xdr:rowOff>25400</xdr:rowOff>
    </xdr:from>
    <xdr:to>
      <xdr:col>1</xdr:col>
      <xdr:colOff>812100</xdr:colOff>
      <xdr:row>5</xdr:row>
      <xdr:rowOff>799400</xdr:rowOff>
    </xdr:to>
    <xdr:pic>
      <xdr:nvPicPr>
        <xdr:cNvPr id="20" name="Picture 19" descr=" 0,21, 0, 2,">
          <a:extLst>
            <a:ext uri="{FF2B5EF4-FFF2-40B4-BE49-F238E27FC236}">
              <a16:creationId xmlns:a16="http://schemas.microsoft.com/office/drawing/2014/main" id="{EA247AC6-D3B0-C440-A1DF-39718D5CAA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889000" y="4343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6</xdr:row>
      <xdr:rowOff>25400</xdr:rowOff>
    </xdr:from>
    <xdr:to>
      <xdr:col>0</xdr:col>
      <xdr:colOff>799400</xdr:colOff>
      <xdr:row>6</xdr:row>
      <xdr:rowOff>799400</xdr:rowOff>
    </xdr:to>
    <xdr:pic>
      <xdr:nvPicPr>
        <xdr:cNvPr id="21" name="Picture 20">
          <a:extLst>
            <a:ext uri="{FF2B5EF4-FFF2-40B4-BE49-F238E27FC236}">
              <a16:creationId xmlns:a16="http://schemas.microsoft.com/office/drawing/2014/main" id="{74C790E1-C00C-B14D-B3F0-03C2588B10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400" y="5207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</xdr:row>
      <xdr:rowOff>25400</xdr:rowOff>
    </xdr:from>
    <xdr:to>
      <xdr:col>1</xdr:col>
      <xdr:colOff>799400</xdr:colOff>
      <xdr:row>6</xdr:row>
      <xdr:rowOff>799400</xdr:rowOff>
    </xdr:to>
    <xdr:pic>
      <xdr:nvPicPr>
        <xdr:cNvPr id="22" name="Picture 21">
          <a:extLst>
            <a:ext uri="{FF2B5EF4-FFF2-40B4-BE49-F238E27FC236}">
              <a16:creationId xmlns:a16="http://schemas.microsoft.com/office/drawing/2014/main" id="{15D46536-E706-3748-BFFB-CDCC4EDFF1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876300" y="5207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7</xdr:row>
      <xdr:rowOff>25400</xdr:rowOff>
    </xdr:from>
    <xdr:to>
      <xdr:col>0</xdr:col>
      <xdr:colOff>799400</xdr:colOff>
      <xdr:row>7</xdr:row>
      <xdr:rowOff>799400</xdr:rowOff>
    </xdr:to>
    <xdr:pic>
      <xdr:nvPicPr>
        <xdr:cNvPr id="23" name="Picture 22" descr=" 1,19, 2, 2,">
          <a:extLst>
            <a:ext uri="{FF2B5EF4-FFF2-40B4-BE49-F238E27FC236}">
              <a16:creationId xmlns:a16="http://schemas.microsoft.com/office/drawing/2014/main" id="{B63293C8-3BB4-E040-8F7E-32ED9B842C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400" y="60706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8</xdr:row>
      <xdr:rowOff>25400</xdr:rowOff>
    </xdr:from>
    <xdr:to>
      <xdr:col>0</xdr:col>
      <xdr:colOff>799400</xdr:colOff>
      <xdr:row>8</xdr:row>
      <xdr:rowOff>799400</xdr:rowOff>
    </xdr:to>
    <xdr:pic>
      <xdr:nvPicPr>
        <xdr:cNvPr id="24" name="Picture 23" descr="20, 0, 2,20,">
          <a:extLst>
            <a:ext uri="{FF2B5EF4-FFF2-40B4-BE49-F238E27FC236}">
              <a16:creationId xmlns:a16="http://schemas.microsoft.com/office/drawing/2014/main" id="{33443FAC-F202-3E4A-AF84-1EA5C2DDB5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5400" y="6934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</xdr:row>
      <xdr:rowOff>25400</xdr:rowOff>
    </xdr:from>
    <xdr:to>
      <xdr:col>1</xdr:col>
      <xdr:colOff>799400</xdr:colOff>
      <xdr:row>7</xdr:row>
      <xdr:rowOff>799400</xdr:rowOff>
    </xdr:to>
    <xdr:pic>
      <xdr:nvPicPr>
        <xdr:cNvPr id="25" name="Picture 24" descr="21, 1, 2, 2,">
          <a:extLst>
            <a:ext uri="{FF2B5EF4-FFF2-40B4-BE49-F238E27FC236}">
              <a16:creationId xmlns:a16="http://schemas.microsoft.com/office/drawing/2014/main" id="{836AA78F-0B37-814B-A99F-A7428F5B81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876300" y="60706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38100</xdr:colOff>
      <xdr:row>8</xdr:row>
      <xdr:rowOff>25400</xdr:rowOff>
    </xdr:from>
    <xdr:to>
      <xdr:col>1</xdr:col>
      <xdr:colOff>812100</xdr:colOff>
      <xdr:row>8</xdr:row>
      <xdr:rowOff>799400</xdr:rowOff>
    </xdr:to>
    <xdr:pic>
      <xdr:nvPicPr>
        <xdr:cNvPr id="26" name="Picture 25" descr=" 0,22,22, 2,">
          <a:extLst>
            <a:ext uri="{FF2B5EF4-FFF2-40B4-BE49-F238E27FC236}">
              <a16:creationId xmlns:a16="http://schemas.microsoft.com/office/drawing/2014/main" id="{F4C97CD7-0862-4742-A18A-F1FAD703B4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889000" y="6934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10</xdr:col>
      <xdr:colOff>53975</xdr:colOff>
      <xdr:row>11</xdr:row>
      <xdr:rowOff>73025</xdr:rowOff>
    </xdr:from>
    <xdr:to>
      <xdr:col>10</xdr:col>
      <xdr:colOff>827975</xdr:colOff>
      <xdr:row>11</xdr:row>
      <xdr:rowOff>847025</xdr:rowOff>
    </xdr:to>
    <xdr:pic>
      <xdr:nvPicPr>
        <xdr:cNvPr id="31" name="Picture 30" descr="33,33,31,31,">
          <a:extLst>
            <a:ext uri="{FF2B5EF4-FFF2-40B4-BE49-F238E27FC236}">
              <a16:creationId xmlns:a16="http://schemas.microsoft.com/office/drawing/2014/main" id="{2D1E647E-C500-3142-92A7-453A3183BA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8626475" y="95027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11</xdr:col>
      <xdr:colOff>41275</xdr:colOff>
      <xdr:row>11</xdr:row>
      <xdr:rowOff>73025</xdr:rowOff>
    </xdr:from>
    <xdr:to>
      <xdr:col>11</xdr:col>
      <xdr:colOff>815275</xdr:colOff>
      <xdr:row>11</xdr:row>
      <xdr:rowOff>847025</xdr:rowOff>
    </xdr:to>
    <xdr:pic>
      <xdr:nvPicPr>
        <xdr:cNvPr id="32" name="Picture 31" descr="31,31,31,31,">
          <a:extLst>
            <a:ext uri="{FF2B5EF4-FFF2-40B4-BE49-F238E27FC236}">
              <a16:creationId xmlns:a16="http://schemas.microsoft.com/office/drawing/2014/main" id="{C7C37EE3-38BB-EB4B-9B7C-DEC9FE73A7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9471025" y="95027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12</xdr:col>
      <xdr:colOff>88900</xdr:colOff>
      <xdr:row>11</xdr:row>
      <xdr:rowOff>73025</xdr:rowOff>
    </xdr:from>
    <xdr:to>
      <xdr:col>13</xdr:col>
      <xdr:colOff>5650</xdr:colOff>
      <xdr:row>11</xdr:row>
      <xdr:rowOff>847025</xdr:rowOff>
    </xdr:to>
    <xdr:pic>
      <xdr:nvPicPr>
        <xdr:cNvPr id="33" name="Picture 32" descr="31,31,32,32,">
          <a:extLst>
            <a:ext uri="{FF2B5EF4-FFF2-40B4-BE49-F238E27FC236}">
              <a16:creationId xmlns:a16="http://schemas.microsoft.com/office/drawing/2014/main" id="{82980AEA-77F6-E64F-929E-027A3798C5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0375900" y="95027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73025</xdr:colOff>
      <xdr:row>11</xdr:row>
      <xdr:rowOff>73025</xdr:rowOff>
    </xdr:from>
    <xdr:to>
      <xdr:col>15</xdr:col>
      <xdr:colOff>358</xdr:colOff>
      <xdr:row>11</xdr:row>
      <xdr:rowOff>847025</xdr:rowOff>
    </xdr:to>
    <xdr:pic>
      <xdr:nvPicPr>
        <xdr:cNvPr id="34" name="Picture 33" descr=" 0, 0,39,39,">
          <a:extLst>
            <a:ext uri="{FF2B5EF4-FFF2-40B4-BE49-F238E27FC236}">
              <a16:creationId xmlns:a16="http://schemas.microsoft.com/office/drawing/2014/main" id="{18E8B3E3-0F7D-8C46-9C6C-D374084E5E9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9"/>
        <a:srcRect l="25494" t="50593" r="62450"/>
        <a:stretch/>
      </xdr:blipFill>
      <xdr:spPr>
        <a:xfrm>
          <a:off x="12074525" y="95027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41275</xdr:colOff>
      <xdr:row>11</xdr:row>
      <xdr:rowOff>73025</xdr:rowOff>
    </xdr:from>
    <xdr:to>
      <xdr:col>15</xdr:col>
      <xdr:colOff>815275</xdr:colOff>
      <xdr:row>11</xdr:row>
      <xdr:rowOff>847025</xdr:rowOff>
    </xdr:to>
    <xdr:pic>
      <xdr:nvPicPr>
        <xdr:cNvPr id="35" name="Picture 34" descr=" 0, 0,40,40,">
          <a:extLst>
            <a:ext uri="{FF2B5EF4-FFF2-40B4-BE49-F238E27FC236}">
              <a16:creationId xmlns:a16="http://schemas.microsoft.com/office/drawing/2014/main" id="{9D7FD14C-D7C9-E840-B9C3-A7AC042A338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0"/>
        <a:srcRect r="88235" b="52157"/>
        <a:stretch/>
      </xdr:blipFill>
      <xdr:spPr>
        <a:xfrm>
          <a:off x="12900025" y="95027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9</xdr:row>
      <xdr:rowOff>0</xdr:rowOff>
    </xdr:from>
    <xdr:to>
      <xdr:col>0</xdr:col>
      <xdr:colOff>786484</xdr:colOff>
      <xdr:row>9</xdr:row>
      <xdr:rowOff>774000</xdr:rowOff>
    </xdr:to>
    <xdr:pic>
      <xdr:nvPicPr>
        <xdr:cNvPr id="36" name="Picture 35" descr=" 8, 8, 7, 7,">
          <a:extLst>
            <a:ext uri="{FF2B5EF4-FFF2-40B4-BE49-F238E27FC236}">
              <a16:creationId xmlns:a16="http://schemas.microsoft.com/office/drawing/2014/main" id="{5AD81201-B4BF-6447-A13B-5316D558CF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0" y="7772400"/>
          <a:ext cx="786484" cy="774000"/>
        </a:xfrm>
        <a:prstGeom prst="rect">
          <a:avLst/>
        </a:prstGeom>
      </xdr:spPr>
    </xdr:pic>
    <xdr:clientData/>
  </xdr:twoCellAnchor>
  <xdr:twoCellAnchor editAs="oneCell">
    <xdr:from>
      <xdr:col>13</xdr:col>
      <xdr:colOff>73025</xdr:colOff>
      <xdr:row>11</xdr:row>
      <xdr:rowOff>73025</xdr:rowOff>
    </xdr:from>
    <xdr:to>
      <xdr:col>14</xdr:col>
      <xdr:colOff>359</xdr:colOff>
      <xdr:row>11</xdr:row>
      <xdr:rowOff>847025</xdr:rowOff>
    </xdr:to>
    <xdr:pic>
      <xdr:nvPicPr>
        <xdr:cNvPr id="75" name="Picture 74" descr=" 0, 0,38,38,">
          <a:extLst>
            <a:ext uri="{FF2B5EF4-FFF2-40B4-BE49-F238E27FC236}">
              <a16:creationId xmlns:a16="http://schemas.microsoft.com/office/drawing/2014/main" id="{6380AF5B-E42B-3142-842D-1C3EBE1671B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2"/>
        <a:srcRect r="87800" b="51200"/>
        <a:stretch/>
      </xdr:blipFill>
      <xdr:spPr>
        <a:xfrm>
          <a:off x="11217275" y="95027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12</xdr:row>
      <xdr:rowOff>47625</xdr:rowOff>
    </xdr:from>
    <xdr:to>
      <xdr:col>0</xdr:col>
      <xdr:colOff>841375</xdr:colOff>
      <xdr:row>12</xdr:row>
      <xdr:rowOff>833438</xdr:rowOff>
    </xdr:to>
    <xdr:pic>
      <xdr:nvPicPr>
        <xdr:cNvPr id="105" name="Picture 104" descr="Item:Key1,Pos:1">
          <a:extLst>
            <a:ext uri="{FF2B5EF4-FFF2-40B4-BE49-F238E27FC236}">
              <a16:creationId xmlns:a16="http://schemas.microsoft.com/office/drawing/2014/main" id="{7541DB6A-1C42-948D-33DC-828541E363C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3"/>
        <a:srcRect r="87342"/>
        <a:stretch/>
      </xdr:blipFill>
      <xdr:spPr>
        <a:xfrm>
          <a:off x="47625" y="10334625"/>
          <a:ext cx="793750" cy="785813"/>
        </a:xfrm>
        <a:prstGeom prst="rect">
          <a:avLst/>
        </a:prstGeom>
      </xdr:spPr>
    </xdr:pic>
    <xdr:clientData/>
  </xdr:twoCellAnchor>
  <xdr:twoCellAnchor editAs="oneCell">
    <xdr:from>
      <xdr:col>1</xdr:col>
      <xdr:colOff>47625</xdr:colOff>
      <xdr:row>12</xdr:row>
      <xdr:rowOff>47624</xdr:rowOff>
    </xdr:from>
    <xdr:to>
      <xdr:col>1</xdr:col>
      <xdr:colOff>825500</xdr:colOff>
      <xdr:row>12</xdr:row>
      <xdr:rowOff>825500</xdr:rowOff>
    </xdr:to>
    <xdr:pic>
      <xdr:nvPicPr>
        <xdr:cNvPr id="106" name="Picture 105" descr="Item:WoodenBarrier,Pos:1">
          <a:extLst>
            <a:ext uri="{FF2B5EF4-FFF2-40B4-BE49-F238E27FC236}">
              <a16:creationId xmlns:a16="http://schemas.microsoft.com/office/drawing/2014/main" id="{6CFF3851-B4B8-F18D-AA20-50AF629E6DD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4"/>
        <a:srcRect r="87500"/>
        <a:stretch/>
      </xdr:blipFill>
      <xdr:spPr>
        <a:xfrm>
          <a:off x="904875" y="10334624"/>
          <a:ext cx="777875" cy="777876"/>
        </a:xfrm>
        <a:prstGeom prst="rect">
          <a:avLst/>
        </a:prstGeom>
      </xdr:spPr>
    </xdr:pic>
    <xdr:clientData/>
  </xdr:twoCellAnchor>
  <xdr:twoCellAnchor editAs="oneCell">
    <xdr:from>
      <xdr:col>2</xdr:col>
      <xdr:colOff>23091</xdr:colOff>
      <xdr:row>12</xdr:row>
      <xdr:rowOff>34638</xdr:rowOff>
    </xdr:from>
    <xdr:to>
      <xdr:col>2</xdr:col>
      <xdr:colOff>842818</xdr:colOff>
      <xdr:row>12</xdr:row>
      <xdr:rowOff>831273</xdr:rowOff>
    </xdr:to>
    <xdr:pic>
      <xdr:nvPicPr>
        <xdr:cNvPr id="107" name="Picture 106" descr="Item:TrapDoor,Pos:1">
          <a:extLst>
            <a:ext uri="{FF2B5EF4-FFF2-40B4-BE49-F238E27FC236}">
              <a16:creationId xmlns:a16="http://schemas.microsoft.com/office/drawing/2014/main" id="{567116D0-6375-84B5-69A0-348264B3877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5"/>
        <a:srcRect l="26621" r="49147" b="52901"/>
        <a:stretch/>
      </xdr:blipFill>
      <xdr:spPr>
        <a:xfrm>
          <a:off x="1731818" y="10425547"/>
          <a:ext cx="819727" cy="796635"/>
        </a:xfrm>
        <a:prstGeom prst="rect">
          <a:avLst/>
        </a:prstGeom>
      </xdr:spPr>
    </xdr:pic>
    <xdr:clientData/>
  </xdr:twoCellAnchor>
  <xdr:twoCellAnchor editAs="oneCell">
    <xdr:from>
      <xdr:col>3</xdr:col>
      <xdr:colOff>34636</xdr:colOff>
      <xdr:row>12</xdr:row>
      <xdr:rowOff>34636</xdr:rowOff>
    </xdr:from>
    <xdr:to>
      <xdr:col>3</xdr:col>
      <xdr:colOff>842821</xdr:colOff>
      <xdr:row>12</xdr:row>
      <xdr:rowOff>842819</xdr:rowOff>
    </xdr:to>
    <xdr:pic>
      <xdr:nvPicPr>
        <xdr:cNvPr id="108" name="Picture 107" descr="Item:Punji,Pos:1">
          <a:extLst>
            <a:ext uri="{FF2B5EF4-FFF2-40B4-BE49-F238E27FC236}">
              <a16:creationId xmlns:a16="http://schemas.microsoft.com/office/drawing/2014/main" id="{4EA45A41-2FF2-1E90-7D39-B4C43BA7387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6"/>
        <a:srcRect l="66667"/>
        <a:stretch/>
      </xdr:blipFill>
      <xdr:spPr>
        <a:xfrm>
          <a:off x="2597727" y="10425545"/>
          <a:ext cx="808185" cy="808183"/>
        </a:xfrm>
        <a:prstGeom prst="rect">
          <a:avLst/>
        </a:prstGeom>
      </xdr:spPr>
    </xdr:pic>
    <xdr:clientData/>
  </xdr:twoCellAnchor>
  <xdr:twoCellAnchor editAs="oneCell">
    <xdr:from>
      <xdr:col>4</xdr:col>
      <xdr:colOff>46182</xdr:colOff>
      <xdr:row>12</xdr:row>
      <xdr:rowOff>34636</xdr:rowOff>
    </xdr:from>
    <xdr:to>
      <xdr:col>5</xdr:col>
      <xdr:colOff>0</xdr:colOff>
      <xdr:row>12</xdr:row>
      <xdr:rowOff>842818</xdr:rowOff>
    </xdr:to>
    <xdr:pic>
      <xdr:nvPicPr>
        <xdr:cNvPr id="109" name="Picture 108" descr="Item:Hammer,Pos:1">
          <a:extLst>
            <a:ext uri="{FF2B5EF4-FFF2-40B4-BE49-F238E27FC236}">
              <a16:creationId xmlns:a16="http://schemas.microsoft.com/office/drawing/2014/main" id="{D6EA0C6E-4285-0B22-58F2-482E32EF12E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7"/>
        <a:srcRect r="87500"/>
        <a:stretch/>
      </xdr:blipFill>
      <xdr:spPr>
        <a:xfrm>
          <a:off x="3463637" y="10425545"/>
          <a:ext cx="808181" cy="808182"/>
        </a:xfrm>
        <a:prstGeom prst="rect">
          <a:avLst/>
        </a:prstGeom>
      </xdr:spPr>
    </xdr:pic>
    <xdr:clientData/>
  </xdr:twoCellAnchor>
  <xdr:twoCellAnchor editAs="oneCell">
    <xdr:from>
      <xdr:col>5</xdr:col>
      <xdr:colOff>34636</xdr:colOff>
      <xdr:row>12</xdr:row>
      <xdr:rowOff>34635</xdr:rowOff>
    </xdr:from>
    <xdr:to>
      <xdr:col>5</xdr:col>
      <xdr:colOff>819727</xdr:colOff>
      <xdr:row>12</xdr:row>
      <xdr:rowOff>842818</xdr:rowOff>
    </xdr:to>
    <xdr:pic>
      <xdr:nvPicPr>
        <xdr:cNvPr id="110" name="Picture 109" descr="Item:Amulet,Pos:1">
          <a:extLst>
            <a:ext uri="{FF2B5EF4-FFF2-40B4-BE49-F238E27FC236}">
              <a16:creationId xmlns:a16="http://schemas.microsoft.com/office/drawing/2014/main" id="{9ACE3417-536F-FB9B-4CB1-6BEC2299B54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8"/>
        <a:srcRect r="87857"/>
        <a:stretch/>
      </xdr:blipFill>
      <xdr:spPr>
        <a:xfrm>
          <a:off x="4306454" y="10425544"/>
          <a:ext cx="785091" cy="808183"/>
        </a:xfrm>
        <a:prstGeom prst="rect">
          <a:avLst/>
        </a:prstGeom>
      </xdr:spPr>
    </xdr:pic>
    <xdr:clientData/>
  </xdr:twoCellAnchor>
  <xdr:twoCellAnchor editAs="oneCell">
    <xdr:from>
      <xdr:col>6</xdr:col>
      <xdr:colOff>34636</xdr:colOff>
      <xdr:row>12</xdr:row>
      <xdr:rowOff>34635</xdr:rowOff>
    </xdr:from>
    <xdr:to>
      <xdr:col>7</xdr:col>
      <xdr:colOff>7533</xdr:colOff>
      <xdr:row>12</xdr:row>
      <xdr:rowOff>842818</xdr:rowOff>
    </xdr:to>
    <xdr:pic>
      <xdr:nvPicPr>
        <xdr:cNvPr id="111" name="Picture 110" descr="Item:MysteryCrate,Pos:1,ItemType:17">
          <a:extLst>
            <a:ext uri="{FF2B5EF4-FFF2-40B4-BE49-F238E27FC236}">
              <a16:creationId xmlns:a16="http://schemas.microsoft.com/office/drawing/2014/main" id="{F9EF8580-E99F-B0ED-E550-FFAFAB454D0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9"/>
        <a:srcRect r="87324"/>
        <a:stretch/>
      </xdr:blipFill>
      <xdr:spPr>
        <a:xfrm>
          <a:off x="5160818" y="10425544"/>
          <a:ext cx="819564" cy="808183"/>
        </a:xfrm>
        <a:prstGeom prst="rect">
          <a:avLst/>
        </a:prstGeom>
      </xdr:spPr>
    </xdr:pic>
    <xdr:clientData/>
  </xdr:twoCellAnchor>
  <xdr:twoCellAnchor editAs="oneCell">
    <xdr:from>
      <xdr:col>7</xdr:col>
      <xdr:colOff>34637</xdr:colOff>
      <xdr:row>12</xdr:row>
      <xdr:rowOff>23090</xdr:rowOff>
    </xdr:from>
    <xdr:to>
      <xdr:col>7</xdr:col>
      <xdr:colOff>819728</xdr:colOff>
      <xdr:row>12</xdr:row>
      <xdr:rowOff>842817</xdr:rowOff>
    </xdr:to>
    <xdr:pic>
      <xdr:nvPicPr>
        <xdr:cNvPr id="112" name="Picture 111" descr="Item:PinchBar,Pos:1">
          <a:extLst>
            <a:ext uri="{FF2B5EF4-FFF2-40B4-BE49-F238E27FC236}">
              <a16:creationId xmlns:a16="http://schemas.microsoft.com/office/drawing/2014/main" id="{D878D84E-E408-0F5B-9E9D-EEEEFA78A81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0"/>
        <a:srcRect r="88028"/>
        <a:stretch/>
      </xdr:blipFill>
      <xdr:spPr>
        <a:xfrm>
          <a:off x="6015182" y="10413999"/>
          <a:ext cx="785091" cy="819727"/>
        </a:xfrm>
        <a:prstGeom prst="rect">
          <a:avLst/>
        </a:prstGeom>
      </xdr:spPr>
    </xdr:pic>
    <xdr:clientData/>
  </xdr:twoCellAnchor>
  <xdr:twoCellAnchor editAs="oneCell">
    <xdr:from>
      <xdr:col>8</xdr:col>
      <xdr:colOff>34637</xdr:colOff>
      <xdr:row>12</xdr:row>
      <xdr:rowOff>34636</xdr:rowOff>
    </xdr:from>
    <xdr:to>
      <xdr:col>9</xdr:col>
      <xdr:colOff>0</xdr:colOff>
      <xdr:row>12</xdr:row>
      <xdr:rowOff>840509</xdr:rowOff>
    </xdr:to>
    <xdr:pic>
      <xdr:nvPicPr>
        <xdr:cNvPr id="113" name="Picture 112" descr="Item:LockedDoor,Pos:1">
          <a:extLst>
            <a:ext uri="{FF2B5EF4-FFF2-40B4-BE49-F238E27FC236}">
              <a16:creationId xmlns:a16="http://schemas.microsoft.com/office/drawing/2014/main" id="{C4BDBF7A-C489-9CFF-781E-122C07B932C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1"/>
        <a:srcRect r="79656"/>
        <a:stretch/>
      </xdr:blipFill>
      <xdr:spPr>
        <a:xfrm>
          <a:off x="6869546" y="10425545"/>
          <a:ext cx="819727" cy="805873"/>
        </a:xfrm>
        <a:prstGeom prst="rect">
          <a:avLst/>
        </a:prstGeom>
      </xdr:spPr>
    </xdr:pic>
    <xdr:clientData/>
  </xdr:twoCellAnchor>
  <xdr:twoCellAnchor editAs="oneCell">
    <xdr:from>
      <xdr:col>9</xdr:col>
      <xdr:colOff>46182</xdr:colOff>
      <xdr:row>12</xdr:row>
      <xdr:rowOff>23092</xdr:rowOff>
    </xdr:from>
    <xdr:to>
      <xdr:col>9</xdr:col>
      <xdr:colOff>819727</xdr:colOff>
      <xdr:row>12</xdr:row>
      <xdr:rowOff>841536</xdr:rowOff>
    </xdr:to>
    <xdr:pic>
      <xdr:nvPicPr>
        <xdr:cNvPr id="114" name="Picture 113" descr="Item:Potion,Pos:1">
          <a:extLst>
            <a:ext uri="{FF2B5EF4-FFF2-40B4-BE49-F238E27FC236}">
              <a16:creationId xmlns:a16="http://schemas.microsoft.com/office/drawing/2014/main" id="{F5D5A5BA-B5BC-9A1A-8487-8351B02DBA1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2"/>
        <a:srcRect r="89498"/>
        <a:stretch/>
      </xdr:blipFill>
      <xdr:spPr>
        <a:xfrm>
          <a:off x="7735455" y="10414001"/>
          <a:ext cx="773545" cy="818444"/>
        </a:xfrm>
        <a:prstGeom prst="rect">
          <a:avLst/>
        </a:prstGeom>
      </xdr:spPr>
    </xdr:pic>
    <xdr:clientData/>
  </xdr:twoCellAnchor>
  <xdr:twoCellAnchor editAs="oneCell">
    <xdr:from>
      <xdr:col>10</xdr:col>
      <xdr:colOff>23091</xdr:colOff>
      <xdr:row>12</xdr:row>
      <xdr:rowOff>34635</xdr:rowOff>
    </xdr:from>
    <xdr:to>
      <xdr:col>10</xdr:col>
      <xdr:colOff>819728</xdr:colOff>
      <xdr:row>12</xdr:row>
      <xdr:rowOff>842818</xdr:rowOff>
    </xdr:to>
    <xdr:pic>
      <xdr:nvPicPr>
        <xdr:cNvPr id="115" name="Picture 114" descr="Item:Anchor,Pos:1">
          <a:extLst>
            <a:ext uri="{FF2B5EF4-FFF2-40B4-BE49-F238E27FC236}">
              <a16:creationId xmlns:a16="http://schemas.microsoft.com/office/drawing/2014/main" id="{9F1BB989-05EB-DDCC-3959-DF029AC6657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3"/>
        <a:srcRect r="87679"/>
        <a:stretch/>
      </xdr:blipFill>
      <xdr:spPr>
        <a:xfrm>
          <a:off x="8566727" y="10425544"/>
          <a:ext cx="796637" cy="808183"/>
        </a:xfrm>
        <a:prstGeom prst="rect">
          <a:avLst/>
        </a:prstGeom>
      </xdr:spPr>
    </xdr:pic>
    <xdr:clientData/>
  </xdr:twoCellAnchor>
  <xdr:twoCellAnchor editAs="oneCell">
    <xdr:from>
      <xdr:col>11</xdr:col>
      <xdr:colOff>34636</xdr:colOff>
      <xdr:row>12</xdr:row>
      <xdr:rowOff>34635</xdr:rowOff>
    </xdr:from>
    <xdr:to>
      <xdr:col>11</xdr:col>
      <xdr:colOff>819727</xdr:colOff>
      <xdr:row>12</xdr:row>
      <xdr:rowOff>842818</xdr:rowOff>
    </xdr:to>
    <xdr:pic>
      <xdr:nvPicPr>
        <xdr:cNvPr id="116" name="Picture 115" descr="Item:Flame,Pos:1">
          <a:extLst>
            <a:ext uri="{FF2B5EF4-FFF2-40B4-BE49-F238E27FC236}">
              <a16:creationId xmlns:a16="http://schemas.microsoft.com/office/drawing/2014/main" id="{FFE8B407-E956-6289-8A12-78E6B90591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4"/>
        <a:srcRect r="83810"/>
        <a:stretch/>
      </xdr:blipFill>
      <xdr:spPr>
        <a:xfrm>
          <a:off x="9432636" y="10425544"/>
          <a:ext cx="785091" cy="808183"/>
        </a:xfrm>
        <a:prstGeom prst="rect">
          <a:avLst/>
        </a:prstGeom>
      </xdr:spPr>
    </xdr:pic>
    <xdr:clientData/>
  </xdr:twoCellAnchor>
  <xdr:twoCellAnchor editAs="oneCell">
    <xdr:from>
      <xdr:col>22</xdr:col>
      <xdr:colOff>20525</xdr:colOff>
      <xdr:row>11</xdr:row>
      <xdr:rowOff>20525</xdr:rowOff>
    </xdr:from>
    <xdr:to>
      <xdr:col>23</xdr:col>
      <xdr:colOff>776110</xdr:colOff>
      <xdr:row>12</xdr:row>
      <xdr:rowOff>809828</xdr:rowOff>
    </xdr:to>
    <xdr:pic>
      <xdr:nvPicPr>
        <xdr:cNvPr id="117" name="Picture 116" descr="Item:Trebochet_Left,Pos:1">
          <a:extLst>
            <a:ext uri="{FF2B5EF4-FFF2-40B4-BE49-F238E27FC236}">
              <a16:creationId xmlns:a16="http://schemas.microsoft.com/office/drawing/2014/main" id="{2D30A60F-701F-3132-E276-2C30672ED59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5"/>
        <a:srcRect r="80580"/>
        <a:stretch/>
      </xdr:blipFill>
      <xdr:spPr>
        <a:xfrm>
          <a:off x="18647192" y="9489081"/>
          <a:ext cx="1602251" cy="1650080"/>
        </a:xfrm>
        <a:prstGeom prst="rect">
          <a:avLst/>
        </a:prstGeom>
      </xdr:spPr>
    </xdr:pic>
    <xdr:clientData/>
  </xdr:twoCellAnchor>
  <xdr:twoCellAnchor editAs="oneCell">
    <xdr:from>
      <xdr:col>24</xdr:col>
      <xdr:colOff>37200</xdr:colOff>
      <xdr:row>11</xdr:row>
      <xdr:rowOff>34634</xdr:rowOff>
    </xdr:from>
    <xdr:to>
      <xdr:col>25</xdr:col>
      <xdr:colOff>804333</xdr:colOff>
      <xdr:row>12</xdr:row>
      <xdr:rowOff>834432</xdr:rowOff>
    </xdr:to>
    <xdr:pic>
      <xdr:nvPicPr>
        <xdr:cNvPr id="118" name="Picture 117" descr="Item:Trebochet_Right,Pos:1">
          <a:extLst>
            <a:ext uri="{FF2B5EF4-FFF2-40B4-BE49-F238E27FC236}">
              <a16:creationId xmlns:a16="http://schemas.microsoft.com/office/drawing/2014/main" id="{D3110C71-4855-8D9A-B184-4EE73AA125B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6"/>
        <a:srcRect r="80563"/>
        <a:stretch/>
      </xdr:blipFill>
      <xdr:spPr>
        <a:xfrm>
          <a:off x="20357200" y="9503190"/>
          <a:ext cx="1613800" cy="1660575"/>
        </a:xfrm>
        <a:prstGeom prst="rect">
          <a:avLst/>
        </a:prstGeom>
      </xdr:spPr>
    </xdr:pic>
    <xdr:clientData/>
  </xdr:twoCellAnchor>
  <xdr:twoCellAnchor editAs="oneCell">
    <xdr:from>
      <xdr:col>18</xdr:col>
      <xdr:colOff>51313</xdr:colOff>
      <xdr:row>11</xdr:row>
      <xdr:rowOff>48745</xdr:rowOff>
    </xdr:from>
    <xdr:to>
      <xdr:col>20</xdr:col>
      <xdr:colOff>1283</xdr:colOff>
      <xdr:row>11</xdr:row>
      <xdr:rowOff>856928</xdr:rowOff>
    </xdr:to>
    <xdr:pic>
      <xdr:nvPicPr>
        <xdr:cNvPr id="120" name="Picture 119" descr="Item:SwingyThing,Pos:1">
          <a:extLst>
            <a:ext uri="{FF2B5EF4-FFF2-40B4-BE49-F238E27FC236}">
              <a16:creationId xmlns:a16="http://schemas.microsoft.com/office/drawing/2014/main" id="{507F2B13-2676-A46C-FF4F-29AB1635B03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7"/>
        <a:srcRect r="86560" b="47368"/>
        <a:stretch/>
      </xdr:blipFill>
      <xdr:spPr>
        <a:xfrm>
          <a:off x="15291313" y="9517301"/>
          <a:ext cx="1643303" cy="808183"/>
        </a:xfrm>
        <a:prstGeom prst="rect">
          <a:avLst/>
        </a:prstGeom>
      </xdr:spPr>
    </xdr:pic>
    <xdr:clientData/>
  </xdr:twoCellAnchor>
  <xdr:twoCellAnchor editAs="oneCell">
    <xdr:from>
      <xdr:col>12</xdr:col>
      <xdr:colOff>23091</xdr:colOff>
      <xdr:row>12</xdr:row>
      <xdr:rowOff>34636</xdr:rowOff>
    </xdr:from>
    <xdr:to>
      <xdr:col>12</xdr:col>
      <xdr:colOff>819727</xdr:colOff>
      <xdr:row>12</xdr:row>
      <xdr:rowOff>842818</xdr:rowOff>
    </xdr:to>
    <xdr:pic>
      <xdr:nvPicPr>
        <xdr:cNvPr id="121" name="Picture 120" descr="Item:Sword,Pos:1">
          <a:extLst>
            <a:ext uri="{FF2B5EF4-FFF2-40B4-BE49-F238E27FC236}">
              <a16:creationId xmlns:a16="http://schemas.microsoft.com/office/drawing/2014/main" id="{A8F4E703-5C2B-54D2-C011-3CCE880ABC9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8"/>
        <a:srcRect r="87679"/>
        <a:stretch/>
      </xdr:blipFill>
      <xdr:spPr>
        <a:xfrm>
          <a:off x="10275455" y="10425545"/>
          <a:ext cx="796636" cy="808182"/>
        </a:xfrm>
        <a:prstGeom prst="rect">
          <a:avLst/>
        </a:prstGeom>
      </xdr:spPr>
    </xdr:pic>
    <xdr:clientData/>
  </xdr:twoCellAnchor>
  <xdr:twoCellAnchor editAs="oneCell">
    <xdr:from>
      <xdr:col>13</xdr:col>
      <xdr:colOff>23090</xdr:colOff>
      <xdr:row>12</xdr:row>
      <xdr:rowOff>34636</xdr:rowOff>
    </xdr:from>
    <xdr:to>
      <xdr:col>13</xdr:col>
      <xdr:colOff>831273</xdr:colOff>
      <xdr:row>12</xdr:row>
      <xdr:rowOff>831274</xdr:rowOff>
    </xdr:to>
    <xdr:pic>
      <xdr:nvPicPr>
        <xdr:cNvPr id="122" name="Picture 121" descr="Item:Chakana,Pos:1">
          <a:extLst>
            <a:ext uri="{FF2B5EF4-FFF2-40B4-BE49-F238E27FC236}">
              <a16:creationId xmlns:a16="http://schemas.microsoft.com/office/drawing/2014/main" id="{48AC5392-3B73-F41A-68BC-A144F3C6870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9"/>
        <a:srcRect r="73585" b="82641"/>
        <a:stretch/>
      </xdr:blipFill>
      <xdr:spPr>
        <a:xfrm>
          <a:off x="11129817" y="10425545"/>
          <a:ext cx="808183" cy="796638"/>
        </a:xfrm>
        <a:prstGeom prst="rect">
          <a:avLst/>
        </a:prstGeom>
      </xdr:spPr>
    </xdr:pic>
    <xdr:clientData/>
  </xdr:twoCellAnchor>
  <xdr:twoCellAnchor editAs="oneCell">
    <xdr:from>
      <xdr:col>14</xdr:col>
      <xdr:colOff>48747</xdr:colOff>
      <xdr:row>12</xdr:row>
      <xdr:rowOff>34635</xdr:rowOff>
    </xdr:from>
    <xdr:to>
      <xdr:col>14</xdr:col>
      <xdr:colOff>845384</xdr:colOff>
      <xdr:row>12</xdr:row>
      <xdr:rowOff>831273</xdr:rowOff>
    </xdr:to>
    <xdr:pic>
      <xdr:nvPicPr>
        <xdr:cNvPr id="123" name="Picture 122" descr="Item:Lever_LH,Pos:1,Data:1">
          <a:extLst>
            <a:ext uri="{FF2B5EF4-FFF2-40B4-BE49-F238E27FC236}">
              <a16:creationId xmlns:a16="http://schemas.microsoft.com/office/drawing/2014/main" id="{B2418162-C50A-B15B-D458-1127DE45E9E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0"/>
        <a:srcRect r="87127" b="48507"/>
        <a:stretch/>
      </xdr:blipFill>
      <xdr:spPr>
        <a:xfrm>
          <a:off x="11902080" y="10363968"/>
          <a:ext cx="796637" cy="796638"/>
        </a:xfrm>
        <a:prstGeom prst="rect">
          <a:avLst/>
        </a:prstGeom>
      </xdr:spPr>
    </xdr:pic>
    <xdr:clientData/>
  </xdr:twoCellAnchor>
  <xdr:twoCellAnchor editAs="oneCell">
    <xdr:from>
      <xdr:col>16</xdr:col>
      <xdr:colOff>25658</xdr:colOff>
      <xdr:row>12</xdr:row>
      <xdr:rowOff>20526</xdr:rowOff>
    </xdr:from>
    <xdr:to>
      <xdr:col>16</xdr:col>
      <xdr:colOff>832251</xdr:colOff>
      <xdr:row>12</xdr:row>
      <xdr:rowOff>818445</xdr:rowOff>
    </xdr:to>
    <xdr:pic>
      <xdr:nvPicPr>
        <xdr:cNvPr id="125" name="Picture 124" descr="Item:Lever_Portal_Closed,Pos:2">
          <a:extLst>
            <a:ext uri="{FF2B5EF4-FFF2-40B4-BE49-F238E27FC236}">
              <a16:creationId xmlns:a16="http://schemas.microsoft.com/office/drawing/2014/main" id="{94838EFF-7155-6E24-FB8D-52B0B283C3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538" b="538"/>
        <a:stretch/>
      </xdr:blipFill>
      <xdr:spPr>
        <a:xfrm>
          <a:off x="13572325" y="10349859"/>
          <a:ext cx="806593" cy="797919"/>
        </a:xfrm>
        <a:prstGeom prst="rect">
          <a:avLst/>
        </a:prstGeom>
      </xdr:spPr>
    </xdr:pic>
    <xdr:clientData/>
  </xdr:twoCellAnchor>
  <xdr:twoCellAnchor editAs="oneCell">
    <xdr:from>
      <xdr:col>17</xdr:col>
      <xdr:colOff>51315</xdr:colOff>
      <xdr:row>12</xdr:row>
      <xdr:rowOff>20525</xdr:rowOff>
    </xdr:from>
    <xdr:to>
      <xdr:col>17</xdr:col>
      <xdr:colOff>835124</xdr:colOff>
      <xdr:row>12</xdr:row>
      <xdr:rowOff>804334</xdr:rowOff>
    </xdr:to>
    <xdr:pic>
      <xdr:nvPicPr>
        <xdr:cNvPr id="126" name="Picture 125" descr="Item:Lever_Portal_Open,Pos:2">
          <a:extLst>
            <a:ext uri="{FF2B5EF4-FFF2-40B4-BE49-F238E27FC236}">
              <a16:creationId xmlns:a16="http://schemas.microsoft.com/office/drawing/2014/main" id="{358C4257-B9F9-5233-373F-91DA22F99B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4444648" y="10349858"/>
          <a:ext cx="783809" cy="783809"/>
        </a:xfrm>
        <a:prstGeom prst="rect">
          <a:avLst/>
        </a:prstGeom>
      </xdr:spPr>
    </xdr:pic>
    <xdr:clientData/>
  </xdr:twoCellAnchor>
  <xdr:twoCellAnchor editAs="oneCell">
    <xdr:from>
      <xdr:col>26</xdr:col>
      <xdr:colOff>42333</xdr:colOff>
      <xdr:row>11</xdr:row>
      <xdr:rowOff>56444</xdr:rowOff>
    </xdr:from>
    <xdr:to>
      <xdr:col>28</xdr:col>
      <xdr:colOff>804332</xdr:colOff>
      <xdr:row>12</xdr:row>
      <xdr:rowOff>849259</xdr:rowOff>
    </xdr:to>
    <xdr:pic>
      <xdr:nvPicPr>
        <xdr:cNvPr id="153" name="Picture 152" descr="Item:SwingingVine">
          <a:extLst>
            <a:ext uri="{FF2B5EF4-FFF2-40B4-BE49-F238E27FC236}">
              <a16:creationId xmlns:a16="http://schemas.microsoft.com/office/drawing/2014/main" id="{C93A46BE-D01C-78D1-9948-1827735BED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3"/>
        <a:stretch>
          <a:fillRect/>
        </a:stretch>
      </xdr:blipFill>
      <xdr:spPr>
        <a:xfrm>
          <a:off x="22055666" y="9525000"/>
          <a:ext cx="2455333" cy="1653592"/>
        </a:xfrm>
        <a:prstGeom prst="rect">
          <a:avLst/>
        </a:prstGeom>
      </xdr:spPr>
    </xdr:pic>
    <xdr:clientData/>
  </xdr:twoCellAnchor>
  <xdr:twoCellAnchor editAs="oneCell">
    <xdr:from>
      <xdr:col>18</xdr:col>
      <xdr:colOff>70556</xdr:colOff>
      <xdr:row>12</xdr:row>
      <xdr:rowOff>28222</xdr:rowOff>
    </xdr:from>
    <xdr:to>
      <xdr:col>19</xdr:col>
      <xdr:colOff>1</xdr:colOff>
      <xdr:row>12</xdr:row>
      <xdr:rowOff>804334</xdr:rowOff>
    </xdr:to>
    <xdr:pic>
      <xdr:nvPicPr>
        <xdr:cNvPr id="42" name="Picture 41" descr="Item:Lever_Portal_Auto_Closed,Pos:2,Data:256">
          <a:extLst>
            <a:ext uri="{FF2B5EF4-FFF2-40B4-BE49-F238E27FC236}">
              <a16:creationId xmlns:a16="http://schemas.microsoft.com/office/drawing/2014/main" id="{C7584D5F-028A-9B9E-4212-DAA4C71A3B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/>
        <a:stretch>
          <a:fillRect/>
        </a:stretch>
      </xdr:blipFill>
      <xdr:spPr>
        <a:xfrm>
          <a:off x="15310556" y="10357555"/>
          <a:ext cx="776112" cy="776112"/>
        </a:xfrm>
        <a:prstGeom prst="rect">
          <a:avLst/>
        </a:prstGeom>
      </xdr:spPr>
    </xdr:pic>
    <xdr:clientData/>
  </xdr:twoCellAnchor>
  <xdr:twoCellAnchor editAs="oneCell">
    <xdr:from>
      <xdr:col>16</xdr:col>
      <xdr:colOff>28222</xdr:colOff>
      <xdr:row>11</xdr:row>
      <xdr:rowOff>56445</xdr:rowOff>
    </xdr:from>
    <xdr:to>
      <xdr:col>16</xdr:col>
      <xdr:colOff>832555</xdr:colOff>
      <xdr:row>12</xdr:row>
      <xdr:rowOff>1</xdr:rowOff>
    </xdr:to>
    <xdr:pic>
      <xdr:nvPicPr>
        <xdr:cNvPr id="68" name="Picture 67" descr="Item:LifeSaver,Pos:1">
          <a:extLst>
            <a:ext uri="{FF2B5EF4-FFF2-40B4-BE49-F238E27FC236}">
              <a16:creationId xmlns:a16="http://schemas.microsoft.com/office/drawing/2014/main" id="{0E41C4B6-C298-6809-2DFB-7BA3B14F99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/>
        <a:stretch>
          <a:fillRect/>
        </a:stretch>
      </xdr:blipFill>
      <xdr:spPr>
        <a:xfrm>
          <a:off x="13574889" y="9525001"/>
          <a:ext cx="804333" cy="804333"/>
        </a:xfrm>
        <a:prstGeom prst="rect">
          <a:avLst/>
        </a:prstGeom>
      </xdr:spPr>
    </xdr:pic>
    <xdr:clientData/>
  </xdr:twoCellAnchor>
  <xdr:twoCellAnchor editAs="oneCell">
    <xdr:from>
      <xdr:col>17</xdr:col>
      <xdr:colOff>42332</xdr:colOff>
      <xdr:row>11</xdr:row>
      <xdr:rowOff>56445</xdr:rowOff>
    </xdr:from>
    <xdr:to>
      <xdr:col>17</xdr:col>
      <xdr:colOff>846666</xdr:colOff>
      <xdr:row>12</xdr:row>
      <xdr:rowOff>2</xdr:rowOff>
    </xdr:to>
    <xdr:pic>
      <xdr:nvPicPr>
        <xdr:cNvPr id="76" name="Picture 75" descr="Item:LifeSaver_Disolve,Pos:1">
          <a:extLst>
            <a:ext uri="{FF2B5EF4-FFF2-40B4-BE49-F238E27FC236}">
              <a16:creationId xmlns:a16="http://schemas.microsoft.com/office/drawing/2014/main" id="{9769B2AE-C669-B377-5B1D-5CD6B1B6E5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/>
        <a:stretch>
          <a:fillRect/>
        </a:stretch>
      </xdr:blipFill>
      <xdr:spPr>
        <a:xfrm>
          <a:off x="14435665" y="9525001"/>
          <a:ext cx="804334" cy="804334"/>
        </a:xfrm>
        <a:prstGeom prst="rect">
          <a:avLst/>
        </a:prstGeom>
      </xdr:spPr>
    </xdr:pic>
    <xdr:clientData/>
  </xdr:twoCellAnchor>
  <xdr:twoCellAnchor editAs="oneCell">
    <xdr:from>
      <xdr:col>7</xdr:col>
      <xdr:colOff>56444</xdr:colOff>
      <xdr:row>11</xdr:row>
      <xdr:rowOff>42332</xdr:rowOff>
    </xdr:from>
    <xdr:to>
      <xdr:col>8</xdr:col>
      <xdr:colOff>2</xdr:colOff>
      <xdr:row>11</xdr:row>
      <xdr:rowOff>832556</xdr:rowOff>
    </xdr:to>
    <xdr:pic>
      <xdr:nvPicPr>
        <xdr:cNvPr id="157" name="Picture 156" descr=" 0, 0,27,27,">
          <a:extLst>
            <a:ext uri="{FF2B5EF4-FFF2-40B4-BE49-F238E27FC236}">
              <a16:creationId xmlns:a16="http://schemas.microsoft.com/office/drawing/2014/main" id="{FFD73A49-2E33-1835-CC84-47E86D0ACF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/>
        <a:stretch>
          <a:fillRect/>
        </a:stretch>
      </xdr:blipFill>
      <xdr:spPr>
        <a:xfrm>
          <a:off x="5983111" y="9510888"/>
          <a:ext cx="790224" cy="790224"/>
        </a:xfrm>
        <a:prstGeom prst="rect">
          <a:avLst/>
        </a:prstGeom>
      </xdr:spPr>
    </xdr:pic>
    <xdr:clientData/>
  </xdr:twoCellAnchor>
  <xdr:twoCellAnchor editAs="oneCell">
    <xdr:from>
      <xdr:col>6</xdr:col>
      <xdr:colOff>42333</xdr:colOff>
      <xdr:row>11</xdr:row>
      <xdr:rowOff>42332</xdr:rowOff>
    </xdr:from>
    <xdr:to>
      <xdr:col>6</xdr:col>
      <xdr:colOff>818445</xdr:colOff>
      <xdr:row>11</xdr:row>
      <xdr:rowOff>818444</xdr:rowOff>
    </xdr:to>
    <xdr:pic>
      <xdr:nvPicPr>
        <xdr:cNvPr id="158" name="Picture 157" descr=" 0, 0,28,28,">
          <a:extLst>
            <a:ext uri="{FF2B5EF4-FFF2-40B4-BE49-F238E27FC236}">
              <a16:creationId xmlns:a16="http://schemas.microsoft.com/office/drawing/2014/main" id="{FB39C3FD-C799-C8AB-75B6-D1C1F283DE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8"/>
        <a:stretch>
          <a:fillRect/>
        </a:stretch>
      </xdr:blipFill>
      <xdr:spPr>
        <a:xfrm>
          <a:off x="5122333" y="9510888"/>
          <a:ext cx="776112" cy="776112"/>
        </a:xfrm>
        <a:prstGeom prst="rect">
          <a:avLst/>
        </a:prstGeom>
      </xdr:spPr>
    </xdr:pic>
    <xdr:clientData/>
  </xdr:twoCellAnchor>
  <xdr:twoCellAnchor editAs="oneCell">
    <xdr:from>
      <xdr:col>9</xdr:col>
      <xdr:colOff>42333</xdr:colOff>
      <xdr:row>11</xdr:row>
      <xdr:rowOff>42332</xdr:rowOff>
    </xdr:from>
    <xdr:to>
      <xdr:col>9</xdr:col>
      <xdr:colOff>818444</xdr:colOff>
      <xdr:row>11</xdr:row>
      <xdr:rowOff>818443</xdr:rowOff>
    </xdr:to>
    <xdr:pic>
      <xdr:nvPicPr>
        <xdr:cNvPr id="159" name="Picture 158" descr="27,27, 2, 2,">
          <a:extLst>
            <a:ext uri="{FF2B5EF4-FFF2-40B4-BE49-F238E27FC236}">
              <a16:creationId xmlns:a16="http://schemas.microsoft.com/office/drawing/2014/main" id="{EFF57597-A776-0500-186A-8A79CED538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xfrm>
          <a:off x="7662333" y="9510888"/>
          <a:ext cx="776111" cy="776111"/>
        </a:xfrm>
        <a:prstGeom prst="rect">
          <a:avLst/>
        </a:prstGeom>
      </xdr:spPr>
    </xdr:pic>
    <xdr:clientData/>
  </xdr:twoCellAnchor>
  <xdr:twoCellAnchor editAs="oneCell">
    <xdr:from>
      <xdr:col>8</xdr:col>
      <xdr:colOff>28221</xdr:colOff>
      <xdr:row>11</xdr:row>
      <xdr:rowOff>42331</xdr:rowOff>
    </xdr:from>
    <xdr:to>
      <xdr:col>8</xdr:col>
      <xdr:colOff>804334</xdr:colOff>
      <xdr:row>11</xdr:row>
      <xdr:rowOff>818444</xdr:rowOff>
    </xdr:to>
    <xdr:pic>
      <xdr:nvPicPr>
        <xdr:cNvPr id="160" name="Picture 159" descr="28,28, 2, 2,">
          <a:extLst>
            <a:ext uri="{FF2B5EF4-FFF2-40B4-BE49-F238E27FC236}">
              <a16:creationId xmlns:a16="http://schemas.microsoft.com/office/drawing/2014/main" id="{D0B51E19-AD89-76D8-0EFE-E3A02E46C2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0"/>
        <a:stretch>
          <a:fillRect/>
        </a:stretch>
      </xdr:blipFill>
      <xdr:spPr>
        <a:xfrm>
          <a:off x="6801554" y="9510887"/>
          <a:ext cx="776113" cy="776113"/>
        </a:xfrm>
        <a:prstGeom prst="rect">
          <a:avLst/>
        </a:prstGeom>
      </xdr:spPr>
    </xdr:pic>
    <xdr:clientData/>
  </xdr:twoCellAnchor>
  <xdr:twoCellAnchor editAs="oneCell">
    <xdr:from>
      <xdr:col>15</xdr:col>
      <xdr:colOff>42332</xdr:colOff>
      <xdr:row>12</xdr:row>
      <xdr:rowOff>42332</xdr:rowOff>
    </xdr:from>
    <xdr:to>
      <xdr:col>15</xdr:col>
      <xdr:colOff>832555</xdr:colOff>
      <xdr:row>12</xdr:row>
      <xdr:rowOff>832555</xdr:rowOff>
    </xdr:to>
    <xdr:pic>
      <xdr:nvPicPr>
        <xdr:cNvPr id="38" name="Picture 37" descr="Item:Lever_RH,Pos:1,Data:1">
          <a:extLst>
            <a:ext uri="{FF2B5EF4-FFF2-40B4-BE49-F238E27FC236}">
              <a16:creationId xmlns:a16="http://schemas.microsoft.com/office/drawing/2014/main" id="{C5F064F5-674A-0AEA-0CB6-F0BDE5B301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/>
        <a:stretch>
          <a:fillRect/>
        </a:stretch>
      </xdr:blipFill>
      <xdr:spPr>
        <a:xfrm>
          <a:off x="12742332" y="10371665"/>
          <a:ext cx="790223" cy="790223"/>
        </a:xfrm>
        <a:prstGeom prst="rect">
          <a:avLst/>
        </a:prstGeom>
      </xdr:spPr>
    </xdr:pic>
    <xdr:clientData/>
  </xdr:twoCellAnchor>
  <xdr:twoCellAnchor editAs="oneCell">
    <xdr:from>
      <xdr:col>19</xdr:col>
      <xdr:colOff>56443</xdr:colOff>
      <xdr:row>12</xdr:row>
      <xdr:rowOff>42332</xdr:rowOff>
    </xdr:from>
    <xdr:to>
      <xdr:col>19</xdr:col>
      <xdr:colOff>832556</xdr:colOff>
      <xdr:row>12</xdr:row>
      <xdr:rowOff>818445</xdr:rowOff>
    </xdr:to>
    <xdr:pic>
      <xdr:nvPicPr>
        <xdr:cNvPr id="40" name="Picture 39" descr="Item:Lever_Portal_Auto_Open,Pos:2,Data:256">
          <a:extLst>
            <a:ext uri="{FF2B5EF4-FFF2-40B4-BE49-F238E27FC236}">
              <a16:creationId xmlns:a16="http://schemas.microsoft.com/office/drawing/2014/main" id="{26CC3D80-B9C0-7B89-19F1-E78D8C31C1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/>
        <a:stretch>
          <a:fillRect/>
        </a:stretch>
      </xdr:blipFill>
      <xdr:spPr>
        <a:xfrm>
          <a:off x="16143110" y="10371665"/>
          <a:ext cx="776113" cy="776113"/>
        </a:xfrm>
        <a:prstGeom prst="rect">
          <a:avLst/>
        </a:prstGeom>
      </xdr:spPr>
    </xdr:pic>
    <xdr:clientData/>
  </xdr:twoCellAnchor>
  <xdr:twoCellAnchor editAs="oneCell">
    <xdr:from>
      <xdr:col>20</xdr:col>
      <xdr:colOff>42333</xdr:colOff>
      <xdr:row>11</xdr:row>
      <xdr:rowOff>42332</xdr:rowOff>
    </xdr:from>
    <xdr:to>
      <xdr:col>21</xdr:col>
      <xdr:colOff>0</xdr:colOff>
      <xdr:row>11</xdr:row>
      <xdr:rowOff>846666</xdr:rowOff>
    </xdr:to>
    <xdr:pic>
      <xdr:nvPicPr>
        <xdr:cNvPr id="37" name="Picture 36" descr="Enemy:Archer_RH,Pos:1">
          <a:extLst>
            <a:ext uri="{FF2B5EF4-FFF2-40B4-BE49-F238E27FC236}">
              <a16:creationId xmlns:a16="http://schemas.microsoft.com/office/drawing/2014/main" id="{1C780438-781A-AB26-63DB-485D7BBB09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3"/>
        <a:stretch>
          <a:fillRect/>
        </a:stretch>
      </xdr:blipFill>
      <xdr:spPr>
        <a:xfrm>
          <a:off x="16975666" y="9510888"/>
          <a:ext cx="804334" cy="804334"/>
        </a:xfrm>
        <a:prstGeom prst="rect">
          <a:avLst/>
        </a:prstGeom>
      </xdr:spPr>
    </xdr:pic>
    <xdr:clientData/>
  </xdr:twoCellAnchor>
  <xdr:twoCellAnchor editAs="oneCell">
    <xdr:from>
      <xdr:col>21</xdr:col>
      <xdr:colOff>42333</xdr:colOff>
      <xdr:row>11</xdr:row>
      <xdr:rowOff>42333</xdr:rowOff>
    </xdr:from>
    <xdr:to>
      <xdr:col>21</xdr:col>
      <xdr:colOff>832555</xdr:colOff>
      <xdr:row>11</xdr:row>
      <xdr:rowOff>832555</xdr:rowOff>
    </xdr:to>
    <xdr:pic>
      <xdr:nvPicPr>
        <xdr:cNvPr id="43" name="Picture 42" descr="Enemy:Archer_LH,Pos:1">
          <a:extLst>
            <a:ext uri="{FF2B5EF4-FFF2-40B4-BE49-F238E27FC236}">
              <a16:creationId xmlns:a16="http://schemas.microsoft.com/office/drawing/2014/main" id="{AE2EE039-8230-1FA6-2F4B-755E891BFE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xfrm>
          <a:off x="17822333" y="9510889"/>
          <a:ext cx="790222" cy="790222"/>
        </a:xfrm>
        <a:prstGeom prst="rect">
          <a:avLst/>
        </a:prstGeom>
      </xdr:spPr>
    </xdr:pic>
    <xdr:clientData/>
  </xdr:twoCellAnchor>
  <xdr:twoCellAnchor editAs="oneCell">
    <xdr:from>
      <xdr:col>20</xdr:col>
      <xdr:colOff>42333</xdr:colOff>
      <xdr:row>12</xdr:row>
      <xdr:rowOff>28222</xdr:rowOff>
    </xdr:from>
    <xdr:to>
      <xdr:col>20</xdr:col>
      <xdr:colOff>818444</xdr:colOff>
      <xdr:row>12</xdr:row>
      <xdr:rowOff>804333</xdr:rowOff>
    </xdr:to>
    <xdr:pic>
      <xdr:nvPicPr>
        <xdr:cNvPr id="44" name="Picture 43">
          <a:extLst>
            <a:ext uri="{FF2B5EF4-FFF2-40B4-BE49-F238E27FC236}">
              <a16:creationId xmlns:a16="http://schemas.microsoft.com/office/drawing/2014/main" id="{6DEB6E46-0DA4-E3C1-050B-8DE73DA1D2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"/>
        <a:stretch>
          <a:fillRect/>
        </a:stretch>
      </xdr:blipFill>
      <xdr:spPr>
        <a:xfrm>
          <a:off x="16975666" y="10357555"/>
          <a:ext cx="776111" cy="776111"/>
        </a:xfrm>
        <a:prstGeom prst="rect">
          <a:avLst/>
        </a:prstGeom>
      </xdr:spPr>
    </xdr:pic>
    <xdr:clientData/>
  </xdr:twoCellAnchor>
  <xdr:twoCellAnchor editAs="oneCell">
    <xdr:from>
      <xdr:col>21</xdr:col>
      <xdr:colOff>28221</xdr:colOff>
      <xdr:row>12</xdr:row>
      <xdr:rowOff>28221</xdr:rowOff>
    </xdr:from>
    <xdr:to>
      <xdr:col>21</xdr:col>
      <xdr:colOff>818444</xdr:colOff>
      <xdr:row>12</xdr:row>
      <xdr:rowOff>818444</xdr:rowOff>
    </xdr:to>
    <xdr:pic>
      <xdr:nvPicPr>
        <xdr:cNvPr id="45" name="Picture 44" descr="Enemy:SwordFighter_LH,Pos:1">
          <a:extLst>
            <a:ext uri="{FF2B5EF4-FFF2-40B4-BE49-F238E27FC236}">
              <a16:creationId xmlns:a16="http://schemas.microsoft.com/office/drawing/2014/main" id="{436D825A-69FA-9B8D-B3F4-8B5C618A2B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6"/>
        <a:stretch>
          <a:fillRect/>
        </a:stretch>
      </xdr:blipFill>
      <xdr:spPr>
        <a:xfrm>
          <a:off x="17808221" y="10357554"/>
          <a:ext cx="790223" cy="790223"/>
        </a:xfrm>
        <a:prstGeom prst="rect">
          <a:avLst/>
        </a:prstGeom>
      </xdr:spPr>
    </xdr:pic>
    <xdr:clientData/>
  </xdr:twoCellAnchor>
  <xdr:twoCellAnchor editAs="oneCell">
    <xdr:from>
      <xdr:col>29</xdr:col>
      <xdr:colOff>28223</xdr:colOff>
      <xdr:row>11</xdr:row>
      <xdr:rowOff>42333</xdr:rowOff>
    </xdr:from>
    <xdr:to>
      <xdr:col>29</xdr:col>
      <xdr:colOff>818445</xdr:colOff>
      <xdr:row>11</xdr:row>
      <xdr:rowOff>832555</xdr:rowOff>
    </xdr:to>
    <xdr:pic>
      <xdr:nvPicPr>
        <xdr:cNvPr id="55" name="Picture 54" descr="Item:Chakana_Small,Pos:1">
          <a:extLst>
            <a:ext uri="{FF2B5EF4-FFF2-40B4-BE49-F238E27FC236}">
              <a16:creationId xmlns:a16="http://schemas.microsoft.com/office/drawing/2014/main" id="{CAED0799-D658-C8DD-05C5-8E8B3A213D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/>
        <a:stretch>
          <a:fillRect/>
        </a:stretch>
      </xdr:blipFill>
      <xdr:spPr>
        <a:xfrm>
          <a:off x="24581556" y="9510889"/>
          <a:ext cx="790222" cy="790222"/>
        </a:xfrm>
        <a:prstGeom prst="rect">
          <a:avLst/>
        </a:prstGeom>
      </xdr:spPr>
    </xdr:pic>
    <xdr:clientData/>
  </xdr:twoCellAnchor>
  <xdr:twoCellAnchor editAs="oneCell">
    <xdr:from>
      <xdr:col>11</xdr:col>
      <xdr:colOff>59266</xdr:colOff>
      <xdr:row>8</xdr:row>
      <xdr:rowOff>31045</xdr:rowOff>
    </xdr:from>
    <xdr:to>
      <xdr:col>11</xdr:col>
      <xdr:colOff>833266</xdr:colOff>
      <xdr:row>8</xdr:row>
      <xdr:rowOff>805045</xdr:rowOff>
    </xdr:to>
    <xdr:pic>
      <xdr:nvPicPr>
        <xdr:cNvPr id="58" name="Picture 57" descr=" 1, 1, 2, 2,">
          <a:extLst>
            <a:ext uri="{FF2B5EF4-FFF2-40B4-BE49-F238E27FC236}">
              <a16:creationId xmlns:a16="http://schemas.microsoft.com/office/drawing/2014/main" id="{DC308ECC-93B3-8043-9F3C-999E22FFDE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372599" y="6917267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12</xdr:col>
      <xdr:colOff>48492</xdr:colOff>
      <xdr:row>7</xdr:row>
      <xdr:rowOff>17700</xdr:rowOff>
    </xdr:from>
    <xdr:to>
      <xdr:col>13</xdr:col>
      <xdr:colOff>845128</xdr:colOff>
      <xdr:row>7</xdr:row>
      <xdr:rowOff>825883</xdr:rowOff>
    </xdr:to>
    <xdr:pic>
      <xdr:nvPicPr>
        <xdr:cNvPr id="62" name="Picture 61" descr="Item:SwingyThing,Pos:1">
          <a:extLst>
            <a:ext uri="{FF2B5EF4-FFF2-40B4-BE49-F238E27FC236}">
              <a16:creationId xmlns:a16="http://schemas.microsoft.com/office/drawing/2014/main" id="{8C8CA804-3C7B-254C-A21A-2C91CC57D7D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7"/>
        <a:srcRect r="86560" b="47368"/>
        <a:stretch/>
      </xdr:blipFill>
      <xdr:spPr>
        <a:xfrm>
          <a:off x="10208492" y="6043144"/>
          <a:ext cx="1643303" cy="808183"/>
        </a:xfrm>
        <a:prstGeom prst="rect">
          <a:avLst/>
        </a:prstGeom>
      </xdr:spPr>
    </xdr:pic>
    <xdr:clientData/>
  </xdr:twoCellAnchor>
  <xdr:twoCellAnchor editAs="oneCell">
    <xdr:from>
      <xdr:col>14</xdr:col>
      <xdr:colOff>66323</xdr:colOff>
      <xdr:row>8</xdr:row>
      <xdr:rowOff>47977</xdr:rowOff>
    </xdr:from>
    <xdr:to>
      <xdr:col>14</xdr:col>
      <xdr:colOff>840323</xdr:colOff>
      <xdr:row>8</xdr:row>
      <xdr:rowOff>821977</xdr:rowOff>
    </xdr:to>
    <xdr:pic>
      <xdr:nvPicPr>
        <xdr:cNvPr id="66" name="Picture 65" descr=" 4, 5, 1, 2,">
          <a:extLst>
            <a:ext uri="{FF2B5EF4-FFF2-40B4-BE49-F238E27FC236}">
              <a16:creationId xmlns:a16="http://schemas.microsoft.com/office/drawing/2014/main" id="{8A6A9FE5-9B06-784F-A6A9-4317B5CDD6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1919656" y="6934199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42333</xdr:colOff>
      <xdr:row>8</xdr:row>
      <xdr:rowOff>42334</xdr:rowOff>
    </xdr:from>
    <xdr:to>
      <xdr:col>15</xdr:col>
      <xdr:colOff>816333</xdr:colOff>
      <xdr:row>8</xdr:row>
      <xdr:rowOff>816334</xdr:rowOff>
    </xdr:to>
    <xdr:pic>
      <xdr:nvPicPr>
        <xdr:cNvPr id="67" name="Picture 66" descr=" 1, 1, 2, 2,">
          <a:extLst>
            <a:ext uri="{FF2B5EF4-FFF2-40B4-BE49-F238E27FC236}">
              <a16:creationId xmlns:a16="http://schemas.microsoft.com/office/drawing/2014/main" id="{AB0B9D38-EB51-3F42-B480-4171A86FC8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742333" y="6928556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10</xdr:col>
      <xdr:colOff>56444</xdr:colOff>
      <xdr:row>8</xdr:row>
      <xdr:rowOff>42333</xdr:rowOff>
    </xdr:from>
    <xdr:to>
      <xdr:col>10</xdr:col>
      <xdr:colOff>830444</xdr:colOff>
      <xdr:row>8</xdr:row>
      <xdr:rowOff>816333</xdr:rowOff>
    </xdr:to>
    <xdr:pic>
      <xdr:nvPicPr>
        <xdr:cNvPr id="69" name="Picture 68" descr=" 4, 5, 1, 2,">
          <a:extLst>
            <a:ext uri="{FF2B5EF4-FFF2-40B4-BE49-F238E27FC236}">
              <a16:creationId xmlns:a16="http://schemas.microsoft.com/office/drawing/2014/main" id="{74291C2A-3453-6543-86BF-C68D514FEE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8523111" y="6928555"/>
          <a:ext cx="774000" cy="7740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330200</xdr:colOff>
      <xdr:row>19</xdr:row>
      <xdr:rowOff>101600</xdr:rowOff>
    </xdr:from>
    <xdr:to>
      <xdr:col>4</xdr:col>
      <xdr:colOff>690770</xdr:colOff>
      <xdr:row>28</xdr:row>
      <xdr:rowOff>88900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B2F3778F-5EA3-99FD-2C78-33F83A21D0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30200" y="3962400"/>
          <a:ext cx="3662570" cy="1816100"/>
        </a:xfrm>
        <a:prstGeom prst="rect">
          <a:avLst/>
        </a:prstGeom>
      </xdr:spPr>
    </xdr:pic>
    <xdr:clientData/>
  </xdr:twoCellAnchor>
  <xdr:twoCellAnchor editAs="oneCell">
    <xdr:from>
      <xdr:col>0</xdr:col>
      <xdr:colOff>317500</xdr:colOff>
      <xdr:row>28</xdr:row>
      <xdr:rowOff>190500</xdr:rowOff>
    </xdr:from>
    <xdr:to>
      <xdr:col>4</xdr:col>
      <xdr:colOff>709055</xdr:colOff>
      <xdr:row>37</xdr:row>
      <xdr:rowOff>177800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389B3DE7-0507-CE00-B2CE-11706AFDD4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17500" y="5880100"/>
          <a:ext cx="3693555" cy="1816100"/>
        </a:xfrm>
        <a:prstGeom prst="rect">
          <a:avLst/>
        </a:prstGeom>
      </xdr:spPr>
    </xdr:pic>
    <xdr:clientData/>
  </xdr:twoCellAnchor>
  <xdr:twoCellAnchor editAs="oneCell">
    <xdr:from>
      <xdr:col>0</xdr:col>
      <xdr:colOff>317500</xdr:colOff>
      <xdr:row>38</xdr:row>
      <xdr:rowOff>88900</xdr:rowOff>
    </xdr:from>
    <xdr:to>
      <xdr:col>4</xdr:col>
      <xdr:colOff>736261</xdr:colOff>
      <xdr:row>47</xdr:row>
      <xdr:rowOff>114300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3D377F47-E8FF-810F-078D-D9194A6928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17500" y="7810500"/>
          <a:ext cx="3720761" cy="1854200"/>
        </a:xfrm>
        <a:prstGeom prst="rect">
          <a:avLst/>
        </a:prstGeom>
      </xdr:spPr>
    </xdr:pic>
    <xdr:clientData/>
  </xdr:twoCellAnchor>
  <xdr:twoCellAnchor editAs="oneCell">
    <xdr:from>
      <xdr:col>0</xdr:col>
      <xdr:colOff>342900</xdr:colOff>
      <xdr:row>48</xdr:row>
      <xdr:rowOff>38100</xdr:rowOff>
    </xdr:from>
    <xdr:to>
      <xdr:col>4</xdr:col>
      <xdr:colOff>753918</xdr:colOff>
      <xdr:row>57</xdr:row>
      <xdr:rowOff>38100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B8AC6AEF-76E9-9ACA-4C9F-19CC029E81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42900" y="9791700"/>
          <a:ext cx="3713018" cy="1828800"/>
        </a:xfrm>
        <a:prstGeom prst="rect">
          <a:avLst/>
        </a:prstGeom>
      </xdr:spPr>
    </xdr:pic>
    <xdr:clientData/>
  </xdr:twoCellAnchor>
  <xdr:twoCellAnchor editAs="oneCell">
    <xdr:from>
      <xdr:col>0</xdr:col>
      <xdr:colOff>355600</xdr:colOff>
      <xdr:row>58</xdr:row>
      <xdr:rowOff>12700</xdr:rowOff>
    </xdr:from>
    <xdr:to>
      <xdr:col>4</xdr:col>
      <xdr:colOff>818412</xdr:colOff>
      <xdr:row>67</xdr:row>
      <xdr:rowOff>50800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C06C6F51-E458-C549-E437-7197694FA6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355600" y="11798300"/>
          <a:ext cx="3764812" cy="1866900"/>
        </a:xfrm>
        <a:prstGeom prst="rect">
          <a:avLst/>
        </a:prstGeom>
      </xdr:spPr>
    </xdr:pic>
    <xdr:clientData/>
  </xdr:twoCellAnchor>
  <xdr:twoCellAnchor editAs="oneCell">
    <xdr:from>
      <xdr:col>0</xdr:col>
      <xdr:colOff>355600</xdr:colOff>
      <xdr:row>68</xdr:row>
      <xdr:rowOff>12700</xdr:rowOff>
    </xdr:from>
    <xdr:to>
      <xdr:col>5</xdr:col>
      <xdr:colOff>12278</xdr:colOff>
      <xdr:row>77</xdr:row>
      <xdr:rowOff>63500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297126DD-8A68-E43A-98EC-86BF53EAD5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355600" y="13830300"/>
          <a:ext cx="3784178" cy="1879600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381000</xdr:colOff>
      <xdr:row>78</xdr:row>
      <xdr:rowOff>25400</xdr:rowOff>
    </xdr:from>
    <xdr:to>
      <xdr:col>4</xdr:col>
      <xdr:colOff>811959</xdr:colOff>
      <xdr:row>87</xdr:row>
      <xdr:rowOff>50800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3B0FCBFC-0C79-EE21-2878-D5B8144C04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381000" y="15875000"/>
          <a:ext cx="3732959" cy="1854200"/>
        </a:xfrm>
        <a:prstGeom prst="rect">
          <a:avLst/>
        </a:prstGeom>
      </xdr:spPr>
    </xdr:pic>
    <xdr:clientData/>
  </xdr:twoCellAnchor>
  <xdr:twoCellAnchor editAs="oneCell">
    <xdr:from>
      <xdr:col>7</xdr:col>
      <xdr:colOff>139700</xdr:colOff>
      <xdr:row>19</xdr:row>
      <xdr:rowOff>89524</xdr:rowOff>
    </xdr:from>
    <xdr:to>
      <xdr:col>11</xdr:col>
      <xdr:colOff>520700</xdr:colOff>
      <xdr:row>28</xdr:row>
      <xdr:rowOff>65997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98E23450-3B3A-37A4-E3FD-7D5729203F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5918200" y="3950324"/>
          <a:ext cx="3683000" cy="1805273"/>
        </a:xfrm>
        <a:prstGeom prst="rect">
          <a:avLst/>
        </a:prstGeom>
      </xdr:spPr>
    </xdr:pic>
    <xdr:clientData/>
  </xdr:twoCellAnchor>
  <xdr:twoCellAnchor editAs="oneCell">
    <xdr:from>
      <xdr:col>7</xdr:col>
      <xdr:colOff>127000</xdr:colOff>
      <xdr:row>28</xdr:row>
      <xdr:rowOff>165101</xdr:rowOff>
    </xdr:from>
    <xdr:to>
      <xdr:col>11</xdr:col>
      <xdr:colOff>457200</xdr:colOff>
      <xdr:row>37</xdr:row>
      <xdr:rowOff>146407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CD24887C-C745-7563-10B7-0E9A9DE0BB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5905500" y="5854701"/>
          <a:ext cx="3632200" cy="1810106"/>
        </a:xfrm>
        <a:prstGeom prst="rect">
          <a:avLst/>
        </a:prstGeom>
      </xdr:spPr>
    </xdr:pic>
    <xdr:clientData/>
  </xdr:twoCellAnchor>
  <xdr:twoCellAnchor editAs="oneCell">
    <xdr:from>
      <xdr:col>7</xdr:col>
      <xdr:colOff>127000</xdr:colOff>
      <xdr:row>38</xdr:row>
      <xdr:rowOff>63500</xdr:rowOff>
    </xdr:from>
    <xdr:to>
      <xdr:col>11</xdr:col>
      <xdr:colOff>533400</xdr:colOff>
      <xdr:row>47</xdr:row>
      <xdr:rowOff>85825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124F8365-2783-C9B2-986B-98BB3313A7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5905500" y="7785100"/>
          <a:ext cx="3708400" cy="1851125"/>
        </a:xfrm>
        <a:prstGeom prst="rect">
          <a:avLst/>
        </a:prstGeom>
      </xdr:spPr>
    </xdr:pic>
    <xdr:clientData/>
  </xdr:twoCellAnchor>
  <xdr:twoCellAnchor editAs="oneCell">
    <xdr:from>
      <xdr:col>7</xdr:col>
      <xdr:colOff>127000</xdr:colOff>
      <xdr:row>48</xdr:row>
      <xdr:rowOff>12700</xdr:rowOff>
    </xdr:from>
    <xdr:to>
      <xdr:col>11</xdr:col>
      <xdr:colOff>482600</xdr:colOff>
      <xdr:row>56</xdr:row>
      <xdr:rowOff>188604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53D13D40-6DD9-89A6-0903-04526416B3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5905500" y="9766300"/>
          <a:ext cx="3657600" cy="1801504"/>
        </a:xfrm>
        <a:prstGeom prst="rect">
          <a:avLst/>
        </a:prstGeom>
      </xdr:spPr>
    </xdr:pic>
    <xdr:clientData/>
  </xdr:twoCellAnchor>
  <xdr:twoCellAnchor editAs="oneCell">
    <xdr:from>
      <xdr:col>7</xdr:col>
      <xdr:colOff>165100</xdr:colOff>
      <xdr:row>57</xdr:row>
      <xdr:rowOff>190500</xdr:rowOff>
    </xdr:from>
    <xdr:to>
      <xdr:col>11</xdr:col>
      <xdr:colOff>486563</xdr:colOff>
      <xdr:row>66</xdr:row>
      <xdr:rowOff>152400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920FAB09-19E0-8455-ABF8-DE3FEAFCF2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5943600" y="11772900"/>
          <a:ext cx="3623463" cy="1790700"/>
        </a:xfrm>
        <a:prstGeom prst="rect">
          <a:avLst/>
        </a:prstGeom>
      </xdr:spPr>
    </xdr:pic>
    <xdr:clientData/>
  </xdr:twoCellAnchor>
  <xdr:twoCellAnchor editAs="oneCell">
    <xdr:from>
      <xdr:col>7</xdr:col>
      <xdr:colOff>203200</xdr:colOff>
      <xdr:row>78</xdr:row>
      <xdr:rowOff>12700</xdr:rowOff>
    </xdr:from>
    <xdr:to>
      <xdr:col>11</xdr:col>
      <xdr:colOff>594343</xdr:colOff>
      <xdr:row>87</xdr:row>
      <xdr:rowOff>0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752B1A43-7E9E-D94F-BC25-0EE92B1A58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5981700" y="15862300"/>
          <a:ext cx="3693143" cy="1816100"/>
        </a:xfrm>
        <a:prstGeom prst="rect">
          <a:avLst/>
        </a:prstGeom>
      </xdr:spPr>
    </xdr:pic>
    <xdr:clientData/>
  </xdr:twoCellAnchor>
  <xdr:twoCellAnchor editAs="oneCell">
    <xdr:from>
      <xdr:col>7</xdr:col>
      <xdr:colOff>177800</xdr:colOff>
      <xdr:row>68</xdr:row>
      <xdr:rowOff>12700</xdr:rowOff>
    </xdr:from>
    <xdr:to>
      <xdr:col>11</xdr:col>
      <xdr:colOff>571500</xdr:colOff>
      <xdr:row>77</xdr:row>
      <xdr:rowOff>4352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F95E2FC6-39CE-F298-56D0-78F3E7496A4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5956300" y="13830300"/>
          <a:ext cx="3695700" cy="1820452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25400</xdr:colOff>
      <xdr:row>0</xdr:row>
      <xdr:rowOff>25400</xdr:rowOff>
    </xdr:from>
    <xdr:to>
      <xdr:col>0</xdr:col>
      <xdr:colOff>799400</xdr:colOff>
      <xdr:row>0</xdr:row>
      <xdr:rowOff>799400</xdr:rowOff>
    </xdr:to>
    <xdr:pic>
      <xdr:nvPicPr>
        <xdr:cNvPr id="2" name="Picture 1" descr=" 1, 1, 2, 2,">
          <a:extLst>
            <a:ext uri="{FF2B5EF4-FFF2-40B4-BE49-F238E27FC236}">
              <a16:creationId xmlns:a16="http://schemas.microsoft.com/office/drawing/2014/main" id="{97675C95-3431-E740-B22D-EC80379107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5400" y="25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</xdr:colOff>
      <xdr:row>1</xdr:row>
      <xdr:rowOff>25400</xdr:rowOff>
    </xdr:from>
    <xdr:to>
      <xdr:col>0</xdr:col>
      <xdr:colOff>812100</xdr:colOff>
      <xdr:row>1</xdr:row>
      <xdr:rowOff>799400</xdr:rowOff>
    </xdr:to>
    <xdr:pic>
      <xdr:nvPicPr>
        <xdr:cNvPr id="3" name="Picture 2" descr=" 1, 0, 2, 0,">
          <a:extLst>
            <a:ext uri="{FF2B5EF4-FFF2-40B4-BE49-F238E27FC236}">
              <a16:creationId xmlns:a16="http://schemas.microsoft.com/office/drawing/2014/main" id="{794B8E17-0B9E-6646-93F7-E05C6DC8FB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8100" y="889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</xdr:colOff>
      <xdr:row>2</xdr:row>
      <xdr:rowOff>25400</xdr:rowOff>
    </xdr:from>
    <xdr:to>
      <xdr:col>0</xdr:col>
      <xdr:colOff>812100</xdr:colOff>
      <xdr:row>2</xdr:row>
      <xdr:rowOff>799400</xdr:rowOff>
    </xdr:to>
    <xdr:pic>
      <xdr:nvPicPr>
        <xdr:cNvPr id="4" name="Picture 3" descr=" 0, 1, 0, 2,">
          <a:extLst>
            <a:ext uri="{FF2B5EF4-FFF2-40B4-BE49-F238E27FC236}">
              <a16:creationId xmlns:a16="http://schemas.microsoft.com/office/drawing/2014/main" id="{513D4BF0-CE71-774A-83D2-FF991D74F9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8100" y="17526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</xdr:colOff>
      <xdr:row>3</xdr:row>
      <xdr:rowOff>25400</xdr:rowOff>
    </xdr:from>
    <xdr:to>
      <xdr:col>0</xdr:col>
      <xdr:colOff>812100</xdr:colOff>
      <xdr:row>3</xdr:row>
      <xdr:rowOff>799400</xdr:rowOff>
    </xdr:to>
    <xdr:pic>
      <xdr:nvPicPr>
        <xdr:cNvPr id="5" name="Picture 4" descr=" 4, 5, 1, 2,">
          <a:extLst>
            <a:ext uri="{FF2B5EF4-FFF2-40B4-BE49-F238E27FC236}">
              <a16:creationId xmlns:a16="http://schemas.microsoft.com/office/drawing/2014/main" id="{B959E6A8-308C-BD4C-BB4B-9F50D5C9FB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8100" y="2616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0</xdr:row>
      <xdr:rowOff>25400</xdr:rowOff>
    </xdr:from>
    <xdr:to>
      <xdr:col>1</xdr:col>
      <xdr:colOff>799400</xdr:colOff>
      <xdr:row>0</xdr:row>
      <xdr:rowOff>799400</xdr:rowOff>
    </xdr:to>
    <xdr:pic>
      <xdr:nvPicPr>
        <xdr:cNvPr id="6" name="Picture 5" descr=" 0, 0, 1, 1">
          <a:extLst>
            <a:ext uri="{FF2B5EF4-FFF2-40B4-BE49-F238E27FC236}">
              <a16:creationId xmlns:a16="http://schemas.microsoft.com/office/drawing/2014/main" id="{0AE89367-E9EF-414F-8E46-E29B04F802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876300" y="25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</xdr:row>
      <xdr:rowOff>25400</xdr:rowOff>
    </xdr:from>
    <xdr:to>
      <xdr:col>1</xdr:col>
      <xdr:colOff>799400</xdr:colOff>
      <xdr:row>4</xdr:row>
      <xdr:rowOff>799400</xdr:rowOff>
    </xdr:to>
    <xdr:pic>
      <xdr:nvPicPr>
        <xdr:cNvPr id="7" name="Picture 6" descr=" 0, 0, 0, 6,">
          <a:extLst>
            <a:ext uri="{FF2B5EF4-FFF2-40B4-BE49-F238E27FC236}">
              <a16:creationId xmlns:a16="http://schemas.microsoft.com/office/drawing/2014/main" id="{8E9F9A9C-6E1E-5043-A022-4A9D5BC2BC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876300" y="34798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4</xdr:row>
      <xdr:rowOff>25400</xdr:rowOff>
    </xdr:from>
    <xdr:to>
      <xdr:col>0</xdr:col>
      <xdr:colOff>799400</xdr:colOff>
      <xdr:row>4</xdr:row>
      <xdr:rowOff>799400</xdr:rowOff>
    </xdr:to>
    <xdr:pic>
      <xdr:nvPicPr>
        <xdr:cNvPr id="8" name="Picture 7" descr=" 0, 0,11, 0,">
          <a:extLst>
            <a:ext uri="{FF2B5EF4-FFF2-40B4-BE49-F238E27FC236}">
              <a16:creationId xmlns:a16="http://schemas.microsoft.com/office/drawing/2014/main" id="{737FCC82-C551-FC4C-B5F8-BF97793139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25400" y="34798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</xdr:row>
      <xdr:rowOff>25400</xdr:rowOff>
    </xdr:from>
    <xdr:to>
      <xdr:col>1</xdr:col>
      <xdr:colOff>799400</xdr:colOff>
      <xdr:row>3</xdr:row>
      <xdr:rowOff>799400</xdr:rowOff>
    </xdr:to>
    <xdr:pic>
      <xdr:nvPicPr>
        <xdr:cNvPr id="9" name="Picture 8" descr=" 9,10, 2, 1,">
          <a:extLst>
            <a:ext uri="{FF2B5EF4-FFF2-40B4-BE49-F238E27FC236}">
              <a16:creationId xmlns:a16="http://schemas.microsoft.com/office/drawing/2014/main" id="{69311C11-C0C2-FF40-83F1-6852692DF9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76300" y="2616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38100</xdr:colOff>
      <xdr:row>9</xdr:row>
      <xdr:rowOff>38100</xdr:rowOff>
    </xdr:from>
    <xdr:to>
      <xdr:col>1</xdr:col>
      <xdr:colOff>812100</xdr:colOff>
      <xdr:row>9</xdr:row>
      <xdr:rowOff>812100</xdr:rowOff>
    </xdr:to>
    <xdr:pic>
      <xdr:nvPicPr>
        <xdr:cNvPr id="10" name="Picture 9" descr="12,12, 7, 7,">
          <a:extLst>
            <a:ext uri="{FF2B5EF4-FFF2-40B4-BE49-F238E27FC236}">
              <a16:creationId xmlns:a16="http://schemas.microsoft.com/office/drawing/2014/main" id="{71D2C9B1-6DDF-AC43-B3C9-54577222F7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889000" y="78105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10</xdr:row>
      <xdr:rowOff>38100</xdr:rowOff>
    </xdr:from>
    <xdr:to>
      <xdr:col>0</xdr:col>
      <xdr:colOff>799400</xdr:colOff>
      <xdr:row>10</xdr:row>
      <xdr:rowOff>812100</xdr:rowOff>
    </xdr:to>
    <xdr:pic>
      <xdr:nvPicPr>
        <xdr:cNvPr id="11" name="Picture 10" descr=" 8, 8,12,12,">
          <a:extLst>
            <a:ext uri="{FF2B5EF4-FFF2-40B4-BE49-F238E27FC236}">
              <a16:creationId xmlns:a16="http://schemas.microsoft.com/office/drawing/2014/main" id="{BFA6F1AC-D916-CD4A-9506-3B2AFB4587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5400" y="86741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</xdr:row>
      <xdr:rowOff>25400</xdr:rowOff>
    </xdr:from>
    <xdr:to>
      <xdr:col>1</xdr:col>
      <xdr:colOff>799400</xdr:colOff>
      <xdr:row>10</xdr:row>
      <xdr:rowOff>799400</xdr:rowOff>
    </xdr:to>
    <xdr:pic>
      <xdr:nvPicPr>
        <xdr:cNvPr id="12" name="Picture 11" descr="12,12,12,12,">
          <a:extLst>
            <a:ext uri="{FF2B5EF4-FFF2-40B4-BE49-F238E27FC236}">
              <a16:creationId xmlns:a16="http://schemas.microsoft.com/office/drawing/2014/main" id="{B5D07733-6461-CA48-8442-8D13DB9F83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876300" y="8661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11</xdr:row>
      <xdr:rowOff>25400</xdr:rowOff>
    </xdr:from>
    <xdr:to>
      <xdr:col>0</xdr:col>
      <xdr:colOff>799400</xdr:colOff>
      <xdr:row>11</xdr:row>
      <xdr:rowOff>799400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06495FA0-34BB-224E-A027-72EF0CE4E9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25400" y="9525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</xdr:col>
      <xdr:colOff>41275</xdr:colOff>
      <xdr:row>11</xdr:row>
      <xdr:rowOff>41275</xdr:rowOff>
    </xdr:from>
    <xdr:to>
      <xdr:col>2</xdr:col>
      <xdr:colOff>815275</xdr:colOff>
      <xdr:row>11</xdr:row>
      <xdr:rowOff>815275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FA1B6128-25E5-C943-B2A7-EAC2B88647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743075" y="95408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50800</xdr:colOff>
      <xdr:row>11</xdr:row>
      <xdr:rowOff>25400</xdr:rowOff>
    </xdr:from>
    <xdr:to>
      <xdr:col>1</xdr:col>
      <xdr:colOff>824800</xdr:colOff>
      <xdr:row>11</xdr:row>
      <xdr:rowOff>799400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E311F32C-A5B7-3145-B525-5E698D0021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901700" y="9525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4</xdr:col>
      <xdr:colOff>57150</xdr:colOff>
      <xdr:row>11</xdr:row>
      <xdr:rowOff>53975</xdr:rowOff>
    </xdr:from>
    <xdr:to>
      <xdr:col>4</xdr:col>
      <xdr:colOff>831150</xdr:colOff>
      <xdr:row>11</xdr:row>
      <xdr:rowOff>827975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CC8C9222-BD2C-1241-8844-0F2C78F62B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3460750" y="95535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5</xdr:col>
      <xdr:colOff>73025</xdr:colOff>
      <xdr:row>11</xdr:row>
      <xdr:rowOff>53975</xdr:rowOff>
    </xdr:from>
    <xdr:to>
      <xdr:col>6</xdr:col>
      <xdr:colOff>358</xdr:colOff>
      <xdr:row>11</xdr:row>
      <xdr:rowOff>827975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3953EBF7-D361-1641-8230-C2F2ECD3C1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4327525" y="95535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3</xdr:col>
      <xdr:colOff>41275</xdr:colOff>
      <xdr:row>11</xdr:row>
      <xdr:rowOff>41275</xdr:rowOff>
    </xdr:from>
    <xdr:to>
      <xdr:col>3</xdr:col>
      <xdr:colOff>815275</xdr:colOff>
      <xdr:row>11</xdr:row>
      <xdr:rowOff>815275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7D4406C9-6B6A-0A4B-84D7-B5970BB095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593975" y="95408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5</xdr:row>
      <xdr:rowOff>25400</xdr:rowOff>
    </xdr:from>
    <xdr:to>
      <xdr:col>0</xdr:col>
      <xdr:colOff>799400</xdr:colOff>
      <xdr:row>5</xdr:row>
      <xdr:rowOff>799400</xdr:rowOff>
    </xdr:to>
    <xdr:pic>
      <xdr:nvPicPr>
        <xdr:cNvPr id="19" name="Picture 18" descr="19, 0, 2, 0,">
          <a:extLst>
            <a:ext uri="{FF2B5EF4-FFF2-40B4-BE49-F238E27FC236}">
              <a16:creationId xmlns:a16="http://schemas.microsoft.com/office/drawing/2014/main" id="{DFD54ADF-D48D-614B-A0D5-D1DCD4C4F6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400" y="4343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38100</xdr:colOff>
      <xdr:row>5</xdr:row>
      <xdr:rowOff>25400</xdr:rowOff>
    </xdr:from>
    <xdr:to>
      <xdr:col>1</xdr:col>
      <xdr:colOff>812100</xdr:colOff>
      <xdr:row>5</xdr:row>
      <xdr:rowOff>799400</xdr:rowOff>
    </xdr:to>
    <xdr:pic>
      <xdr:nvPicPr>
        <xdr:cNvPr id="20" name="Picture 19" descr=" 0,21, 0, 2,">
          <a:extLst>
            <a:ext uri="{FF2B5EF4-FFF2-40B4-BE49-F238E27FC236}">
              <a16:creationId xmlns:a16="http://schemas.microsoft.com/office/drawing/2014/main" id="{0B5F708B-D371-9F4E-81DC-93448B301A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889000" y="4343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6</xdr:row>
      <xdr:rowOff>25400</xdr:rowOff>
    </xdr:from>
    <xdr:to>
      <xdr:col>0</xdr:col>
      <xdr:colOff>799400</xdr:colOff>
      <xdr:row>6</xdr:row>
      <xdr:rowOff>799400</xdr:rowOff>
    </xdr:to>
    <xdr:pic>
      <xdr:nvPicPr>
        <xdr:cNvPr id="21" name="Picture 20">
          <a:extLst>
            <a:ext uri="{FF2B5EF4-FFF2-40B4-BE49-F238E27FC236}">
              <a16:creationId xmlns:a16="http://schemas.microsoft.com/office/drawing/2014/main" id="{49E7677E-97FA-BD47-BF28-DCCE520AD5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400" y="5207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</xdr:row>
      <xdr:rowOff>25400</xdr:rowOff>
    </xdr:from>
    <xdr:to>
      <xdr:col>1</xdr:col>
      <xdr:colOff>799400</xdr:colOff>
      <xdr:row>6</xdr:row>
      <xdr:rowOff>799400</xdr:rowOff>
    </xdr:to>
    <xdr:pic>
      <xdr:nvPicPr>
        <xdr:cNvPr id="22" name="Picture 21">
          <a:extLst>
            <a:ext uri="{FF2B5EF4-FFF2-40B4-BE49-F238E27FC236}">
              <a16:creationId xmlns:a16="http://schemas.microsoft.com/office/drawing/2014/main" id="{2CFF3B73-354E-E746-A95C-5A83FA9815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876300" y="5207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7</xdr:row>
      <xdr:rowOff>25400</xdr:rowOff>
    </xdr:from>
    <xdr:to>
      <xdr:col>0</xdr:col>
      <xdr:colOff>799400</xdr:colOff>
      <xdr:row>7</xdr:row>
      <xdr:rowOff>799400</xdr:rowOff>
    </xdr:to>
    <xdr:pic>
      <xdr:nvPicPr>
        <xdr:cNvPr id="23" name="Picture 22" descr=" 1,19, 2, 2,">
          <a:extLst>
            <a:ext uri="{FF2B5EF4-FFF2-40B4-BE49-F238E27FC236}">
              <a16:creationId xmlns:a16="http://schemas.microsoft.com/office/drawing/2014/main" id="{A02DE472-797A-6643-9FAC-8E3DBE9FAE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400" y="60706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8</xdr:row>
      <xdr:rowOff>25400</xdr:rowOff>
    </xdr:from>
    <xdr:to>
      <xdr:col>0</xdr:col>
      <xdr:colOff>799400</xdr:colOff>
      <xdr:row>8</xdr:row>
      <xdr:rowOff>799400</xdr:rowOff>
    </xdr:to>
    <xdr:pic>
      <xdr:nvPicPr>
        <xdr:cNvPr id="24" name="Picture 23" descr="20, 0, 2,20,">
          <a:extLst>
            <a:ext uri="{FF2B5EF4-FFF2-40B4-BE49-F238E27FC236}">
              <a16:creationId xmlns:a16="http://schemas.microsoft.com/office/drawing/2014/main" id="{B4E13020-CA6B-744A-81BD-734E401D03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5400" y="6934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</xdr:row>
      <xdr:rowOff>25400</xdr:rowOff>
    </xdr:from>
    <xdr:to>
      <xdr:col>1</xdr:col>
      <xdr:colOff>799400</xdr:colOff>
      <xdr:row>7</xdr:row>
      <xdr:rowOff>799400</xdr:rowOff>
    </xdr:to>
    <xdr:pic>
      <xdr:nvPicPr>
        <xdr:cNvPr id="25" name="Picture 24" descr="21, 1, 2, 2,">
          <a:extLst>
            <a:ext uri="{FF2B5EF4-FFF2-40B4-BE49-F238E27FC236}">
              <a16:creationId xmlns:a16="http://schemas.microsoft.com/office/drawing/2014/main" id="{057CCCCB-7E24-5647-A23A-B9FBBFEF23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876300" y="60706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38100</xdr:colOff>
      <xdr:row>8</xdr:row>
      <xdr:rowOff>25400</xdr:rowOff>
    </xdr:from>
    <xdr:to>
      <xdr:col>1</xdr:col>
      <xdr:colOff>812100</xdr:colOff>
      <xdr:row>8</xdr:row>
      <xdr:rowOff>799400</xdr:rowOff>
    </xdr:to>
    <xdr:pic>
      <xdr:nvPicPr>
        <xdr:cNvPr id="26" name="Picture 25" descr=" 0,22,22, 2,">
          <a:extLst>
            <a:ext uri="{FF2B5EF4-FFF2-40B4-BE49-F238E27FC236}">
              <a16:creationId xmlns:a16="http://schemas.microsoft.com/office/drawing/2014/main" id="{199ED641-F315-E249-80E5-AEDF3017B0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889000" y="6934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6</xdr:col>
      <xdr:colOff>73025</xdr:colOff>
      <xdr:row>11</xdr:row>
      <xdr:rowOff>53975</xdr:rowOff>
    </xdr:from>
    <xdr:to>
      <xdr:col>7</xdr:col>
      <xdr:colOff>358</xdr:colOff>
      <xdr:row>11</xdr:row>
      <xdr:rowOff>827975</xdr:rowOff>
    </xdr:to>
    <xdr:pic>
      <xdr:nvPicPr>
        <xdr:cNvPr id="27" name="Picture 26">
          <a:extLst>
            <a:ext uri="{FF2B5EF4-FFF2-40B4-BE49-F238E27FC236}">
              <a16:creationId xmlns:a16="http://schemas.microsoft.com/office/drawing/2014/main" id="{21257A7A-7DA9-5147-9ABD-94A239A57FA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6"/>
        <a:srcRect r="75820"/>
        <a:stretch/>
      </xdr:blipFill>
      <xdr:spPr>
        <a:xfrm>
          <a:off x="5178425" y="95535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7</xdr:col>
      <xdr:colOff>73025</xdr:colOff>
      <xdr:row>11</xdr:row>
      <xdr:rowOff>53975</xdr:rowOff>
    </xdr:from>
    <xdr:to>
      <xdr:col>8</xdr:col>
      <xdr:colOff>359</xdr:colOff>
      <xdr:row>11</xdr:row>
      <xdr:rowOff>827975</xdr:rowOff>
    </xdr:to>
    <xdr:pic>
      <xdr:nvPicPr>
        <xdr:cNvPr id="28" name="Picture 27">
          <a:extLst>
            <a:ext uri="{FF2B5EF4-FFF2-40B4-BE49-F238E27FC236}">
              <a16:creationId xmlns:a16="http://schemas.microsoft.com/office/drawing/2014/main" id="{C2DA34EA-2906-4046-98AD-038D75C6B4E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7"/>
        <a:srcRect r="75410"/>
        <a:stretch/>
      </xdr:blipFill>
      <xdr:spPr>
        <a:xfrm>
          <a:off x="6029325" y="95535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8</xdr:col>
      <xdr:colOff>57150</xdr:colOff>
      <xdr:row>11</xdr:row>
      <xdr:rowOff>57151</xdr:rowOff>
    </xdr:from>
    <xdr:to>
      <xdr:col>8</xdr:col>
      <xdr:colOff>831150</xdr:colOff>
      <xdr:row>11</xdr:row>
      <xdr:rowOff>831151</xdr:rowOff>
    </xdr:to>
    <xdr:pic>
      <xdr:nvPicPr>
        <xdr:cNvPr id="29" name="Picture 28">
          <a:extLst>
            <a:ext uri="{FF2B5EF4-FFF2-40B4-BE49-F238E27FC236}">
              <a16:creationId xmlns:a16="http://schemas.microsoft.com/office/drawing/2014/main" id="{6801798E-00B7-D048-983C-748EBE82DD2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8"/>
        <a:srcRect r="74583"/>
        <a:stretch/>
      </xdr:blipFill>
      <xdr:spPr>
        <a:xfrm>
          <a:off x="6864350" y="9556751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9</xdr:col>
      <xdr:colOff>53975</xdr:colOff>
      <xdr:row>11</xdr:row>
      <xdr:rowOff>69850</xdr:rowOff>
    </xdr:from>
    <xdr:to>
      <xdr:col>9</xdr:col>
      <xdr:colOff>827975</xdr:colOff>
      <xdr:row>11</xdr:row>
      <xdr:rowOff>843850</xdr:rowOff>
    </xdr:to>
    <xdr:pic>
      <xdr:nvPicPr>
        <xdr:cNvPr id="30" name="Picture 29">
          <a:extLst>
            <a:ext uri="{FF2B5EF4-FFF2-40B4-BE49-F238E27FC236}">
              <a16:creationId xmlns:a16="http://schemas.microsoft.com/office/drawing/2014/main" id="{D3F6BA54-0FD5-524B-9ECA-04E9AE85951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9"/>
        <a:srcRect r="75000"/>
        <a:stretch/>
      </xdr:blipFill>
      <xdr:spPr>
        <a:xfrm>
          <a:off x="7712075" y="95694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10</xdr:col>
      <xdr:colOff>53975</xdr:colOff>
      <xdr:row>11</xdr:row>
      <xdr:rowOff>73025</xdr:rowOff>
    </xdr:from>
    <xdr:to>
      <xdr:col>10</xdr:col>
      <xdr:colOff>827975</xdr:colOff>
      <xdr:row>11</xdr:row>
      <xdr:rowOff>847025</xdr:rowOff>
    </xdr:to>
    <xdr:pic>
      <xdr:nvPicPr>
        <xdr:cNvPr id="31" name="Picture 30" descr="33,33,31,31,">
          <a:extLst>
            <a:ext uri="{FF2B5EF4-FFF2-40B4-BE49-F238E27FC236}">
              <a16:creationId xmlns:a16="http://schemas.microsoft.com/office/drawing/2014/main" id="{C9BFB4B7-0630-2545-BB20-DB60CD2F77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8562975" y="9572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11</xdr:col>
      <xdr:colOff>41275</xdr:colOff>
      <xdr:row>11</xdr:row>
      <xdr:rowOff>73025</xdr:rowOff>
    </xdr:from>
    <xdr:to>
      <xdr:col>11</xdr:col>
      <xdr:colOff>815275</xdr:colOff>
      <xdr:row>11</xdr:row>
      <xdr:rowOff>847025</xdr:rowOff>
    </xdr:to>
    <xdr:pic>
      <xdr:nvPicPr>
        <xdr:cNvPr id="32" name="Picture 31" descr="31,31,31,31,">
          <a:extLst>
            <a:ext uri="{FF2B5EF4-FFF2-40B4-BE49-F238E27FC236}">
              <a16:creationId xmlns:a16="http://schemas.microsoft.com/office/drawing/2014/main" id="{AF60246D-6EF6-D741-AABA-1BE556D934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9401175" y="9572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12</xdr:col>
      <xdr:colOff>88900</xdr:colOff>
      <xdr:row>11</xdr:row>
      <xdr:rowOff>73025</xdr:rowOff>
    </xdr:from>
    <xdr:to>
      <xdr:col>13</xdr:col>
      <xdr:colOff>5650</xdr:colOff>
      <xdr:row>11</xdr:row>
      <xdr:rowOff>847025</xdr:rowOff>
    </xdr:to>
    <xdr:pic>
      <xdr:nvPicPr>
        <xdr:cNvPr id="33" name="Picture 32" descr="31,31,32,32,">
          <a:extLst>
            <a:ext uri="{FF2B5EF4-FFF2-40B4-BE49-F238E27FC236}">
              <a16:creationId xmlns:a16="http://schemas.microsoft.com/office/drawing/2014/main" id="{86F1C3E5-CCEB-0F4A-9A12-DECF8C87C5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10299700" y="9572625"/>
          <a:ext cx="76765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73025</xdr:colOff>
      <xdr:row>11</xdr:row>
      <xdr:rowOff>73025</xdr:rowOff>
    </xdr:from>
    <xdr:to>
      <xdr:col>15</xdr:col>
      <xdr:colOff>358</xdr:colOff>
      <xdr:row>11</xdr:row>
      <xdr:rowOff>847025</xdr:rowOff>
    </xdr:to>
    <xdr:pic>
      <xdr:nvPicPr>
        <xdr:cNvPr id="34" name="Picture 33" descr=" 0, 0,39,39,">
          <a:extLst>
            <a:ext uri="{FF2B5EF4-FFF2-40B4-BE49-F238E27FC236}">
              <a16:creationId xmlns:a16="http://schemas.microsoft.com/office/drawing/2014/main" id="{B9586C3C-8190-6A4F-B77D-13FB56B020D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3"/>
        <a:srcRect l="25494" t="50593" r="62450"/>
        <a:stretch/>
      </xdr:blipFill>
      <xdr:spPr>
        <a:xfrm>
          <a:off x="11985625" y="9572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41275</xdr:colOff>
      <xdr:row>11</xdr:row>
      <xdr:rowOff>73025</xdr:rowOff>
    </xdr:from>
    <xdr:to>
      <xdr:col>15</xdr:col>
      <xdr:colOff>815275</xdr:colOff>
      <xdr:row>11</xdr:row>
      <xdr:rowOff>847025</xdr:rowOff>
    </xdr:to>
    <xdr:pic>
      <xdr:nvPicPr>
        <xdr:cNvPr id="35" name="Picture 34" descr=" 0, 0,40,40,">
          <a:extLst>
            <a:ext uri="{FF2B5EF4-FFF2-40B4-BE49-F238E27FC236}">
              <a16:creationId xmlns:a16="http://schemas.microsoft.com/office/drawing/2014/main" id="{C108BD79-DD4A-BA4B-B972-1240DC934D6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4"/>
        <a:srcRect r="88235" b="52157"/>
        <a:stretch/>
      </xdr:blipFill>
      <xdr:spPr>
        <a:xfrm>
          <a:off x="12804775" y="9572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9</xdr:row>
      <xdr:rowOff>0</xdr:rowOff>
    </xdr:from>
    <xdr:to>
      <xdr:col>0</xdr:col>
      <xdr:colOff>786484</xdr:colOff>
      <xdr:row>9</xdr:row>
      <xdr:rowOff>774000</xdr:rowOff>
    </xdr:to>
    <xdr:pic>
      <xdr:nvPicPr>
        <xdr:cNvPr id="36" name="Picture 35" descr=" 8, 8, 7, 7,">
          <a:extLst>
            <a:ext uri="{FF2B5EF4-FFF2-40B4-BE49-F238E27FC236}">
              <a16:creationId xmlns:a16="http://schemas.microsoft.com/office/drawing/2014/main" id="{4A581DA7-B0E0-444F-A963-6FB1D97FA9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0" y="7772400"/>
          <a:ext cx="786484" cy="774000"/>
        </a:xfrm>
        <a:prstGeom prst="rect">
          <a:avLst/>
        </a:prstGeom>
      </xdr:spPr>
    </xdr:pic>
    <xdr:clientData/>
  </xdr:twoCellAnchor>
  <xdr:twoCellAnchor editAs="oneCell">
    <xdr:from>
      <xdr:col>11</xdr:col>
      <xdr:colOff>63500</xdr:colOff>
      <xdr:row>8</xdr:row>
      <xdr:rowOff>47625</xdr:rowOff>
    </xdr:from>
    <xdr:to>
      <xdr:col>11</xdr:col>
      <xdr:colOff>837500</xdr:colOff>
      <xdr:row>8</xdr:row>
      <xdr:rowOff>821625</xdr:rowOff>
    </xdr:to>
    <xdr:pic>
      <xdr:nvPicPr>
        <xdr:cNvPr id="37" name="Picture 36" descr=" 4, 5, 1, 2,">
          <a:extLst>
            <a:ext uri="{FF2B5EF4-FFF2-40B4-BE49-F238E27FC236}">
              <a16:creationId xmlns:a16="http://schemas.microsoft.com/office/drawing/2014/main" id="{0231A781-36F4-8745-986E-0C9576E470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9423400" y="69564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13</xdr:col>
      <xdr:colOff>31750</xdr:colOff>
      <xdr:row>8</xdr:row>
      <xdr:rowOff>31750</xdr:rowOff>
    </xdr:from>
    <xdr:to>
      <xdr:col>13</xdr:col>
      <xdr:colOff>805750</xdr:colOff>
      <xdr:row>8</xdr:row>
      <xdr:rowOff>805750</xdr:rowOff>
    </xdr:to>
    <xdr:pic>
      <xdr:nvPicPr>
        <xdr:cNvPr id="38" name="Picture 37" descr=" 1, 1, 2, 2,&#10;">
          <a:extLst>
            <a:ext uri="{FF2B5EF4-FFF2-40B4-BE49-F238E27FC236}">
              <a16:creationId xmlns:a16="http://schemas.microsoft.com/office/drawing/2014/main" id="{C7EEFF5D-C414-7A46-BA3C-C02E206711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093450" y="69405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57150</xdr:colOff>
      <xdr:row>8</xdr:row>
      <xdr:rowOff>41275</xdr:rowOff>
    </xdr:from>
    <xdr:to>
      <xdr:col>14</xdr:col>
      <xdr:colOff>831150</xdr:colOff>
      <xdr:row>8</xdr:row>
      <xdr:rowOff>815275</xdr:rowOff>
    </xdr:to>
    <xdr:pic>
      <xdr:nvPicPr>
        <xdr:cNvPr id="39" name="Picture 38" descr=" 1, 1, 2, 2,&#10;">
          <a:extLst>
            <a:ext uri="{FF2B5EF4-FFF2-40B4-BE49-F238E27FC236}">
              <a16:creationId xmlns:a16="http://schemas.microsoft.com/office/drawing/2014/main" id="{95A4DBB5-23F7-4044-B4F4-FE89B237B2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969750" y="69500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13</xdr:col>
      <xdr:colOff>50800</xdr:colOff>
      <xdr:row>6</xdr:row>
      <xdr:rowOff>34925</xdr:rowOff>
    </xdr:from>
    <xdr:to>
      <xdr:col>13</xdr:col>
      <xdr:colOff>824800</xdr:colOff>
      <xdr:row>6</xdr:row>
      <xdr:rowOff>808925</xdr:rowOff>
    </xdr:to>
    <xdr:pic>
      <xdr:nvPicPr>
        <xdr:cNvPr id="40" name="Picture 39" descr=" 1, 1, 2, 2,&#10;">
          <a:extLst>
            <a:ext uri="{FF2B5EF4-FFF2-40B4-BE49-F238E27FC236}">
              <a16:creationId xmlns:a16="http://schemas.microsoft.com/office/drawing/2014/main" id="{3F2A39CD-FE90-884A-BFF8-816A8535D5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112500" y="52165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47625</xdr:colOff>
      <xdr:row>7</xdr:row>
      <xdr:rowOff>31750</xdr:rowOff>
    </xdr:from>
    <xdr:to>
      <xdr:col>14</xdr:col>
      <xdr:colOff>821625</xdr:colOff>
      <xdr:row>7</xdr:row>
      <xdr:rowOff>805750</xdr:rowOff>
    </xdr:to>
    <xdr:pic>
      <xdr:nvPicPr>
        <xdr:cNvPr id="41" name="Picture 40" descr="12,12, 7, 7,">
          <a:extLst>
            <a:ext uri="{FF2B5EF4-FFF2-40B4-BE49-F238E27FC236}">
              <a16:creationId xmlns:a16="http://schemas.microsoft.com/office/drawing/2014/main" id="{E59144D6-AE02-984A-93DD-6EBE2159BB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1960225" y="60769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47625</xdr:colOff>
      <xdr:row>6</xdr:row>
      <xdr:rowOff>31750</xdr:rowOff>
    </xdr:from>
    <xdr:to>
      <xdr:col>14</xdr:col>
      <xdr:colOff>821625</xdr:colOff>
      <xdr:row>6</xdr:row>
      <xdr:rowOff>805750</xdr:rowOff>
    </xdr:to>
    <xdr:pic>
      <xdr:nvPicPr>
        <xdr:cNvPr id="42" name="Picture 41" descr=" 8, 8,12,12,&#10;">
          <a:extLst>
            <a:ext uri="{FF2B5EF4-FFF2-40B4-BE49-F238E27FC236}">
              <a16:creationId xmlns:a16="http://schemas.microsoft.com/office/drawing/2014/main" id="{47ECCD9F-1E25-6641-8560-5540E55E649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1960225" y="52133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47625</xdr:colOff>
      <xdr:row>6</xdr:row>
      <xdr:rowOff>31750</xdr:rowOff>
    </xdr:from>
    <xdr:to>
      <xdr:col>15</xdr:col>
      <xdr:colOff>821625</xdr:colOff>
      <xdr:row>6</xdr:row>
      <xdr:rowOff>805750</xdr:rowOff>
    </xdr:to>
    <xdr:pic>
      <xdr:nvPicPr>
        <xdr:cNvPr id="43" name="Picture 42" descr=" 1, 1, 2, 2,&#10;">
          <a:extLst>
            <a:ext uri="{FF2B5EF4-FFF2-40B4-BE49-F238E27FC236}">
              <a16:creationId xmlns:a16="http://schemas.microsoft.com/office/drawing/2014/main" id="{802E43C4-502E-6341-8FBF-54E305DAFF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811125" y="52133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17</xdr:col>
      <xdr:colOff>15875</xdr:colOff>
      <xdr:row>5</xdr:row>
      <xdr:rowOff>47625</xdr:rowOff>
    </xdr:from>
    <xdr:to>
      <xdr:col>17</xdr:col>
      <xdr:colOff>789875</xdr:colOff>
      <xdr:row>5</xdr:row>
      <xdr:rowOff>821625</xdr:rowOff>
    </xdr:to>
    <xdr:pic>
      <xdr:nvPicPr>
        <xdr:cNvPr id="44" name="Picture 43" descr="12,12, 7, 7,">
          <a:extLst>
            <a:ext uri="{FF2B5EF4-FFF2-40B4-BE49-F238E27FC236}">
              <a16:creationId xmlns:a16="http://schemas.microsoft.com/office/drawing/2014/main" id="{76E834E7-B803-6C47-8816-201D122C2C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4481175" y="4365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17</xdr:col>
      <xdr:colOff>31750</xdr:colOff>
      <xdr:row>4</xdr:row>
      <xdr:rowOff>31750</xdr:rowOff>
    </xdr:from>
    <xdr:to>
      <xdr:col>17</xdr:col>
      <xdr:colOff>805750</xdr:colOff>
      <xdr:row>4</xdr:row>
      <xdr:rowOff>805750</xdr:rowOff>
    </xdr:to>
    <xdr:pic>
      <xdr:nvPicPr>
        <xdr:cNvPr id="45" name="Picture 44" descr="12,12,12,12,">
          <a:extLst>
            <a:ext uri="{FF2B5EF4-FFF2-40B4-BE49-F238E27FC236}">
              <a16:creationId xmlns:a16="http://schemas.microsoft.com/office/drawing/2014/main" id="{7F6CDA97-9C5F-6E43-8257-2C9B46785F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14497050" y="34861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17</xdr:col>
      <xdr:colOff>31750</xdr:colOff>
      <xdr:row>3</xdr:row>
      <xdr:rowOff>15875</xdr:rowOff>
    </xdr:from>
    <xdr:to>
      <xdr:col>17</xdr:col>
      <xdr:colOff>805750</xdr:colOff>
      <xdr:row>3</xdr:row>
      <xdr:rowOff>789875</xdr:rowOff>
    </xdr:to>
    <xdr:pic>
      <xdr:nvPicPr>
        <xdr:cNvPr id="46" name="Picture 45" descr=" 8, 8,12,12,&#10;">
          <a:extLst>
            <a:ext uri="{FF2B5EF4-FFF2-40B4-BE49-F238E27FC236}">
              <a16:creationId xmlns:a16="http://schemas.microsoft.com/office/drawing/2014/main" id="{D4885C2E-1EEE-1F4E-A16A-6521BE513A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4497050" y="26066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16</xdr:col>
      <xdr:colOff>34925</xdr:colOff>
      <xdr:row>3</xdr:row>
      <xdr:rowOff>34925</xdr:rowOff>
    </xdr:from>
    <xdr:to>
      <xdr:col>16</xdr:col>
      <xdr:colOff>808925</xdr:colOff>
      <xdr:row>3</xdr:row>
      <xdr:rowOff>808925</xdr:rowOff>
    </xdr:to>
    <xdr:pic>
      <xdr:nvPicPr>
        <xdr:cNvPr id="47" name="Picture 46" descr=" 1, 1, 2, 2,&#10;">
          <a:extLst>
            <a:ext uri="{FF2B5EF4-FFF2-40B4-BE49-F238E27FC236}">
              <a16:creationId xmlns:a16="http://schemas.microsoft.com/office/drawing/2014/main" id="{4F2584ED-9251-3E4F-94C8-40325A6022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649325" y="26257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31750</xdr:colOff>
      <xdr:row>3</xdr:row>
      <xdr:rowOff>31750</xdr:rowOff>
    </xdr:from>
    <xdr:to>
      <xdr:col>15</xdr:col>
      <xdr:colOff>805750</xdr:colOff>
      <xdr:row>3</xdr:row>
      <xdr:rowOff>805750</xdr:rowOff>
    </xdr:to>
    <xdr:pic>
      <xdr:nvPicPr>
        <xdr:cNvPr id="48" name="Picture 47" descr=" 1, 1, 2, 2,&#10;">
          <a:extLst>
            <a:ext uri="{FF2B5EF4-FFF2-40B4-BE49-F238E27FC236}">
              <a16:creationId xmlns:a16="http://schemas.microsoft.com/office/drawing/2014/main" id="{8D9521E6-F105-194A-881F-F1DFB9B526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795250" y="26225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25400</xdr:colOff>
      <xdr:row>3</xdr:row>
      <xdr:rowOff>41275</xdr:rowOff>
    </xdr:from>
    <xdr:to>
      <xdr:col>14</xdr:col>
      <xdr:colOff>799400</xdr:colOff>
      <xdr:row>3</xdr:row>
      <xdr:rowOff>815275</xdr:rowOff>
    </xdr:to>
    <xdr:pic>
      <xdr:nvPicPr>
        <xdr:cNvPr id="49" name="Picture 48" descr=" 1, 1, 2, 2,&#10;">
          <a:extLst>
            <a:ext uri="{FF2B5EF4-FFF2-40B4-BE49-F238E27FC236}">
              <a16:creationId xmlns:a16="http://schemas.microsoft.com/office/drawing/2014/main" id="{E2699EA8-9D6D-7E47-801A-E1C399DC55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938000" y="26320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18</xdr:col>
      <xdr:colOff>31750</xdr:colOff>
      <xdr:row>3</xdr:row>
      <xdr:rowOff>31750</xdr:rowOff>
    </xdr:from>
    <xdr:to>
      <xdr:col>18</xdr:col>
      <xdr:colOff>805750</xdr:colOff>
      <xdr:row>3</xdr:row>
      <xdr:rowOff>805750</xdr:rowOff>
    </xdr:to>
    <xdr:pic>
      <xdr:nvPicPr>
        <xdr:cNvPr id="50" name="Picture 49" descr=" 1, 1, 2, 2,&#10;">
          <a:extLst>
            <a:ext uri="{FF2B5EF4-FFF2-40B4-BE49-F238E27FC236}">
              <a16:creationId xmlns:a16="http://schemas.microsoft.com/office/drawing/2014/main" id="{1DA4EC29-3B70-E444-AAD4-B8F4C21E1F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347950" y="26225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17</xdr:col>
      <xdr:colOff>25400</xdr:colOff>
      <xdr:row>6</xdr:row>
      <xdr:rowOff>41275</xdr:rowOff>
    </xdr:from>
    <xdr:to>
      <xdr:col>17</xdr:col>
      <xdr:colOff>799400</xdr:colOff>
      <xdr:row>6</xdr:row>
      <xdr:rowOff>815275</xdr:rowOff>
    </xdr:to>
    <xdr:pic>
      <xdr:nvPicPr>
        <xdr:cNvPr id="51" name="Picture 50" descr=" 1, 1, 2, 2,&#10;">
          <a:extLst>
            <a:ext uri="{FF2B5EF4-FFF2-40B4-BE49-F238E27FC236}">
              <a16:creationId xmlns:a16="http://schemas.microsoft.com/office/drawing/2014/main" id="{389A0AC3-C18C-6446-BAD0-4E98E91D90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490700" y="52228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19</xdr:col>
      <xdr:colOff>34925</xdr:colOff>
      <xdr:row>3</xdr:row>
      <xdr:rowOff>34925</xdr:rowOff>
    </xdr:from>
    <xdr:to>
      <xdr:col>19</xdr:col>
      <xdr:colOff>808925</xdr:colOff>
      <xdr:row>3</xdr:row>
      <xdr:rowOff>808925</xdr:rowOff>
    </xdr:to>
    <xdr:pic>
      <xdr:nvPicPr>
        <xdr:cNvPr id="52" name="Picture 51" descr=" 1, 1, 2, 2,&#10;">
          <a:extLst>
            <a:ext uri="{FF2B5EF4-FFF2-40B4-BE49-F238E27FC236}">
              <a16:creationId xmlns:a16="http://schemas.microsoft.com/office/drawing/2014/main" id="{3C981955-0E48-9046-B815-45DF45ACA7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202025" y="26257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20</xdr:col>
      <xdr:colOff>41275</xdr:colOff>
      <xdr:row>3</xdr:row>
      <xdr:rowOff>41275</xdr:rowOff>
    </xdr:from>
    <xdr:to>
      <xdr:col>20</xdr:col>
      <xdr:colOff>815275</xdr:colOff>
      <xdr:row>3</xdr:row>
      <xdr:rowOff>815275</xdr:rowOff>
    </xdr:to>
    <xdr:pic>
      <xdr:nvPicPr>
        <xdr:cNvPr id="53" name="Picture 52" descr="31,31,31,31,">
          <a:extLst>
            <a:ext uri="{FF2B5EF4-FFF2-40B4-BE49-F238E27FC236}">
              <a16:creationId xmlns:a16="http://schemas.microsoft.com/office/drawing/2014/main" id="{C6E93DFC-5AE5-A640-A065-9280F2F0FB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17059275" y="26320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20</xdr:col>
      <xdr:colOff>34925</xdr:colOff>
      <xdr:row>4</xdr:row>
      <xdr:rowOff>34925</xdr:rowOff>
    </xdr:from>
    <xdr:to>
      <xdr:col>20</xdr:col>
      <xdr:colOff>808925</xdr:colOff>
      <xdr:row>4</xdr:row>
      <xdr:rowOff>808925</xdr:rowOff>
    </xdr:to>
    <xdr:pic>
      <xdr:nvPicPr>
        <xdr:cNvPr id="54" name="Picture 53" descr="31,31,31,31,">
          <a:extLst>
            <a:ext uri="{FF2B5EF4-FFF2-40B4-BE49-F238E27FC236}">
              <a16:creationId xmlns:a16="http://schemas.microsoft.com/office/drawing/2014/main" id="{6AE3C689-48D5-C541-BBB8-42707AD72C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17052925" y="34893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20</xdr:col>
      <xdr:colOff>31750</xdr:colOff>
      <xdr:row>6</xdr:row>
      <xdr:rowOff>31750</xdr:rowOff>
    </xdr:from>
    <xdr:to>
      <xdr:col>20</xdr:col>
      <xdr:colOff>805750</xdr:colOff>
      <xdr:row>6</xdr:row>
      <xdr:rowOff>805750</xdr:rowOff>
    </xdr:to>
    <xdr:pic>
      <xdr:nvPicPr>
        <xdr:cNvPr id="55" name="Picture 54" descr="31,31,32,32,">
          <a:extLst>
            <a:ext uri="{FF2B5EF4-FFF2-40B4-BE49-F238E27FC236}">
              <a16:creationId xmlns:a16="http://schemas.microsoft.com/office/drawing/2014/main" id="{13E7F945-3103-4E41-B990-99A9CB73CA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17049750" y="52133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20</xdr:col>
      <xdr:colOff>31750</xdr:colOff>
      <xdr:row>5</xdr:row>
      <xdr:rowOff>31750</xdr:rowOff>
    </xdr:from>
    <xdr:to>
      <xdr:col>20</xdr:col>
      <xdr:colOff>805750</xdr:colOff>
      <xdr:row>5</xdr:row>
      <xdr:rowOff>805750</xdr:rowOff>
    </xdr:to>
    <xdr:pic>
      <xdr:nvPicPr>
        <xdr:cNvPr id="56" name="Picture 55" descr="31,31,31,31,">
          <a:extLst>
            <a:ext uri="{FF2B5EF4-FFF2-40B4-BE49-F238E27FC236}">
              <a16:creationId xmlns:a16="http://schemas.microsoft.com/office/drawing/2014/main" id="{F863AE89-7D15-B744-9437-502B43A99A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17049750" y="43497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20</xdr:col>
      <xdr:colOff>47625</xdr:colOff>
      <xdr:row>8</xdr:row>
      <xdr:rowOff>31750</xdr:rowOff>
    </xdr:from>
    <xdr:to>
      <xdr:col>20</xdr:col>
      <xdr:colOff>821625</xdr:colOff>
      <xdr:row>8</xdr:row>
      <xdr:rowOff>805750</xdr:rowOff>
    </xdr:to>
    <xdr:pic>
      <xdr:nvPicPr>
        <xdr:cNvPr id="57" name="Picture 56" descr=" 1, 1, 2, 2,&#10;">
          <a:extLst>
            <a:ext uri="{FF2B5EF4-FFF2-40B4-BE49-F238E27FC236}">
              <a16:creationId xmlns:a16="http://schemas.microsoft.com/office/drawing/2014/main" id="{1A83A7B0-0428-5145-AC84-B8854C701B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065625" y="69405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21</xdr:col>
      <xdr:colOff>41275</xdr:colOff>
      <xdr:row>8</xdr:row>
      <xdr:rowOff>25400</xdr:rowOff>
    </xdr:from>
    <xdr:to>
      <xdr:col>21</xdr:col>
      <xdr:colOff>815275</xdr:colOff>
      <xdr:row>8</xdr:row>
      <xdr:rowOff>799400</xdr:rowOff>
    </xdr:to>
    <xdr:pic>
      <xdr:nvPicPr>
        <xdr:cNvPr id="58" name="Picture 57" descr=" 1, 1, 2, 2,&#10;">
          <a:extLst>
            <a:ext uri="{FF2B5EF4-FFF2-40B4-BE49-F238E27FC236}">
              <a16:creationId xmlns:a16="http://schemas.microsoft.com/office/drawing/2014/main" id="{9E2E9213-89A3-BD4D-8DC3-602C17789B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910175" y="6934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20</xdr:col>
      <xdr:colOff>47625</xdr:colOff>
      <xdr:row>1</xdr:row>
      <xdr:rowOff>63500</xdr:rowOff>
    </xdr:from>
    <xdr:to>
      <xdr:col>20</xdr:col>
      <xdr:colOff>821625</xdr:colOff>
      <xdr:row>1</xdr:row>
      <xdr:rowOff>837500</xdr:rowOff>
    </xdr:to>
    <xdr:pic>
      <xdr:nvPicPr>
        <xdr:cNvPr id="59" name="Picture 58" descr=" 1, 1, 2, 2,&#10;">
          <a:extLst>
            <a:ext uri="{FF2B5EF4-FFF2-40B4-BE49-F238E27FC236}">
              <a16:creationId xmlns:a16="http://schemas.microsoft.com/office/drawing/2014/main" id="{B2D8A594-16E2-3743-BF05-CBB630B839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065625" y="9271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41275</xdr:colOff>
      <xdr:row>1</xdr:row>
      <xdr:rowOff>57150</xdr:rowOff>
    </xdr:from>
    <xdr:to>
      <xdr:col>19</xdr:col>
      <xdr:colOff>815275</xdr:colOff>
      <xdr:row>1</xdr:row>
      <xdr:rowOff>831150</xdr:rowOff>
    </xdr:to>
    <xdr:pic>
      <xdr:nvPicPr>
        <xdr:cNvPr id="60" name="Picture 59" descr=" 1, 1, 2, 2,&#10;">
          <a:extLst>
            <a:ext uri="{FF2B5EF4-FFF2-40B4-BE49-F238E27FC236}">
              <a16:creationId xmlns:a16="http://schemas.microsoft.com/office/drawing/2014/main" id="{CACC0EDF-67BB-174B-A80A-5A3F675DEC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208375" y="9207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18</xdr:col>
      <xdr:colOff>41275</xdr:colOff>
      <xdr:row>1</xdr:row>
      <xdr:rowOff>57150</xdr:rowOff>
    </xdr:from>
    <xdr:to>
      <xdr:col>18</xdr:col>
      <xdr:colOff>815275</xdr:colOff>
      <xdr:row>1</xdr:row>
      <xdr:rowOff>831150</xdr:rowOff>
    </xdr:to>
    <xdr:pic>
      <xdr:nvPicPr>
        <xdr:cNvPr id="61" name="Picture 60" descr=" 1, 1, 2, 2,&#10;">
          <a:extLst>
            <a:ext uri="{FF2B5EF4-FFF2-40B4-BE49-F238E27FC236}">
              <a16:creationId xmlns:a16="http://schemas.microsoft.com/office/drawing/2014/main" id="{5795AC39-37F3-4B4D-9E12-CA56542F25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357475" y="9207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17</xdr:col>
      <xdr:colOff>34925</xdr:colOff>
      <xdr:row>1</xdr:row>
      <xdr:rowOff>50800</xdr:rowOff>
    </xdr:from>
    <xdr:to>
      <xdr:col>17</xdr:col>
      <xdr:colOff>808925</xdr:colOff>
      <xdr:row>1</xdr:row>
      <xdr:rowOff>824800</xdr:rowOff>
    </xdr:to>
    <xdr:pic>
      <xdr:nvPicPr>
        <xdr:cNvPr id="62" name="Picture 61" descr=" 1, 1, 2, 2,&#10;">
          <a:extLst>
            <a:ext uri="{FF2B5EF4-FFF2-40B4-BE49-F238E27FC236}">
              <a16:creationId xmlns:a16="http://schemas.microsoft.com/office/drawing/2014/main" id="{EE6D751F-1E94-454D-949C-249653EF75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500225" y="914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22</xdr:col>
      <xdr:colOff>50800</xdr:colOff>
      <xdr:row>1</xdr:row>
      <xdr:rowOff>66675</xdr:rowOff>
    </xdr:from>
    <xdr:to>
      <xdr:col>22</xdr:col>
      <xdr:colOff>824800</xdr:colOff>
      <xdr:row>1</xdr:row>
      <xdr:rowOff>840675</xdr:rowOff>
    </xdr:to>
    <xdr:pic>
      <xdr:nvPicPr>
        <xdr:cNvPr id="63" name="Picture 62" descr=" 1, 1, 2, 2,&#10;">
          <a:extLst>
            <a:ext uri="{FF2B5EF4-FFF2-40B4-BE49-F238E27FC236}">
              <a16:creationId xmlns:a16="http://schemas.microsoft.com/office/drawing/2014/main" id="{E7967071-FC17-AF42-BC70-6D58C16A94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770600" y="9302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21</xdr:col>
      <xdr:colOff>44450</xdr:colOff>
      <xdr:row>1</xdr:row>
      <xdr:rowOff>60325</xdr:rowOff>
    </xdr:from>
    <xdr:to>
      <xdr:col>21</xdr:col>
      <xdr:colOff>818450</xdr:colOff>
      <xdr:row>1</xdr:row>
      <xdr:rowOff>834325</xdr:rowOff>
    </xdr:to>
    <xdr:pic>
      <xdr:nvPicPr>
        <xdr:cNvPr id="64" name="Picture 63" descr=" 1, 1, 2, 2,&#10;">
          <a:extLst>
            <a:ext uri="{FF2B5EF4-FFF2-40B4-BE49-F238E27FC236}">
              <a16:creationId xmlns:a16="http://schemas.microsoft.com/office/drawing/2014/main" id="{08193DE3-0FAA-4D48-8D22-106244710C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913350" y="9239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24</xdr:col>
      <xdr:colOff>44450</xdr:colOff>
      <xdr:row>1</xdr:row>
      <xdr:rowOff>60325</xdr:rowOff>
    </xdr:from>
    <xdr:to>
      <xdr:col>24</xdr:col>
      <xdr:colOff>818450</xdr:colOff>
      <xdr:row>1</xdr:row>
      <xdr:rowOff>834325</xdr:rowOff>
    </xdr:to>
    <xdr:pic>
      <xdr:nvPicPr>
        <xdr:cNvPr id="65" name="Picture 64" descr=" 1, 1, 2, 2,&#10;">
          <a:extLst>
            <a:ext uri="{FF2B5EF4-FFF2-40B4-BE49-F238E27FC236}">
              <a16:creationId xmlns:a16="http://schemas.microsoft.com/office/drawing/2014/main" id="{B724C53F-2AAC-D645-82EE-A5E5D1C5BE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466050" y="9239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23</xdr:col>
      <xdr:colOff>38100</xdr:colOff>
      <xdr:row>1</xdr:row>
      <xdr:rowOff>53975</xdr:rowOff>
    </xdr:from>
    <xdr:to>
      <xdr:col>23</xdr:col>
      <xdr:colOff>812100</xdr:colOff>
      <xdr:row>1</xdr:row>
      <xdr:rowOff>827975</xdr:rowOff>
    </xdr:to>
    <xdr:pic>
      <xdr:nvPicPr>
        <xdr:cNvPr id="66" name="Picture 65" descr=" 1, 1, 2, 2,&#10;">
          <a:extLst>
            <a:ext uri="{FF2B5EF4-FFF2-40B4-BE49-F238E27FC236}">
              <a16:creationId xmlns:a16="http://schemas.microsoft.com/office/drawing/2014/main" id="{3596A79B-EAE4-2D47-805A-9E68931E70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608800" y="9175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22</xdr:col>
      <xdr:colOff>53975</xdr:colOff>
      <xdr:row>3</xdr:row>
      <xdr:rowOff>38100</xdr:rowOff>
    </xdr:from>
    <xdr:to>
      <xdr:col>22</xdr:col>
      <xdr:colOff>827975</xdr:colOff>
      <xdr:row>3</xdr:row>
      <xdr:rowOff>812100</xdr:rowOff>
    </xdr:to>
    <xdr:pic>
      <xdr:nvPicPr>
        <xdr:cNvPr id="67" name="Picture 66" descr=" 1, 1, 2, 2,&#10;">
          <a:extLst>
            <a:ext uri="{FF2B5EF4-FFF2-40B4-BE49-F238E27FC236}">
              <a16:creationId xmlns:a16="http://schemas.microsoft.com/office/drawing/2014/main" id="{0B5405BF-3884-1B46-843C-F87D1E0581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773775" y="26289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22</xdr:col>
      <xdr:colOff>31750</xdr:colOff>
      <xdr:row>5</xdr:row>
      <xdr:rowOff>31750</xdr:rowOff>
    </xdr:from>
    <xdr:to>
      <xdr:col>22</xdr:col>
      <xdr:colOff>805750</xdr:colOff>
      <xdr:row>5</xdr:row>
      <xdr:rowOff>805750</xdr:rowOff>
    </xdr:to>
    <xdr:pic>
      <xdr:nvPicPr>
        <xdr:cNvPr id="68" name="Picture 67" descr=" 1, 1, 2, 2,&#10;">
          <a:extLst>
            <a:ext uri="{FF2B5EF4-FFF2-40B4-BE49-F238E27FC236}">
              <a16:creationId xmlns:a16="http://schemas.microsoft.com/office/drawing/2014/main" id="{A2DAAA0A-005E-1E41-A870-1BFC34E184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751550" y="43497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21</xdr:col>
      <xdr:colOff>25400</xdr:colOff>
      <xdr:row>5</xdr:row>
      <xdr:rowOff>25400</xdr:rowOff>
    </xdr:from>
    <xdr:to>
      <xdr:col>21</xdr:col>
      <xdr:colOff>799400</xdr:colOff>
      <xdr:row>5</xdr:row>
      <xdr:rowOff>799400</xdr:rowOff>
    </xdr:to>
    <xdr:pic>
      <xdr:nvPicPr>
        <xdr:cNvPr id="69" name="Picture 68" descr=" 1, 1, 2, 2,&#10;">
          <a:extLst>
            <a:ext uri="{FF2B5EF4-FFF2-40B4-BE49-F238E27FC236}">
              <a16:creationId xmlns:a16="http://schemas.microsoft.com/office/drawing/2014/main" id="{4DDFA118-A758-6448-ADF8-F0AB162D5C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894300" y="4343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31750</xdr:colOff>
      <xdr:row>2</xdr:row>
      <xdr:rowOff>31750</xdr:rowOff>
    </xdr:from>
    <xdr:to>
      <xdr:col>14</xdr:col>
      <xdr:colOff>805750</xdr:colOff>
      <xdr:row>2</xdr:row>
      <xdr:rowOff>805750</xdr:rowOff>
    </xdr:to>
    <xdr:pic>
      <xdr:nvPicPr>
        <xdr:cNvPr id="70" name="Picture 69" descr=" 1, 1, 2, 2,&#10;">
          <a:extLst>
            <a:ext uri="{FF2B5EF4-FFF2-40B4-BE49-F238E27FC236}">
              <a16:creationId xmlns:a16="http://schemas.microsoft.com/office/drawing/2014/main" id="{EC356AD5-354E-154A-867B-30997D66AF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944350" y="17589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41275</xdr:colOff>
      <xdr:row>1</xdr:row>
      <xdr:rowOff>41275</xdr:rowOff>
    </xdr:from>
    <xdr:to>
      <xdr:col>14</xdr:col>
      <xdr:colOff>815275</xdr:colOff>
      <xdr:row>1</xdr:row>
      <xdr:rowOff>815275</xdr:rowOff>
    </xdr:to>
    <xdr:pic>
      <xdr:nvPicPr>
        <xdr:cNvPr id="71" name="Picture 70" descr=" 1, 1, 2, 2,">
          <a:extLst>
            <a:ext uri="{FF2B5EF4-FFF2-40B4-BE49-F238E27FC236}">
              <a16:creationId xmlns:a16="http://schemas.microsoft.com/office/drawing/2014/main" id="{BF7CBD14-E832-2C49-89BE-A6551A87A8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953875" y="9048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23</xdr:col>
      <xdr:colOff>31750</xdr:colOff>
      <xdr:row>5</xdr:row>
      <xdr:rowOff>31750</xdr:rowOff>
    </xdr:from>
    <xdr:to>
      <xdr:col>23</xdr:col>
      <xdr:colOff>805750</xdr:colOff>
      <xdr:row>5</xdr:row>
      <xdr:rowOff>805750</xdr:rowOff>
    </xdr:to>
    <xdr:pic>
      <xdr:nvPicPr>
        <xdr:cNvPr id="72" name="Picture 71" descr=" 1,19, 2, 2,">
          <a:extLst>
            <a:ext uri="{FF2B5EF4-FFF2-40B4-BE49-F238E27FC236}">
              <a16:creationId xmlns:a16="http://schemas.microsoft.com/office/drawing/2014/main" id="{79618275-0234-D64D-844C-B4B007A086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19602450" y="43497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23</xdr:col>
      <xdr:colOff>47625</xdr:colOff>
      <xdr:row>6</xdr:row>
      <xdr:rowOff>31750</xdr:rowOff>
    </xdr:from>
    <xdr:to>
      <xdr:col>23</xdr:col>
      <xdr:colOff>821625</xdr:colOff>
      <xdr:row>6</xdr:row>
      <xdr:rowOff>805750</xdr:rowOff>
    </xdr:to>
    <xdr:pic>
      <xdr:nvPicPr>
        <xdr:cNvPr id="73" name="Picture 72" descr=" 1, 1, 2, 2,&#10;">
          <a:extLst>
            <a:ext uri="{FF2B5EF4-FFF2-40B4-BE49-F238E27FC236}">
              <a16:creationId xmlns:a16="http://schemas.microsoft.com/office/drawing/2014/main" id="{3003437D-5CF2-BD4D-AC62-C368446643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618325" y="52133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13</xdr:col>
      <xdr:colOff>73025</xdr:colOff>
      <xdr:row>11</xdr:row>
      <xdr:rowOff>73025</xdr:rowOff>
    </xdr:from>
    <xdr:to>
      <xdr:col>14</xdr:col>
      <xdr:colOff>359</xdr:colOff>
      <xdr:row>11</xdr:row>
      <xdr:rowOff>847025</xdr:rowOff>
    </xdr:to>
    <xdr:pic>
      <xdr:nvPicPr>
        <xdr:cNvPr id="74" name="Picture 73" descr=" 0, 0,38,38,">
          <a:extLst>
            <a:ext uri="{FF2B5EF4-FFF2-40B4-BE49-F238E27FC236}">
              <a16:creationId xmlns:a16="http://schemas.microsoft.com/office/drawing/2014/main" id="{6D188A05-19B2-3440-A60B-57BF4A98026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6"/>
        <a:srcRect r="87800" b="51200"/>
        <a:stretch/>
      </xdr:blipFill>
      <xdr:spPr>
        <a:xfrm>
          <a:off x="11134725" y="9572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57150</xdr:colOff>
      <xdr:row>8</xdr:row>
      <xdr:rowOff>41275</xdr:rowOff>
    </xdr:from>
    <xdr:to>
      <xdr:col>15</xdr:col>
      <xdr:colOff>831150</xdr:colOff>
      <xdr:row>8</xdr:row>
      <xdr:rowOff>815275</xdr:rowOff>
    </xdr:to>
    <xdr:pic>
      <xdr:nvPicPr>
        <xdr:cNvPr id="75" name="Picture 74" descr=" 0, 0,39,39,">
          <a:extLst>
            <a:ext uri="{FF2B5EF4-FFF2-40B4-BE49-F238E27FC236}">
              <a16:creationId xmlns:a16="http://schemas.microsoft.com/office/drawing/2014/main" id="{D3845385-6FD5-804B-86F0-31B5A426B3E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3"/>
        <a:srcRect l="25494" t="50593" r="62450"/>
        <a:stretch/>
      </xdr:blipFill>
      <xdr:spPr>
        <a:xfrm>
          <a:off x="12820650" y="69500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16</xdr:col>
      <xdr:colOff>25400</xdr:colOff>
      <xdr:row>8</xdr:row>
      <xdr:rowOff>41275</xdr:rowOff>
    </xdr:from>
    <xdr:to>
      <xdr:col>16</xdr:col>
      <xdr:colOff>799400</xdr:colOff>
      <xdr:row>8</xdr:row>
      <xdr:rowOff>815275</xdr:rowOff>
    </xdr:to>
    <xdr:pic>
      <xdr:nvPicPr>
        <xdr:cNvPr id="76" name="Picture 75" descr=" 0, 0,38,38,">
          <a:extLst>
            <a:ext uri="{FF2B5EF4-FFF2-40B4-BE49-F238E27FC236}">
              <a16:creationId xmlns:a16="http://schemas.microsoft.com/office/drawing/2014/main" id="{95276C7F-B75D-3046-A6A1-9DA26969231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6"/>
        <a:srcRect r="87800" b="51200"/>
        <a:stretch/>
      </xdr:blipFill>
      <xdr:spPr>
        <a:xfrm>
          <a:off x="13639800" y="69500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17</xdr:col>
      <xdr:colOff>41275</xdr:colOff>
      <xdr:row>8</xdr:row>
      <xdr:rowOff>57150</xdr:rowOff>
    </xdr:from>
    <xdr:to>
      <xdr:col>17</xdr:col>
      <xdr:colOff>815275</xdr:colOff>
      <xdr:row>8</xdr:row>
      <xdr:rowOff>831150</xdr:rowOff>
    </xdr:to>
    <xdr:pic>
      <xdr:nvPicPr>
        <xdr:cNvPr id="77" name="Picture 76" descr=" 0, 0,40,40,">
          <a:extLst>
            <a:ext uri="{FF2B5EF4-FFF2-40B4-BE49-F238E27FC236}">
              <a16:creationId xmlns:a16="http://schemas.microsoft.com/office/drawing/2014/main" id="{0B159E5B-24F8-254B-AF93-BB9C45DC946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4"/>
        <a:srcRect r="88235" b="52157"/>
        <a:stretch/>
      </xdr:blipFill>
      <xdr:spPr>
        <a:xfrm>
          <a:off x="14506575" y="69659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19</xdr:col>
      <xdr:colOff>31750</xdr:colOff>
      <xdr:row>8</xdr:row>
      <xdr:rowOff>47625</xdr:rowOff>
    </xdr:from>
    <xdr:to>
      <xdr:col>19</xdr:col>
      <xdr:colOff>805750</xdr:colOff>
      <xdr:row>8</xdr:row>
      <xdr:rowOff>821625</xdr:rowOff>
    </xdr:to>
    <xdr:pic>
      <xdr:nvPicPr>
        <xdr:cNvPr id="78" name="Picture 77" descr=" 1, 1, 2, 2,&#10;">
          <a:extLst>
            <a:ext uri="{FF2B5EF4-FFF2-40B4-BE49-F238E27FC236}">
              <a16:creationId xmlns:a16="http://schemas.microsoft.com/office/drawing/2014/main" id="{DB8FCB1A-0370-DA49-889F-0ACDAB6C39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198850" y="69564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20</xdr:col>
      <xdr:colOff>47625</xdr:colOff>
      <xdr:row>2</xdr:row>
      <xdr:rowOff>31750</xdr:rowOff>
    </xdr:from>
    <xdr:to>
      <xdr:col>20</xdr:col>
      <xdr:colOff>821625</xdr:colOff>
      <xdr:row>2</xdr:row>
      <xdr:rowOff>805750</xdr:rowOff>
    </xdr:to>
    <xdr:pic>
      <xdr:nvPicPr>
        <xdr:cNvPr id="79" name="Picture 78" descr="33,33,31,31,">
          <a:extLst>
            <a:ext uri="{FF2B5EF4-FFF2-40B4-BE49-F238E27FC236}">
              <a16:creationId xmlns:a16="http://schemas.microsoft.com/office/drawing/2014/main" id="{446211DE-AD0F-A54C-8A80-BC47A1FD18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17065625" y="17589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12</xdr:col>
      <xdr:colOff>31750</xdr:colOff>
      <xdr:row>8</xdr:row>
      <xdr:rowOff>47625</xdr:rowOff>
    </xdr:from>
    <xdr:to>
      <xdr:col>12</xdr:col>
      <xdr:colOff>805750</xdr:colOff>
      <xdr:row>8</xdr:row>
      <xdr:rowOff>821625</xdr:rowOff>
    </xdr:to>
    <xdr:pic>
      <xdr:nvPicPr>
        <xdr:cNvPr id="80" name="Picture 79" descr=" 1, 1, 2, 2,&#10;">
          <a:extLst>
            <a:ext uri="{FF2B5EF4-FFF2-40B4-BE49-F238E27FC236}">
              <a16:creationId xmlns:a16="http://schemas.microsoft.com/office/drawing/2014/main" id="{BCA93854-05D5-654D-925D-180223BA81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242550" y="69564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25</xdr:col>
      <xdr:colOff>57150</xdr:colOff>
      <xdr:row>5</xdr:row>
      <xdr:rowOff>25400</xdr:rowOff>
    </xdr:from>
    <xdr:to>
      <xdr:col>25</xdr:col>
      <xdr:colOff>831150</xdr:colOff>
      <xdr:row>5</xdr:row>
      <xdr:rowOff>799400</xdr:rowOff>
    </xdr:to>
    <xdr:pic>
      <xdr:nvPicPr>
        <xdr:cNvPr id="81" name="Picture 80" descr="21, 1, 2, 2,">
          <a:extLst>
            <a:ext uri="{FF2B5EF4-FFF2-40B4-BE49-F238E27FC236}">
              <a16:creationId xmlns:a16="http://schemas.microsoft.com/office/drawing/2014/main" id="{7AA2D294-8CAD-6B4A-9BE8-921F843257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21329650" y="4343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26</xdr:col>
      <xdr:colOff>63500</xdr:colOff>
      <xdr:row>5</xdr:row>
      <xdr:rowOff>31750</xdr:rowOff>
    </xdr:from>
    <xdr:to>
      <xdr:col>26</xdr:col>
      <xdr:colOff>837500</xdr:colOff>
      <xdr:row>5</xdr:row>
      <xdr:rowOff>805750</xdr:rowOff>
    </xdr:to>
    <xdr:pic>
      <xdr:nvPicPr>
        <xdr:cNvPr id="82" name="Picture 81" descr=" 1, 1, 2, 2,&#10;">
          <a:extLst>
            <a:ext uri="{FF2B5EF4-FFF2-40B4-BE49-F238E27FC236}">
              <a16:creationId xmlns:a16="http://schemas.microsoft.com/office/drawing/2014/main" id="{7EDE8291-6DF4-E44C-9268-49C42C0642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186900" y="43497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22</xdr:col>
      <xdr:colOff>31750</xdr:colOff>
      <xdr:row>8</xdr:row>
      <xdr:rowOff>31750</xdr:rowOff>
    </xdr:from>
    <xdr:to>
      <xdr:col>22</xdr:col>
      <xdr:colOff>805750</xdr:colOff>
      <xdr:row>8</xdr:row>
      <xdr:rowOff>805750</xdr:rowOff>
    </xdr:to>
    <xdr:pic>
      <xdr:nvPicPr>
        <xdr:cNvPr id="83" name="Picture 82" descr=" 1, 1, 2, 2,&#10;">
          <a:extLst>
            <a:ext uri="{FF2B5EF4-FFF2-40B4-BE49-F238E27FC236}">
              <a16:creationId xmlns:a16="http://schemas.microsoft.com/office/drawing/2014/main" id="{7990CE28-BDF1-3E4A-A295-AB69A29ED3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751550" y="69405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23</xdr:col>
      <xdr:colOff>57150</xdr:colOff>
      <xdr:row>7</xdr:row>
      <xdr:rowOff>41275</xdr:rowOff>
    </xdr:from>
    <xdr:to>
      <xdr:col>23</xdr:col>
      <xdr:colOff>831150</xdr:colOff>
      <xdr:row>7</xdr:row>
      <xdr:rowOff>815275</xdr:rowOff>
    </xdr:to>
    <xdr:pic>
      <xdr:nvPicPr>
        <xdr:cNvPr id="84" name="Picture 83" descr=" 1, 1, 2, 2,&#10;">
          <a:extLst>
            <a:ext uri="{FF2B5EF4-FFF2-40B4-BE49-F238E27FC236}">
              <a16:creationId xmlns:a16="http://schemas.microsoft.com/office/drawing/2014/main" id="{37DE1E76-1CDE-B149-AE22-EAB41A9707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627850" y="60864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23</xdr:col>
      <xdr:colOff>50800</xdr:colOff>
      <xdr:row>8</xdr:row>
      <xdr:rowOff>19050</xdr:rowOff>
    </xdr:from>
    <xdr:to>
      <xdr:col>23</xdr:col>
      <xdr:colOff>824800</xdr:colOff>
      <xdr:row>8</xdr:row>
      <xdr:rowOff>793050</xdr:rowOff>
    </xdr:to>
    <xdr:pic>
      <xdr:nvPicPr>
        <xdr:cNvPr id="85" name="Picture 84" descr=" 1, 1, 2, 2,&#10;">
          <a:extLst>
            <a:ext uri="{FF2B5EF4-FFF2-40B4-BE49-F238E27FC236}">
              <a16:creationId xmlns:a16="http://schemas.microsoft.com/office/drawing/2014/main" id="{F01EDD0A-7772-E449-B81C-58B423FE6E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621500" y="69278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24</xdr:col>
      <xdr:colOff>44450</xdr:colOff>
      <xdr:row>8</xdr:row>
      <xdr:rowOff>12700</xdr:rowOff>
    </xdr:from>
    <xdr:to>
      <xdr:col>24</xdr:col>
      <xdr:colOff>818450</xdr:colOff>
      <xdr:row>8</xdr:row>
      <xdr:rowOff>786700</xdr:rowOff>
    </xdr:to>
    <xdr:pic>
      <xdr:nvPicPr>
        <xdr:cNvPr id="86" name="Picture 85" descr=" 1, 1, 2, 2,&#10;">
          <a:extLst>
            <a:ext uri="{FF2B5EF4-FFF2-40B4-BE49-F238E27FC236}">
              <a16:creationId xmlns:a16="http://schemas.microsoft.com/office/drawing/2014/main" id="{07FB4184-D175-6844-82F9-A8740E0EFC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466050" y="69215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24</xdr:col>
      <xdr:colOff>53975</xdr:colOff>
      <xdr:row>7</xdr:row>
      <xdr:rowOff>38100</xdr:rowOff>
    </xdr:from>
    <xdr:to>
      <xdr:col>24</xdr:col>
      <xdr:colOff>827975</xdr:colOff>
      <xdr:row>7</xdr:row>
      <xdr:rowOff>812100</xdr:rowOff>
    </xdr:to>
    <xdr:pic>
      <xdr:nvPicPr>
        <xdr:cNvPr id="87" name="Picture 86" descr=" 1, 1, 2, 2,&#10;">
          <a:extLst>
            <a:ext uri="{FF2B5EF4-FFF2-40B4-BE49-F238E27FC236}">
              <a16:creationId xmlns:a16="http://schemas.microsoft.com/office/drawing/2014/main" id="{1A10C5D5-134C-6443-9E92-EC9AE74A26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475575" y="60833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25</xdr:col>
      <xdr:colOff>31750</xdr:colOff>
      <xdr:row>7</xdr:row>
      <xdr:rowOff>47625</xdr:rowOff>
    </xdr:from>
    <xdr:to>
      <xdr:col>25</xdr:col>
      <xdr:colOff>805750</xdr:colOff>
      <xdr:row>7</xdr:row>
      <xdr:rowOff>821625</xdr:rowOff>
    </xdr:to>
    <xdr:pic>
      <xdr:nvPicPr>
        <xdr:cNvPr id="88" name="Picture 87" descr=" 9,10, 2, 1,&#10;">
          <a:extLst>
            <a:ext uri="{FF2B5EF4-FFF2-40B4-BE49-F238E27FC236}">
              <a16:creationId xmlns:a16="http://schemas.microsoft.com/office/drawing/2014/main" id="{19F1A326-F2E7-3446-BADF-A592E7C31C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21304250" y="60928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26</xdr:col>
      <xdr:colOff>47625</xdr:colOff>
      <xdr:row>8</xdr:row>
      <xdr:rowOff>47625</xdr:rowOff>
    </xdr:from>
    <xdr:to>
      <xdr:col>26</xdr:col>
      <xdr:colOff>821625</xdr:colOff>
      <xdr:row>8</xdr:row>
      <xdr:rowOff>821625</xdr:rowOff>
    </xdr:to>
    <xdr:pic>
      <xdr:nvPicPr>
        <xdr:cNvPr id="89" name="Picture 88" descr=" 1, 1, 2, 2,&#10;">
          <a:extLst>
            <a:ext uri="{FF2B5EF4-FFF2-40B4-BE49-F238E27FC236}">
              <a16:creationId xmlns:a16="http://schemas.microsoft.com/office/drawing/2014/main" id="{7DA45EA1-FA98-814B-97F6-313B05EACE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171025" y="69564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25</xdr:col>
      <xdr:colOff>41275</xdr:colOff>
      <xdr:row>8</xdr:row>
      <xdr:rowOff>41275</xdr:rowOff>
    </xdr:from>
    <xdr:to>
      <xdr:col>25</xdr:col>
      <xdr:colOff>815275</xdr:colOff>
      <xdr:row>8</xdr:row>
      <xdr:rowOff>815275</xdr:rowOff>
    </xdr:to>
    <xdr:pic>
      <xdr:nvPicPr>
        <xdr:cNvPr id="90" name="Picture 89" descr=" 1, 1, 2, 2,&#10;">
          <a:extLst>
            <a:ext uri="{FF2B5EF4-FFF2-40B4-BE49-F238E27FC236}">
              <a16:creationId xmlns:a16="http://schemas.microsoft.com/office/drawing/2014/main" id="{34E0C434-B30C-934D-A24A-6ECC0C619A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313775" y="69500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27</xdr:col>
      <xdr:colOff>19050</xdr:colOff>
      <xdr:row>8</xdr:row>
      <xdr:rowOff>50800</xdr:rowOff>
    </xdr:from>
    <xdr:to>
      <xdr:col>27</xdr:col>
      <xdr:colOff>793050</xdr:colOff>
      <xdr:row>8</xdr:row>
      <xdr:rowOff>824800</xdr:rowOff>
    </xdr:to>
    <xdr:pic>
      <xdr:nvPicPr>
        <xdr:cNvPr id="91" name="Picture 90" descr=" 1, 1, 2, 2,&#10;">
          <a:extLst>
            <a:ext uri="{FF2B5EF4-FFF2-40B4-BE49-F238E27FC236}">
              <a16:creationId xmlns:a16="http://schemas.microsoft.com/office/drawing/2014/main" id="{660DE353-6508-EC44-9C73-A5E184CA7F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993350" y="69596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28</xdr:col>
      <xdr:colOff>60325</xdr:colOff>
      <xdr:row>8</xdr:row>
      <xdr:rowOff>28575</xdr:rowOff>
    </xdr:from>
    <xdr:to>
      <xdr:col>28</xdr:col>
      <xdr:colOff>834325</xdr:colOff>
      <xdr:row>8</xdr:row>
      <xdr:rowOff>802575</xdr:rowOff>
    </xdr:to>
    <xdr:pic>
      <xdr:nvPicPr>
        <xdr:cNvPr id="92" name="Picture 91" descr=" 1, 1, 2, 2,&#10;">
          <a:extLst>
            <a:ext uri="{FF2B5EF4-FFF2-40B4-BE49-F238E27FC236}">
              <a16:creationId xmlns:a16="http://schemas.microsoft.com/office/drawing/2014/main" id="{845EB2EB-518E-974D-994E-B4AF115C1B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885525" y="69373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28</xdr:col>
      <xdr:colOff>53975</xdr:colOff>
      <xdr:row>7</xdr:row>
      <xdr:rowOff>38100</xdr:rowOff>
    </xdr:from>
    <xdr:to>
      <xdr:col>28</xdr:col>
      <xdr:colOff>827975</xdr:colOff>
      <xdr:row>7</xdr:row>
      <xdr:rowOff>812100</xdr:rowOff>
    </xdr:to>
    <xdr:pic>
      <xdr:nvPicPr>
        <xdr:cNvPr id="93" name="Picture 92" descr=" 1, 1, 2, 2,&#10;">
          <a:extLst>
            <a:ext uri="{FF2B5EF4-FFF2-40B4-BE49-F238E27FC236}">
              <a16:creationId xmlns:a16="http://schemas.microsoft.com/office/drawing/2014/main" id="{4676488A-A410-514C-944F-E20DB2D068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879175" y="60833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28</xdr:col>
      <xdr:colOff>63500</xdr:colOff>
      <xdr:row>6</xdr:row>
      <xdr:rowOff>63500</xdr:rowOff>
    </xdr:from>
    <xdr:to>
      <xdr:col>28</xdr:col>
      <xdr:colOff>837500</xdr:colOff>
      <xdr:row>6</xdr:row>
      <xdr:rowOff>837500</xdr:rowOff>
    </xdr:to>
    <xdr:pic>
      <xdr:nvPicPr>
        <xdr:cNvPr id="94" name="Picture 93" descr=" 1, 1, 2, 2,&#10;">
          <a:extLst>
            <a:ext uri="{FF2B5EF4-FFF2-40B4-BE49-F238E27FC236}">
              <a16:creationId xmlns:a16="http://schemas.microsoft.com/office/drawing/2014/main" id="{6F3E0509-6DC6-CF4A-BA6D-EC5D5FB8F0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888700" y="52451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28</xdr:col>
      <xdr:colOff>57150</xdr:colOff>
      <xdr:row>5</xdr:row>
      <xdr:rowOff>73025</xdr:rowOff>
    </xdr:from>
    <xdr:to>
      <xdr:col>28</xdr:col>
      <xdr:colOff>831150</xdr:colOff>
      <xdr:row>5</xdr:row>
      <xdr:rowOff>847025</xdr:rowOff>
    </xdr:to>
    <xdr:pic>
      <xdr:nvPicPr>
        <xdr:cNvPr id="95" name="Picture 94" descr=" 1, 1, 2, 2,&#10;">
          <a:extLst>
            <a:ext uri="{FF2B5EF4-FFF2-40B4-BE49-F238E27FC236}">
              <a16:creationId xmlns:a16="http://schemas.microsoft.com/office/drawing/2014/main" id="{82ECFA64-C2E9-0C49-9A7D-2548142FA6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882350" y="43910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28</xdr:col>
      <xdr:colOff>66675</xdr:colOff>
      <xdr:row>4</xdr:row>
      <xdr:rowOff>50800</xdr:rowOff>
    </xdr:from>
    <xdr:to>
      <xdr:col>28</xdr:col>
      <xdr:colOff>840675</xdr:colOff>
      <xdr:row>4</xdr:row>
      <xdr:rowOff>824800</xdr:rowOff>
    </xdr:to>
    <xdr:pic>
      <xdr:nvPicPr>
        <xdr:cNvPr id="96" name="Picture 95" descr=" 1, 1, 2, 2,&#10;">
          <a:extLst>
            <a:ext uri="{FF2B5EF4-FFF2-40B4-BE49-F238E27FC236}">
              <a16:creationId xmlns:a16="http://schemas.microsoft.com/office/drawing/2014/main" id="{C9423B5E-EF65-944A-9E0F-E313867653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891875" y="3505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27</xdr:col>
      <xdr:colOff>44450</xdr:colOff>
      <xdr:row>5</xdr:row>
      <xdr:rowOff>44450</xdr:rowOff>
    </xdr:from>
    <xdr:to>
      <xdr:col>27</xdr:col>
      <xdr:colOff>818450</xdr:colOff>
      <xdr:row>5</xdr:row>
      <xdr:rowOff>818450</xdr:rowOff>
    </xdr:to>
    <xdr:pic>
      <xdr:nvPicPr>
        <xdr:cNvPr id="97" name="Picture 96" descr=" 1, 1, 2, 2,&#10;">
          <a:extLst>
            <a:ext uri="{FF2B5EF4-FFF2-40B4-BE49-F238E27FC236}">
              <a16:creationId xmlns:a16="http://schemas.microsoft.com/office/drawing/2014/main" id="{1FAB9546-3138-4E44-A8FF-38558AAE19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018750" y="43624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16</xdr:col>
      <xdr:colOff>25400</xdr:colOff>
      <xdr:row>6</xdr:row>
      <xdr:rowOff>25400</xdr:rowOff>
    </xdr:from>
    <xdr:to>
      <xdr:col>16</xdr:col>
      <xdr:colOff>799400</xdr:colOff>
      <xdr:row>6</xdr:row>
      <xdr:rowOff>799400</xdr:rowOff>
    </xdr:to>
    <xdr:pic>
      <xdr:nvPicPr>
        <xdr:cNvPr id="98" name="Picture 97" descr=" 1, 1, 2, 2,&#10;">
          <a:extLst>
            <a:ext uri="{FF2B5EF4-FFF2-40B4-BE49-F238E27FC236}">
              <a16:creationId xmlns:a16="http://schemas.microsoft.com/office/drawing/2014/main" id="{27D8C0D3-657D-DA44-93EF-238BCFEA94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639800" y="5207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18</xdr:col>
      <xdr:colOff>19050</xdr:colOff>
      <xdr:row>8</xdr:row>
      <xdr:rowOff>50800</xdr:rowOff>
    </xdr:from>
    <xdr:to>
      <xdr:col>18</xdr:col>
      <xdr:colOff>793050</xdr:colOff>
      <xdr:row>8</xdr:row>
      <xdr:rowOff>824800</xdr:rowOff>
    </xdr:to>
    <xdr:pic>
      <xdr:nvPicPr>
        <xdr:cNvPr id="99" name="Picture 98" descr=" 1, 1, 2, 2,&#10;">
          <a:extLst>
            <a:ext uri="{FF2B5EF4-FFF2-40B4-BE49-F238E27FC236}">
              <a16:creationId xmlns:a16="http://schemas.microsoft.com/office/drawing/2014/main" id="{0EFF37FE-BF9F-0340-BFBC-766FD2179A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335250" y="69596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18</xdr:col>
      <xdr:colOff>44450</xdr:colOff>
      <xdr:row>7</xdr:row>
      <xdr:rowOff>44450</xdr:rowOff>
    </xdr:from>
    <xdr:to>
      <xdr:col>18</xdr:col>
      <xdr:colOff>818450</xdr:colOff>
      <xdr:row>7</xdr:row>
      <xdr:rowOff>818450</xdr:rowOff>
    </xdr:to>
    <xdr:pic>
      <xdr:nvPicPr>
        <xdr:cNvPr id="100" name="Picture 99" descr=" 1, 1, 2, 2,&#10;">
          <a:extLst>
            <a:ext uri="{FF2B5EF4-FFF2-40B4-BE49-F238E27FC236}">
              <a16:creationId xmlns:a16="http://schemas.microsoft.com/office/drawing/2014/main" id="{29A75A6A-F908-7F44-869E-4C94C64CE9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360650" y="60896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19</xdr:col>
      <xdr:colOff>57150</xdr:colOff>
      <xdr:row>7</xdr:row>
      <xdr:rowOff>57150</xdr:rowOff>
    </xdr:from>
    <xdr:to>
      <xdr:col>19</xdr:col>
      <xdr:colOff>831150</xdr:colOff>
      <xdr:row>7</xdr:row>
      <xdr:rowOff>831150</xdr:rowOff>
    </xdr:to>
    <xdr:pic>
      <xdr:nvPicPr>
        <xdr:cNvPr id="101" name="Picture 100" descr=" 9,10, 2, 1,&#10;">
          <a:extLst>
            <a:ext uri="{FF2B5EF4-FFF2-40B4-BE49-F238E27FC236}">
              <a16:creationId xmlns:a16="http://schemas.microsoft.com/office/drawing/2014/main" id="{E28DC060-8BFD-CB41-9519-78EBD4DC46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16224250" y="61023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18</xdr:col>
      <xdr:colOff>34925</xdr:colOff>
      <xdr:row>6</xdr:row>
      <xdr:rowOff>50800</xdr:rowOff>
    </xdr:from>
    <xdr:to>
      <xdr:col>18</xdr:col>
      <xdr:colOff>808925</xdr:colOff>
      <xdr:row>6</xdr:row>
      <xdr:rowOff>824800</xdr:rowOff>
    </xdr:to>
    <xdr:pic>
      <xdr:nvPicPr>
        <xdr:cNvPr id="102" name="Picture 101" descr=" 9,10, 2, 1,&#10;">
          <a:extLst>
            <a:ext uri="{FF2B5EF4-FFF2-40B4-BE49-F238E27FC236}">
              <a16:creationId xmlns:a16="http://schemas.microsoft.com/office/drawing/2014/main" id="{573C3A36-5C35-0645-BFCE-C0FE2E7402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15351125" y="5232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21</xdr:col>
      <xdr:colOff>25400</xdr:colOff>
      <xdr:row>3</xdr:row>
      <xdr:rowOff>41275</xdr:rowOff>
    </xdr:from>
    <xdr:to>
      <xdr:col>21</xdr:col>
      <xdr:colOff>799400</xdr:colOff>
      <xdr:row>3</xdr:row>
      <xdr:rowOff>815275</xdr:rowOff>
    </xdr:to>
    <xdr:pic>
      <xdr:nvPicPr>
        <xdr:cNvPr id="103" name="Picture 102" descr=" 1, 1, 2, 2,&#10;">
          <a:extLst>
            <a:ext uri="{FF2B5EF4-FFF2-40B4-BE49-F238E27FC236}">
              <a16:creationId xmlns:a16="http://schemas.microsoft.com/office/drawing/2014/main" id="{4A019561-D5D9-914D-9D9C-A421CDA40B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894300" y="26320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12</xdr:row>
      <xdr:rowOff>47625</xdr:rowOff>
    </xdr:from>
    <xdr:to>
      <xdr:col>0</xdr:col>
      <xdr:colOff>841375</xdr:colOff>
      <xdr:row>12</xdr:row>
      <xdr:rowOff>833438</xdr:rowOff>
    </xdr:to>
    <xdr:pic>
      <xdr:nvPicPr>
        <xdr:cNvPr id="104" name="Picture 103">
          <a:extLst>
            <a:ext uri="{FF2B5EF4-FFF2-40B4-BE49-F238E27FC236}">
              <a16:creationId xmlns:a16="http://schemas.microsoft.com/office/drawing/2014/main" id="{991ECF10-A81A-864F-BF1F-EF583AD8391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7"/>
        <a:srcRect r="87342"/>
        <a:stretch/>
      </xdr:blipFill>
      <xdr:spPr>
        <a:xfrm>
          <a:off x="47625" y="10410825"/>
          <a:ext cx="793750" cy="785813"/>
        </a:xfrm>
        <a:prstGeom prst="rect">
          <a:avLst/>
        </a:prstGeom>
      </xdr:spPr>
    </xdr:pic>
    <xdr:clientData/>
  </xdr:twoCellAnchor>
  <xdr:twoCellAnchor editAs="oneCell">
    <xdr:from>
      <xdr:col>1</xdr:col>
      <xdr:colOff>47625</xdr:colOff>
      <xdr:row>12</xdr:row>
      <xdr:rowOff>47624</xdr:rowOff>
    </xdr:from>
    <xdr:to>
      <xdr:col>1</xdr:col>
      <xdr:colOff>825500</xdr:colOff>
      <xdr:row>12</xdr:row>
      <xdr:rowOff>825500</xdr:rowOff>
    </xdr:to>
    <xdr:pic>
      <xdr:nvPicPr>
        <xdr:cNvPr id="105" name="Picture 104">
          <a:extLst>
            <a:ext uri="{FF2B5EF4-FFF2-40B4-BE49-F238E27FC236}">
              <a16:creationId xmlns:a16="http://schemas.microsoft.com/office/drawing/2014/main" id="{ADAAA622-A7D6-AE48-A4A1-E9188BF9D02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8"/>
        <a:srcRect r="87500"/>
        <a:stretch/>
      </xdr:blipFill>
      <xdr:spPr>
        <a:xfrm>
          <a:off x="898525" y="10410824"/>
          <a:ext cx="777875" cy="777876"/>
        </a:xfrm>
        <a:prstGeom prst="rect">
          <a:avLst/>
        </a:prstGeom>
      </xdr:spPr>
    </xdr:pic>
    <xdr:clientData/>
  </xdr:twoCellAnchor>
  <xdr:twoCellAnchor editAs="oneCell">
    <xdr:from>
      <xdr:col>2</xdr:col>
      <xdr:colOff>23091</xdr:colOff>
      <xdr:row>12</xdr:row>
      <xdr:rowOff>34638</xdr:rowOff>
    </xdr:from>
    <xdr:to>
      <xdr:col>2</xdr:col>
      <xdr:colOff>842818</xdr:colOff>
      <xdr:row>12</xdr:row>
      <xdr:rowOff>831273</xdr:rowOff>
    </xdr:to>
    <xdr:pic>
      <xdr:nvPicPr>
        <xdr:cNvPr id="106" name="Picture 105">
          <a:extLst>
            <a:ext uri="{FF2B5EF4-FFF2-40B4-BE49-F238E27FC236}">
              <a16:creationId xmlns:a16="http://schemas.microsoft.com/office/drawing/2014/main" id="{BE0E313B-3E5E-6942-9246-61BB0C8B67D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9"/>
        <a:srcRect l="26621" r="49147" b="52901"/>
        <a:stretch/>
      </xdr:blipFill>
      <xdr:spPr>
        <a:xfrm>
          <a:off x="1724891" y="10397838"/>
          <a:ext cx="819727" cy="796635"/>
        </a:xfrm>
        <a:prstGeom prst="rect">
          <a:avLst/>
        </a:prstGeom>
      </xdr:spPr>
    </xdr:pic>
    <xdr:clientData/>
  </xdr:twoCellAnchor>
  <xdr:twoCellAnchor editAs="oneCell">
    <xdr:from>
      <xdr:col>3</xdr:col>
      <xdr:colOff>34636</xdr:colOff>
      <xdr:row>12</xdr:row>
      <xdr:rowOff>34636</xdr:rowOff>
    </xdr:from>
    <xdr:to>
      <xdr:col>3</xdr:col>
      <xdr:colOff>842821</xdr:colOff>
      <xdr:row>12</xdr:row>
      <xdr:rowOff>842819</xdr:rowOff>
    </xdr:to>
    <xdr:pic>
      <xdr:nvPicPr>
        <xdr:cNvPr id="107" name="Picture 106">
          <a:extLst>
            <a:ext uri="{FF2B5EF4-FFF2-40B4-BE49-F238E27FC236}">
              <a16:creationId xmlns:a16="http://schemas.microsoft.com/office/drawing/2014/main" id="{F4FC8032-D21E-994E-993C-4F9896A5FAC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0"/>
        <a:srcRect l="66667"/>
        <a:stretch/>
      </xdr:blipFill>
      <xdr:spPr>
        <a:xfrm>
          <a:off x="2587336" y="10397836"/>
          <a:ext cx="808185" cy="808183"/>
        </a:xfrm>
        <a:prstGeom prst="rect">
          <a:avLst/>
        </a:prstGeom>
      </xdr:spPr>
    </xdr:pic>
    <xdr:clientData/>
  </xdr:twoCellAnchor>
  <xdr:twoCellAnchor editAs="oneCell">
    <xdr:from>
      <xdr:col>4</xdr:col>
      <xdr:colOff>46182</xdr:colOff>
      <xdr:row>12</xdr:row>
      <xdr:rowOff>34636</xdr:rowOff>
    </xdr:from>
    <xdr:to>
      <xdr:col>5</xdr:col>
      <xdr:colOff>0</xdr:colOff>
      <xdr:row>12</xdr:row>
      <xdr:rowOff>842818</xdr:rowOff>
    </xdr:to>
    <xdr:pic>
      <xdr:nvPicPr>
        <xdr:cNvPr id="108" name="Picture 107">
          <a:extLst>
            <a:ext uri="{FF2B5EF4-FFF2-40B4-BE49-F238E27FC236}">
              <a16:creationId xmlns:a16="http://schemas.microsoft.com/office/drawing/2014/main" id="{DF6D8C0E-E5F2-4146-B467-7337C4C06D6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1"/>
        <a:srcRect r="87500"/>
        <a:stretch/>
      </xdr:blipFill>
      <xdr:spPr>
        <a:xfrm>
          <a:off x="3449782" y="10397836"/>
          <a:ext cx="804718" cy="808182"/>
        </a:xfrm>
        <a:prstGeom prst="rect">
          <a:avLst/>
        </a:prstGeom>
      </xdr:spPr>
    </xdr:pic>
    <xdr:clientData/>
  </xdr:twoCellAnchor>
  <xdr:twoCellAnchor editAs="oneCell">
    <xdr:from>
      <xdr:col>5</xdr:col>
      <xdr:colOff>34636</xdr:colOff>
      <xdr:row>12</xdr:row>
      <xdr:rowOff>34635</xdr:rowOff>
    </xdr:from>
    <xdr:to>
      <xdr:col>5</xdr:col>
      <xdr:colOff>819727</xdr:colOff>
      <xdr:row>12</xdr:row>
      <xdr:rowOff>842818</xdr:rowOff>
    </xdr:to>
    <xdr:pic>
      <xdr:nvPicPr>
        <xdr:cNvPr id="109" name="Picture 108">
          <a:extLst>
            <a:ext uri="{FF2B5EF4-FFF2-40B4-BE49-F238E27FC236}">
              <a16:creationId xmlns:a16="http://schemas.microsoft.com/office/drawing/2014/main" id="{D70F60BE-C8D0-7742-A907-EECBBE64164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2"/>
        <a:srcRect r="87857"/>
        <a:stretch/>
      </xdr:blipFill>
      <xdr:spPr>
        <a:xfrm>
          <a:off x="4289136" y="10397835"/>
          <a:ext cx="785091" cy="808183"/>
        </a:xfrm>
        <a:prstGeom prst="rect">
          <a:avLst/>
        </a:prstGeom>
      </xdr:spPr>
    </xdr:pic>
    <xdr:clientData/>
  </xdr:twoCellAnchor>
  <xdr:twoCellAnchor editAs="oneCell">
    <xdr:from>
      <xdr:col>6</xdr:col>
      <xdr:colOff>34636</xdr:colOff>
      <xdr:row>12</xdr:row>
      <xdr:rowOff>34635</xdr:rowOff>
    </xdr:from>
    <xdr:to>
      <xdr:col>7</xdr:col>
      <xdr:colOff>3300</xdr:colOff>
      <xdr:row>12</xdr:row>
      <xdr:rowOff>842818</xdr:rowOff>
    </xdr:to>
    <xdr:pic>
      <xdr:nvPicPr>
        <xdr:cNvPr id="110" name="Picture 109">
          <a:extLst>
            <a:ext uri="{FF2B5EF4-FFF2-40B4-BE49-F238E27FC236}">
              <a16:creationId xmlns:a16="http://schemas.microsoft.com/office/drawing/2014/main" id="{9AFA8037-CF8C-5E42-BE52-4CBF39925AC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3"/>
        <a:srcRect r="87324"/>
        <a:stretch/>
      </xdr:blipFill>
      <xdr:spPr>
        <a:xfrm>
          <a:off x="5140036" y="10397835"/>
          <a:ext cx="819564" cy="808183"/>
        </a:xfrm>
        <a:prstGeom prst="rect">
          <a:avLst/>
        </a:prstGeom>
      </xdr:spPr>
    </xdr:pic>
    <xdr:clientData/>
  </xdr:twoCellAnchor>
  <xdr:twoCellAnchor editAs="oneCell">
    <xdr:from>
      <xdr:col>7</xdr:col>
      <xdr:colOff>34637</xdr:colOff>
      <xdr:row>12</xdr:row>
      <xdr:rowOff>23090</xdr:rowOff>
    </xdr:from>
    <xdr:to>
      <xdr:col>7</xdr:col>
      <xdr:colOff>819728</xdr:colOff>
      <xdr:row>12</xdr:row>
      <xdr:rowOff>842817</xdr:rowOff>
    </xdr:to>
    <xdr:pic>
      <xdr:nvPicPr>
        <xdr:cNvPr id="111" name="Picture 110">
          <a:extLst>
            <a:ext uri="{FF2B5EF4-FFF2-40B4-BE49-F238E27FC236}">
              <a16:creationId xmlns:a16="http://schemas.microsoft.com/office/drawing/2014/main" id="{FA4E0C0C-C3B6-F94B-BA7A-F373E43CA1F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4"/>
        <a:srcRect r="88028"/>
        <a:stretch/>
      </xdr:blipFill>
      <xdr:spPr>
        <a:xfrm>
          <a:off x="5990937" y="10386290"/>
          <a:ext cx="785091" cy="819727"/>
        </a:xfrm>
        <a:prstGeom prst="rect">
          <a:avLst/>
        </a:prstGeom>
      </xdr:spPr>
    </xdr:pic>
    <xdr:clientData/>
  </xdr:twoCellAnchor>
  <xdr:twoCellAnchor editAs="oneCell">
    <xdr:from>
      <xdr:col>8</xdr:col>
      <xdr:colOff>34637</xdr:colOff>
      <xdr:row>12</xdr:row>
      <xdr:rowOff>34636</xdr:rowOff>
    </xdr:from>
    <xdr:to>
      <xdr:col>9</xdr:col>
      <xdr:colOff>0</xdr:colOff>
      <xdr:row>12</xdr:row>
      <xdr:rowOff>840509</xdr:rowOff>
    </xdr:to>
    <xdr:pic>
      <xdr:nvPicPr>
        <xdr:cNvPr id="112" name="Picture 111">
          <a:extLst>
            <a:ext uri="{FF2B5EF4-FFF2-40B4-BE49-F238E27FC236}">
              <a16:creationId xmlns:a16="http://schemas.microsoft.com/office/drawing/2014/main" id="{A286CB05-563D-C545-9D53-7AD124B17A2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5"/>
        <a:srcRect r="79656"/>
        <a:stretch/>
      </xdr:blipFill>
      <xdr:spPr>
        <a:xfrm>
          <a:off x="6841837" y="10397836"/>
          <a:ext cx="816263" cy="805873"/>
        </a:xfrm>
        <a:prstGeom prst="rect">
          <a:avLst/>
        </a:prstGeom>
      </xdr:spPr>
    </xdr:pic>
    <xdr:clientData/>
  </xdr:twoCellAnchor>
  <xdr:twoCellAnchor editAs="oneCell">
    <xdr:from>
      <xdr:col>9</xdr:col>
      <xdr:colOff>46182</xdr:colOff>
      <xdr:row>12</xdr:row>
      <xdr:rowOff>23092</xdr:rowOff>
    </xdr:from>
    <xdr:to>
      <xdr:col>9</xdr:col>
      <xdr:colOff>819727</xdr:colOff>
      <xdr:row>12</xdr:row>
      <xdr:rowOff>841536</xdr:rowOff>
    </xdr:to>
    <xdr:pic>
      <xdr:nvPicPr>
        <xdr:cNvPr id="113" name="Picture 112">
          <a:extLst>
            <a:ext uri="{FF2B5EF4-FFF2-40B4-BE49-F238E27FC236}">
              <a16:creationId xmlns:a16="http://schemas.microsoft.com/office/drawing/2014/main" id="{363E044A-DDE1-D447-A50E-6770F283A61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6"/>
        <a:srcRect r="89498"/>
        <a:stretch/>
      </xdr:blipFill>
      <xdr:spPr>
        <a:xfrm>
          <a:off x="7704282" y="10386292"/>
          <a:ext cx="773545" cy="818444"/>
        </a:xfrm>
        <a:prstGeom prst="rect">
          <a:avLst/>
        </a:prstGeom>
      </xdr:spPr>
    </xdr:pic>
    <xdr:clientData/>
  </xdr:twoCellAnchor>
  <xdr:twoCellAnchor editAs="oneCell">
    <xdr:from>
      <xdr:col>10</xdr:col>
      <xdr:colOff>23091</xdr:colOff>
      <xdr:row>12</xdr:row>
      <xdr:rowOff>34635</xdr:rowOff>
    </xdr:from>
    <xdr:to>
      <xdr:col>10</xdr:col>
      <xdr:colOff>819728</xdr:colOff>
      <xdr:row>12</xdr:row>
      <xdr:rowOff>842818</xdr:rowOff>
    </xdr:to>
    <xdr:pic>
      <xdr:nvPicPr>
        <xdr:cNvPr id="114" name="Picture 113">
          <a:extLst>
            <a:ext uri="{FF2B5EF4-FFF2-40B4-BE49-F238E27FC236}">
              <a16:creationId xmlns:a16="http://schemas.microsoft.com/office/drawing/2014/main" id="{328BCA88-CC16-7F47-A74E-8D5D0E3CCA1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7"/>
        <a:srcRect r="87679"/>
        <a:stretch/>
      </xdr:blipFill>
      <xdr:spPr>
        <a:xfrm>
          <a:off x="8532091" y="10397835"/>
          <a:ext cx="796637" cy="808183"/>
        </a:xfrm>
        <a:prstGeom prst="rect">
          <a:avLst/>
        </a:prstGeom>
      </xdr:spPr>
    </xdr:pic>
    <xdr:clientData/>
  </xdr:twoCellAnchor>
  <xdr:twoCellAnchor editAs="oneCell">
    <xdr:from>
      <xdr:col>11</xdr:col>
      <xdr:colOff>34636</xdr:colOff>
      <xdr:row>12</xdr:row>
      <xdr:rowOff>34635</xdr:rowOff>
    </xdr:from>
    <xdr:to>
      <xdr:col>11</xdr:col>
      <xdr:colOff>819727</xdr:colOff>
      <xdr:row>12</xdr:row>
      <xdr:rowOff>842818</xdr:rowOff>
    </xdr:to>
    <xdr:pic>
      <xdr:nvPicPr>
        <xdr:cNvPr id="115" name="Picture 114">
          <a:extLst>
            <a:ext uri="{FF2B5EF4-FFF2-40B4-BE49-F238E27FC236}">
              <a16:creationId xmlns:a16="http://schemas.microsoft.com/office/drawing/2014/main" id="{BBC94C55-6576-C547-8DFE-27B3BF5AF74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8"/>
        <a:srcRect r="83810"/>
        <a:stretch/>
      </xdr:blipFill>
      <xdr:spPr>
        <a:xfrm>
          <a:off x="9394536" y="10397835"/>
          <a:ext cx="785091" cy="808183"/>
        </a:xfrm>
        <a:prstGeom prst="rect">
          <a:avLst/>
        </a:prstGeom>
      </xdr:spPr>
    </xdr:pic>
    <xdr:clientData/>
  </xdr:twoCellAnchor>
  <xdr:twoCellAnchor editAs="oneCell">
    <xdr:from>
      <xdr:col>22</xdr:col>
      <xdr:colOff>20525</xdr:colOff>
      <xdr:row>11</xdr:row>
      <xdr:rowOff>20525</xdr:rowOff>
    </xdr:from>
    <xdr:to>
      <xdr:col>23</xdr:col>
      <xdr:colOff>776110</xdr:colOff>
      <xdr:row>12</xdr:row>
      <xdr:rowOff>809828</xdr:rowOff>
    </xdr:to>
    <xdr:pic>
      <xdr:nvPicPr>
        <xdr:cNvPr id="116" name="Picture 115">
          <a:extLst>
            <a:ext uri="{FF2B5EF4-FFF2-40B4-BE49-F238E27FC236}">
              <a16:creationId xmlns:a16="http://schemas.microsoft.com/office/drawing/2014/main" id="{F56EBCB6-A1C4-554C-AD8E-433AAB0C0FD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9"/>
        <a:srcRect r="80580"/>
        <a:stretch/>
      </xdr:blipFill>
      <xdr:spPr>
        <a:xfrm>
          <a:off x="18740325" y="9520125"/>
          <a:ext cx="1606485" cy="1652903"/>
        </a:xfrm>
        <a:prstGeom prst="rect">
          <a:avLst/>
        </a:prstGeom>
      </xdr:spPr>
    </xdr:pic>
    <xdr:clientData/>
  </xdr:twoCellAnchor>
  <xdr:twoCellAnchor editAs="oneCell">
    <xdr:from>
      <xdr:col>24</xdr:col>
      <xdr:colOff>37200</xdr:colOff>
      <xdr:row>11</xdr:row>
      <xdr:rowOff>34634</xdr:rowOff>
    </xdr:from>
    <xdr:to>
      <xdr:col>25</xdr:col>
      <xdr:colOff>804333</xdr:colOff>
      <xdr:row>12</xdr:row>
      <xdr:rowOff>834432</xdr:rowOff>
    </xdr:to>
    <xdr:pic>
      <xdr:nvPicPr>
        <xdr:cNvPr id="117" name="Picture 116">
          <a:extLst>
            <a:ext uri="{FF2B5EF4-FFF2-40B4-BE49-F238E27FC236}">
              <a16:creationId xmlns:a16="http://schemas.microsoft.com/office/drawing/2014/main" id="{D2A7FFC9-026B-1E4F-9368-C5BEBF1DBFD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0"/>
        <a:srcRect r="80563"/>
        <a:stretch/>
      </xdr:blipFill>
      <xdr:spPr>
        <a:xfrm>
          <a:off x="20458800" y="9534234"/>
          <a:ext cx="1618033" cy="1663398"/>
        </a:xfrm>
        <a:prstGeom prst="rect">
          <a:avLst/>
        </a:prstGeom>
      </xdr:spPr>
    </xdr:pic>
    <xdr:clientData/>
  </xdr:twoCellAnchor>
  <xdr:twoCellAnchor editAs="oneCell">
    <xdr:from>
      <xdr:col>18</xdr:col>
      <xdr:colOff>51313</xdr:colOff>
      <xdr:row>12</xdr:row>
      <xdr:rowOff>34635</xdr:rowOff>
    </xdr:from>
    <xdr:to>
      <xdr:col>20</xdr:col>
      <xdr:colOff>1283</xdr:colOff>
      <xdr:row>12</xdr:row>
      <xdr:rowOff>842818</xdr:rowOff>
    </xdr:to>
    <xdr:pic>
      <xdr:nvPicPr>
        <xdr:cNvPr id="118" name="Picture 117">
          <a:extLst>
            <a:ext uri="{FF2B5EF4-FFF2-40B4-BE49-F238E27FC236}">
              <a16:creationId xmlns:a16="http://schemas.microsoft.com/office/drawing/2014/main" id="{779B158D-63D8-DF4B-8ECD-85286DE9427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1"/>
        <a:srcRect r="86560" b="47368"/>
        <a:stretch/>
      </xdr:blipFill>
      <xdr:spPr>
        <a:xfrm>
          <a:off x="15367513" y="10397835"/>
          <a:ext cx="1651770" cy="808183"/>
        </a:xfrm>
        <a:prstGeom prst="rect">
          <a:avLst/>
        </a:prstGeom>
      </xdr:spPr>
    </xdr:pic>
    <xdr:clientData/>
  </xdr:twoCellAnchor>
  <xdr:twoCellAnchor editAs="oneCell">
    <xdr:from>
      <xdr:col>12</xdr:col>
      <xdr:colOff>23091</xdr:colOff>
      <xdr:row>12</xdr:row>
      <xdr:rowOff>34636</xdr:rowOff>
    </xdr:from>
    <xdr:to>
      <xdr:col>12</xdr:col>
      <xdr:colOff>819727</xdr:colOff>
      <xdr:row>12</xdr:row>
      <xdr:rowOff>842818</xdr:rowOff>
    </xdr:to>
    <xdr:pic>
      <xdr:nvPicPr>
        <xdr:cNvPr id="119" name="Picture 118">
          <a:extLst>
            <a:ext uri="{FF2B5EF4-FFF2-40B4-BE49-F238E27FC236}">
              <a16:creationId xmlns:a16="http://schemas.microsoft.com/office/drawing/2014/main" id="{AE47386F-F505-C343-841B-D6737FC83D1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2"/>
        <a:srcRect r="87679"/>
        <a:stretch/>
      </xdr:blipFill>
      <xdr:spPr>
        <a:xfrm>
          <a:off x="10233891" y="10397836"/>
          <a:ext cx="796636" cy="808182"/>
        </a:xfrm>
        <a:prstGeom prst="rect">
          <a:avLst/>
        </a:prstGeom>
      </xdr:spPr>
    </xdr:pic>
    <xdr:clientData/>
  </xdr:twoCellAnchor>
  <xdr:twoCellAnchor editAs="oneCell">
    <xdr:from>
      <xdr:col>13</xdr:col>
      <xdr:colOff>23090</xdr:colOff>
      <xdr:row>12</xdr:row>
      <xdr:rowOff>34636</xdr:rowOff>
    </xdr:from>
    <xdr:to>
      <xdr:col>13</xdr:col>
      <xdr:colOff>831273</xdr:colOff>
      <xdr:row>12</xdr:row>
      <xdr:rowOff>831274</xdr:rowOff>
    </xdr:to>
    <xdr:pic>
      <xdr:nvPicPr>
        <xdr:cNvPr id="120" name="Picture 119">
          <a:extLst>
            <a:ext uri="{FF2B5EF4-FFF2-40B4-BE49-F238E27FC236}">
              <a16:creationId xmlns:a16="http://schemas.microsoft.com/office/drawing/2014/main" id="{2EC6295D-F0B0-954E-9474-895AD580064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3"/>
        <a:srcRect r="73585" b="82641"/>
        <a:stretch/>
      </xdr:blipFill>
      <xdr:spPr>
        <a:xfrm>
          <a:off x="11084790" y="10397836"/>
          <a:ext cx="808183" cy="796638"/>
        </a:xfrm>
        <a:prstGeom prst="rect">
          <a:avLst/>
        </a:prstGeom>
      </xdr:spPr>
    </xdr:pic>
    <xdr:clientData/>
  </xdr:twoCellAnchor>
  <xdr:twoCellAnchor editAs="oneCell">
    <xdr:from>
      <xdr:col>14</xdr:col>
      <xdr:colOff>34636</xdr:colOff>
      <xdr:row>12</xdr:row>
      <xdr:rowOff>34636</xdr:rowOff>
    </xdr:from>
    <xdr:to>
      <xdr:col>14</xdr:col>
      <xdr:colOff>831273</xdr:colOff>
      <xdr:row>12</xdr:row>
      <xdr:rowOff>831274</xdr:rowOff>
    </xdr:to>
    <xdr:pic>
      <xdr:nvPicPr>
        <xdr:cNvPr id="121" name="Picture 120">
          <a:extLst>
            <a:ext uri="{FF2B5EF4-FFF2-40B4-BE49-F238E27FC236}">
              <a16:creationId xmlns:a16="http://schemas.microsoft.com/office/drawing/2014/main" id="{D6EAA5FD-CEF1-1142-B77A-58F5F8FE1D6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4"/>
        <a:srcRect r="87127" b="48507"/>
        <a:stretch/>
      </xdr:blipFill>
      <xdr:spPr>
        <a:xfrm>
          <a:off x="11947236" y="10397836"/>
          <a:ext cx="796637" cy="796638"/>
        </a:xfrm>
        <a:prstGeom prst="rect">
          <a:avLst/>
        </a:prstGeom>
      </xdr:spPr>
    </xdr:pic>
    <xdr:clientData/>
  </xdr:twoCellAnchor>
  <xdr:twoCellAnchor editAs="oneCell">
    <xdr:from>
      <xdr:col>17</xdr:col>
      <xdr:colOff>23092</xdr:colOff>
      <xdr:row>12</xdr:row>
      <xdr:rowOff>23091</xdr:rowOff>
    </xdr:from>
    <xdr:to>
      <xdr:col>17</xdr:col>
      <xdr:colOff>831273</xdr:colOff>
      <xdr:row>12</xdr:row>
      <xdr:rowOff>846667</xdr:rowOff>
    </xdr:to>
    <xdr:pic>
      <xdr:nvPicPr>
        <xdr:cNvPr id="122" name="Picture 121">
          <a:extLst>
            <a:ext uri="{FF2B5EF4-FFF2-40B4-BE49-F238E27FC236}">
              <a16:creationId xmlns:a16="http://schemas.microsoft.com/office/drawing/2014/main" id="{9A869600-A081-EE46-ACD9-9C95544B349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5"/>
        <a:srcRect r="91822"/>
        <a:stretch/>
      </xdr:blipFill>
      <xdr:spPr>
        <a:xfrm>
          <a:off x="14488392" y="10386291"/>
          <a:ext cx="808181" cy="823576"/>
        </a:xfrm>
        <a:prstGeom prst="rect">
          <a:avLst/>
        </a:prstGeom>
      </xdr:spPr>
    </xdr:pic>
    <xdr:clientData/>
  </xdr:twoCellAnchor>
  <xdr:twoCellAnchor editAs="oneCell">
    <xdr:from>
      <xdr:col>15</xdr:col>
      <xdr:colOff>11546</xdr:colOff>
      <xdr:row>12</xdr:row>
      <xdr:rowOff>34637</xdr:rowOff>
    </xdr:from>
    <xdr:to>
      <xdr:col>16</xdr:col>
      <xdr:colOff>1</xdr:colOff>
      <xdr:row>13</xdr:row>
      <xdr:rowOff>0</xdr:rowOff>
    </xdr:to>
    <xdr:pic>
      <xdr:nvPicPr>
        <xdr:cNvPr id="123" name="Picture 122">
          <a:extLst>
            <a:ext uri="{FF2B5EF4-FFF2-40B4-BE49-F238E27FC236}">
              <a16:creationId xmlns:a16="http://schemas.microsoft.com/office/drawing/2014/main" id="{EB0485E4-299C-BA45-8DD9-45E7424D694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6"/>
        <a:srcRect r="89861"/>
        <a:stretch/>
      </xdr:blipFill>
      <xdr:spPr>
        <a:xfrm>
          <a:off x="12775046" y="10397837"/>
          <a:ext cx="839355" cy="828963"/>
        </a:xfrm>
        <a:prstGeom prst="rect">
          <a:avLst/>
        </a:prstGeom>
      </xdr:spPr>
    </xdr:pic>
    <xdr:clientData/>
  </xdr:twoCellAnchor>
  <xdr:twoCellAnchor editAs="oneCell">
    <xdr:from>
      <xdr:col>16</xdr:col>
      <xdr:colOff>23091</xdr:colOff>
      <xdr:row>12</xdr:row>
      <xdr:rowOff>34635</xdr:rowOff>
    </xdr:from>
    <xdr:to>
      <xdr:col>16</xdr:col>
      <xdr:colOff>842818</xdr:colOff>
      <xdr:row>12</xdr:row>
      <xdr:rowOff>854362</xdr:rowOff>
    </xdr:to>
    <xdr:pic>
      <xdr:nvPicPr>
        <xdr:cNvPr id="124" name="Picture 123">
          <a:extLst>
            <a:ext uri="{FF2B5EF4-FFF2-40B4-BE49-F238E27FC236}">
              <a16:creationId xmlns:a16="http://schemas.microsoft.com/office/drawing/2014/main" id="{02AC7535-1AD7-A449-B1ED-A105B0A3D55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6"/>
        <a:srcRect l="70000" r="20000"/>
        <a:stretch/>
      </xdr:blipFill>
      <xdr:spPr>
        <a:xfrm>
          <a:off x="13637491" y="10397835"/>
          <a:ext cx="819727" cy="81972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F3BF69-E915-4A45-BE8F-2F0F2215D190}">
  <sheetPr codeName="Sheet5"/>
  <dimension ref="C1:AE40"/>
  <sheetViews>
    <sheetView zoomScale="63" zoomScaleNormal="63" workbookViewId="0">
      <selection activeCell="F13" sqref="F13"/>
    </sheetView>
  </sheetViews>
  <sheetFormatPr baseColWidth="10" defaultColWidth="11.1640625" defaultRowHeight="39" customHeight="1" x14ac:dyDescent="0.2"/>
  <sheetData>
    <row r="1" spans="3:31" ht="39" customHeight="1" x14ac:dyDescent="0.2">
      <c r="C1" s="15"/>
      <c r="E1" s="11"/>
      <c r="F1" s="11">
        <v>0</v>
      </c>
      <c r="G1" s="11">
        <v>1</v>
      </c>
      <c r="H1" s="11">
        <v>2</v>
      </c>
      <c r="I1" s="11">
        <v>3</v>
      </c>
      <c r="J1" s="11">
        <v>4</v>
      </c>
      <c r="K1" s="11">
        <v>5</v>
      </c>
      <c r="L1" s="11">
        <v>6</v>
      </c>
      <c r="M1" s="11">
        <v>7</v>
      </c>
      <c r="N1" s="11">
        <v>8</v>
      </c>
      <c r="O1" s="11">
        <v>9</v>
      </c>
      <c r="P1" s="11">
        <v>10</v>
      </c>
      <c r="Q1" s="11">
        <v>11</v>
      </c>
      <c r="R1" s="11">
        <v>12</v>
      </c>
      <c r="S1" s="11">
        <v>13</v>
      </c>
      <c r="T1" s="11">
        <v>14</v>
      </c>
      <c r="U1" s="11">
        <v>15</v>
      </c>
      <c r="V1" s="11">
        <v>16</v>
      </c>
      <c r="W1" s="11">
        <v>17</v>
      </c>
      <c r="X1" s="11">
        <v>18</v>
      </c>
      <c r="Y1" s="11">
        <v>19</v>
      </c>
      <c r="Z1" s="11">
        <v>20</v>
      </c>
      <c r="AA1" s="11">
        <v>21</v>
      </c>
      <c r="AB1" s="11">
        <v>22</v>
      </c>
      <c r="AC1" s="11">
        <v>23</v>
      </c>
      <c r="AD1" s="11">
        <v>24</v>
      </c>
      <c r="AE1" s="12"/>
    </row>
    <row r="2" spans="3:31" ht="39" customHeight="1" x14ac:dyDescent="0.2">
      <c r="E2" s="11">
        <v>0</v>
      </c>
      <c r="AE2" s="12"/>
    </row>
    <row r="3" spans="3:31" ht="39" customHeight="1" x14ac:dyDescent="0.2">
      <c r="E3" s="11">
        <v>1</v>
      </c>
      <c r="AE3" s="12"/>
    </row>
    <row r="4" spans="3:31" ht="39" customHeight="1" x14ac:dyDescent="0.2">
      <c r="E4" s="11">
        <v>2</v>
      </c>
      <c r="AE4" s="12"/>
    </row>
    <row r="5" spans="3:31" ht="39" customHeight="1" x14ac:dyDescent="0.2">
      <c r="E5" s="11">
        <v>3</v>
      </c>
      <c r="AE5" s="12"/>
    </row>
    <row r="6" spans="3:31" ht="39" customHeight="1" x14ac:dyDescent="0.2">
      <c r="E6" s="11">
        <v>4</v>
      </c>
      <c r="AE6" s="12"/>
    </row>
    <row r="7" spans="3:31" ht="39" customHeight="1" x14ac:dyDescent="0.2">
      <c r="E7" s="11">
        <v>5</v>
      </c>
      <c r="N7" s="13"/>
      <c r="AE7" s="12"/>
    </row>
    <row r="8" spans="3:31" ht="39" customHeight="1" x14ac:dyDescent="0.2">
      <c r="E8" s="11">
        <v>6</v>
      </c>
      <c r="AE8" s="12"/>
    </row>
    <row r="9" spans="3:31" ht="39" customHeight="1" x14ac:dyDescent="0.2">
      <c r="E9" s="11">
        <v>7</v>
      </c>
      <c r="AE9" s="12"/>
    </row>
    <row r="10" spans="3:31" ht="39" customHeight="1" x14ac:dyDescent="0.2">
      <c r="E10" s="12"/>
      <c r="F10" s="12"/>
      <c r="G10" s="12"/>
      <c r="H10" s="12"/>
      <c r="I10" s="12"/>
      <c r="J10" s="12"/>
      <c r="K10" s="12"/>
      <c r="L10" s="12"/>
      <c r="M10" s="12"/>
      <c r="N10" s="12"/>
      <c r="O10" s="12"/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</row>
    <row r="12" spans="3:31" ht="39" customHeight="1" x14ac:dyDescent="0.2">
      <c r="E12" s="11"/>
      <c r="F12" s="11">
        <v>0</v>
      </c>
      <c r="G12" s="11">
        <v>1</v>
      </c>
      <c r="H12" s="11">
        <v>2</v>
      </c>
      <c r="I12" s="11">
        <v>3</v>
      </c>
      <c r="J12" s="11">
        <v>4</v>
      </c>
      <c r="K12" s="11">
        <v>5</v>
      </c>
      <c r="L12" s="11">
        <v>6</v>
      </c>
      <c r="M12" s="11">
        <v>7</v>
      </c>
      <c r="N12" s="11">
        <v>8</v>
      </c>
      <c r="O12" s="11">
        <v>9</v>
      </c>
      <c r="P12" s="11">
        <v>10</v>
      </c>
      <c r="Q12" s="11">
        <v>11</v>
      </c>
      <c r="R12" s="11">
        <v>12</v>
      </c>
      <c r="S12" s="11">
        <v>13</v>
      </c>
      <c r="T12" s="11">
        <v>14</v>
      </c>
      <c r="U12" s="11">
        <v>15</v>
      </c>
      <c r="V12" s="11">
        <v>16</v>
      </c>
      <c r="W12" s="11">
        <v>17</v>
      </c>
      <c r="X12" s="11">
        <v>18</v>
      </c>
      <c r="Y12" s="11">
        <v>19</v>
      </c>
      <c r="Z12" s="11">
        <v>20</v>
      </c>
      <c r="AA12" s="11">
        <v>21</v>
      </c>
      <c r="AB12" s="11">
        <v>22</v>
      </c>
      <c r="AC12" s="11">
        <v>23</v>
      </c>
      <c r="AD12" s="11">
        <v>24</v>
      </c>
      <c r="AE12" s="12"/>
    </row>
    <row r="13" spans="3:31" ht="39" customHeight="1" x14ac:dyDescent="0.2">
      <c r="E13" s="11">
        <v>0</v>
      </c>
      <c r="F13" s="16" t="s">
        <v>1003</v>
      </c>
      <c r="G13" s="14" t="s">
        <v>1003</v>
      </c>
      <c r="H13" s="14" t="s">
        <v>1003</v>
      </c>
      <c r="I13" s="14" t="s">
        <v>1003</v>
      </c>
      <c r="J13" s="16" t="s">
        <v>1003</v>
      </c>
      <c r="K13" s="16" t="s">
        <v>1003</v>
      </c>
      <c r="L13" s="16" t="s">
        <v>1003</v>
      </c>
      <c r="M13" s="16" t="s">
        <v>1003</v>
      </c>
      <c r="N13" s="16" t="s">
        <v>1003</v>
      </c>
      <c r="O13" s="16" t="s">
        <v>1003</v>
      </c>
      <c r="P13" s="16" t="s">
        <v>1003</v>
      </c>
      <c r="Q13" s="16" t="s">
        <v>1003</v>
      </c>
      <c r="R13" s="16" t="s">
        <v>1003</v>
      </c>
      <c r="S13" s="16" t="s">
        <v>1003</v>
      </c>
      <c r="T13" s="16" t="s">
        <v>1003</v>
      </c>
      <c r="U13" s="16" t="s">
        <v>1003</v>
      </c>
      <c r="V13" s="16" t="s">
        <v>1003</v>
      </c>
      <c r="W13" s="16" t="s">
        <v>1003</v>
      </c>
      <c r="X13" s="16" t="s">
        <v>1003</v>
      </c>
      <c r="Y13" s="16" t="s">
        <v>1003</v>
      </c>
      <c r="Z13" s="14" t="s">
        <v>1003</v>
      </c>
      <c r="AA13" s="14" t="s">
        <v>1003</v>
      </c>
      <c r="AB13" s="14" t="s">
        <v>1003</v>
      </c>
      <c r="AC13" s="14" t="s">
        <v>1003</v>
      </c>
      <c r="AD13" s="14" t="s">
        <v>1003</v>
      </c>
      <c r="AE13" s="12"/>
    </row>
    <row r="14" spans="3:31" ht="39" customHeight="1" x14ac:dyDescent="0.2">
      <c r="E14" s="11">
        <v>1</v>
      </c>
      <c r="F14" s="14" t="s">
        <v>1003</v>
      </c>
      <c r="G14" s="14" t="s">
        <v>1003</v>
      </c>
      <c r="H14" s="14" t="s">
        <v>1003</v>
      </c>
      <c r="I14" s="14" t="s">
        <v>1003</v>
      </c>
      <c r="J14" s="16" t="s">
        <v>1003</v>
      </c>
      <c r="K14" s="16" t="s">
        <v>1003</v>
      </c>
      <c r="L14" s="16" t="s">
        <v>1003</v>
      </c>
      <c r="M14" s="14" t="s">
        <v>1003</v>
      </c>
      <c r="N14" s="14" t="s">
        <v>1003</v>
      </c>
      <c r="O14" s="16" t="s">
        <v>1003</v>
      </c>
      <c r="P14" s="16" t="s">
        <v>1003</v>
      </c>
      <c r="Q14" s="16" t="s">
        <v>1003</v>
      </c>
      <c r="R14" s="16" t="s">
        <v>1003</v>
      </c>
      <c r="S14" s="14" t="s">
        <v>1003</v>
      </c>
      <c r="T14" s="14" t="s">
        <v>1003</v>
      </c>
      <c r="U14" s="14" t="s">
        <v>1003</v>
      </c>
      <c r="V14" s="14" t="s">
        <v>1003</v>
      </c>
      <c r="W14" s="16" t="s">
        <v>1003</v>
      </c>
      <c r="X14" s="16" t="s">
        <v>1003</v>
      </c>
      <c r="Y14" s="16" t="s">
        <v>1003</v>
      </c>
      <c r="Z14" s="14" t="s">
        <v>1003</v>
      </c>
      <c r="AA14" s="14" t="s">
        <v>1003</v>
      </c>
      <c r="AB14" s="14" t="s">
        <v>1003</v>
      </c>
      <c r="AC14" s="14" t="s">
        <v>1003</v>
      </c>
      <c r="AD14" s="14" t="s">
        <v>1003</v>
      </c>
      <c r="AE14" s="12"/>
    </row>
    <row r="15" spans="3:31" ht="39" customHeight="1" x14ac:dyDescent="0.2">
      <c r="E15" s="11">
        <v>2</v>
      </c>
      <c r="F15" s="14" t="s">
        <v>1003</v>
      </c>
      <c r="G15" s="14" t="s">
        <v>1003</v>
      </c>
      <c r="H15" s="14" t="s">
        <v>1003</v>
      </c>
      <c r="I15" s="14" t="s">
        <v>1003</v>
      </c>
      <c r="J15" s="16" t="s">
        <v>1003</v>
      </c>
      <c r="K15" s="16" t="s">
        <v>1003</v>
      </c>
      <c r="L15" s="14" t="s">
        <v>1003</v>
      </c>
      <c r="M15" s="14" t="s">
        <v>1003</v>
      </c>
      <c r="N15" s="14" t="s">
        <v>1003</v>
      </c>
      <c r="O15" s="16" t="s">
        <v>1003</v>
      </c>
      <c r="P15" s="16" t="s">
        <v>1003</v>
      </c>
      <c r="Q15" s="16" t="s">
        <v>1003</v>
      </c>
      <c r="R15" s="16" t="s">
        <v>1003</v>
      </c>
      <c r="S15" s="16" t="s">
        <v>1003</v>
      </c>
      <c r="T15" s="16" t="s">
        <v>1003</v>
      </c>
      <c r="U15" s="16" t="s">
        <v>1003</v>
      </c>
      <c r="V15" s="16" t="s">
        <v>1003</v>
      </c>
      <c r="W15" s="16" t="s">
        <v>1003</v>
      </c>
      <c r="X15" s="14" t="s">
        <v>1003</v>
      </c>
      <c r="Y15" s="16" t="s">
        <v>1003</v>
      </c>
      <c r="Z15" s="16" t="s">
        <v>1003</v>
      </c>
      <c r="AA15" s="14" t="s">
        <v>1003</v>
      </c>
      <c r="AB15" s="14" t="s">
        <v>1003</v>
      </c>
      <c r="AC15" s="14" t="s">
        <v>1003</v>
      </c>
      <c r="AD15" s="14" t="s">
        <v>1003</v>
      </c>
      <c r="AE15" s="12"/>
    </row>
    <row r="16" spans="3:31" ht="39" customHeight="1" x14ac:dyDescent="0.2">
      <c r="E16" s="11">
        <v>3</v>
      </c>
      <c r="F16" s="14" t="s">
        <v>1003</v>
      </c>
      <c r="G16" s="14" t="s">
        <v>1003</v>
      </c>
      <c r="H16" s="14" t="s">
        <v>1003</v>
      </c>
      <c r="I16" s="14" t="s">
        <v>1003</v>
      </c>
      <c r="J16" s="14" t="s">
        <v>1003</v>
      </c>
      <c r="K16" s="14" t="s">
        <v>1003</v>
      </c>
      <c r="L16" s="14" t="s">
        <v>1003</v>
      </c>
      <c r="M16" s="14" t="s">
        <v>1003</v>
      </c>
      <c r="N16" s="14" t="s">
        <v>1003</v>
      </c>
      <c r="O16" s="14" t="s">
        <v>1003</v>
      </c>
      <c r="P16" s="14" t="s">
        <v>1003</v>
      </c>
      <c r="Q16" s="14" t="s">
        <v>1003</v>
      </c>
      <c r="R16" s="14" t="s">
        <v>1003</v>
      </c>
      <c r="S16" s="14" t="s">
        <v>1003</v>
      </c>
      <c r="T16" s="14" t="s">
        <v>1003</v>
      </c>
      <c r="U16" s="14" t="s">
        <v>1003</v>
      </c>
      <c r="V16" s="14" t="s">
        <v>1003</v>
      </c>
      <c r="W16" s="14" t="s">
        <v>1003</v>
      </c>
      <c r="X16" s="14" t="s">
        <v>1003</v>
      </c>
      <c r="Y16" s="16" t="s">
        <v>1003</v>
      </c>
      <c r="Z16" s="14" t="s">
        <v>1003</v>
      </c>
      <c r="AA16" s="14" t="s">
        <v>1003</v>
      </c>
      <c r="AB16" s="14" t="s">
        <v>1003</v>
      </c>
      <c r="AC16" s="16" t="s">
        <v>1003</v>
      </c>
      <c r="AD16" s="14" t="s">
        <v>1003</v>
      </c>
      <c r="AE16" s="12"/>
    </row>
    <row r="17" spans="5:31" ht="39" customHeight="1" x14ac:dyDescent="0.2">
      <c r="E17" s="11">
        <v>4</v>
      </c>
      <c r="F17" s="14" t="s">
        <v>1003</v>
      </c>
      <c r="G17" s="14" t="s">
        <v>1003</v>
      </c>
      <c r="H17" s="14" t="s">
        <v>1003</v>
      </c>
      <c r="I17" s="14" t="s">
        <v>1003</v>
      </c>
      <c r="J17" s="14" t="s">
        <v>1003</v>
      </c>
      <c r="K17" s="14" t="s">
        <v>1003</v>
      </c>
      <c r="L17" s="14" t="s">
        <v>1003</v>
      </c>
      <c r="M17" s="14" t="s">
        <v>1003</v>
      </c>
      <c r="N17" s="14" t="s">
        <v>1003</v>
      </c>
      <c r="O17" s="14" t="s">
        <v>1003</v>
      </c>
      <c r="P17" s="14" t="s">
        <v>1003</v>
      </c>
      <c r="Q17" s="14" t="s">
        <v>1003</v>
      </c>
      <c r="R17" s="14" t="s">
        <v>1003</v>
      </c>
      <c r="S17" s="14" t="s">
        <v>1003</v>
      </c>
      <c r="T17" s="16" t="s">
        <v>1003</v>
      </c>
      <c r="U17" s="16" t="s">
        <v>1003</v>
      </c>
      <c r="V17" s="16" t="s">
        <v>1003</v>
      </c>
      <c r="W17" s="16" t="s">
        <v>1003</v>
      </c>
      <c r="X17" s="14" t="s">
        <v>1003</v>
      </c>
      <c r="Y17" s="16" t="s">
        <v>1003</v>
      </c>
      <c r="Z17" s="14" t="s">
        <v>1003</v>
      </c>
      <c r="AA17" s="16" t="s">
        <v>1003</v>
      </c>
      <c r="AB17" s="16" t="s">
        <v>1003</v>
      </c>
      <c r="AC17" s="16" t="s">
        <v>1003</v>
      </c>
      <c r="AD17" s="14" t="s">
        <v>1003</v>
      </c>
      <c r="AE17" s="12"/>
    </row>
    <row r="18" spans="5:31" ht="39" customHeight="1" x14ac:dyDescent="0.2">
      <c r="E18" s="11">
        <v>5</v>
      </c>
      <c r="F18" s="14" t="s">
        <v>1003</v>
      </c>
      <c r="G18" s="14" t="s">
        <v>1003</v>
      </c>
      <c r="H18" s="14" t="s">
        <v>1003</v>
      </c>
      <c r="I18" s="14" t="s">
        <v>1003</v>
      </c>
      <c r="J18" s="16" t="s">
        <v>1003</v>
      </c>
      <c r="K18" s="16" t="s">
        <v>1003</v>
      </c>
      <c r="L18" s="14" t="s">
        <v>1003</v>
      </c>
      <c r="M18" s="14" t="s">
        <v>1003</v>
      </c>
      <c r="N18" s="16" t="s">
        <v>1003</v>
      </c>
      <c r="O18" s="16" t="s">
        <v>1003</v>
      </c>
      <c r="P18" s="16" t="s">
        <v>1003</v>
      </c>
      <c r="Q18" s="16" t="s">
        <v>1003</v>
      </c>
      <c r="R18" s="16" t="s">
        <v>1003</v>
      </c>
      <c r="S18" s="16" t="s">
        <v>1003</v>
      </c>
      <c r="T18" s="14" t="s">
        <v>1003</v>
      </c>
      <c r="U18" s="14" t="s">
        <v>1003</v>
      </c>
      <c r="V18" s="16" t="s">
        <v>1003</v>
      </c>
      <c r="W18" s="14" t="s">
        <v>1003</v>
      </c>
      <c r="X18" s="16" t="s">
        <v>1003</v>
      </c>
      <c r="Y18" s="14" t="s">
        <v>1003</v>
      </c>
      <c r="Z18" s="14" t="s">
        <v>1003</v>
      </c>
      <c r="AA18" s="14" t="s">
        <v>1003</v>
      </c>
      <c r="AB18" s="14" t="s">
        <v>1003</v>
      </c>
      <c r="AC18" s="16" t="s">
        <v>1003</v>
      </c>
      <c r="AD18" s="14" t="s">
        <v>1003</v>
      </c>
      <c r="AE18" s="12"/>
    </row>
    <row r="19" spans="5:31" ht="39" customHeight="1" x14ac:dyDescent="0.2">
      <c r="E19" s="11">
        <v>6</v>
      </c>
      <c r="F19" s="14" t="s">
        <v>1003</v>
      </c>
      <c r="G19" s="14" t="s">
        <v>1003</v>
      </c>
      <c r="H19" s="16" t="s">
        <v>1003</v>
      </c>
      <c r="I19" s="16" t="s">
        <v>1003</v>
      </c>
      <c r="J19" s="16" t="s">
        <v>1003</v>
      </c>
      <c r="K19" s="16" t="s">
        <v>1003</v>
      </c>
      <c r="L19" s="16" t="s">
        <v>1003</v>
      </c>
      <c r="M19" s="14" t="s">
        <v>1003</v>
      </c>
      <c r="N19" s="14" t="s">
        <v>1003</v>
      </c>
      <c r="O19" s="14" t="s">
        <v>1003</v>
      </c>
      <c r="P19" s="14" t="s">
        <v>1003</v>
      </c>
      <c r="Q19" s="16" t="s">
        <v>1003</v>
      </c>
      <c r="R19" s="16" t="s">
        <v>1003</v>
      </c>
      <c r="S19" s="16" t="s">
        <v>1003</v>
      </c>
      <c r="T19" s="16" t="s">
        <v>1003</v>
      </c>
      <c r="U19" s="14" t="s">
        <v>1003</v>
      </c>
      <c r="V19" s="14" t="s">
        <v>1003</v>
      </c>
      <c r="W19" s="14" t="s">
        <v>1003</v>
      </c>
      <c r="X19" s="16" t="s">
        <v>1003</v>
      </c>
      <c r="Y19" s="16" t="s">
        <v>1003</v>
      </c>
      <c r="Z19" s="16" t="s">
        <v>1003</v>
      </c>
      <c r="AA19" s="14" t="s">
        <v>1003</v>
      </c>
      <c r="AB19" s="14" t="s">
        <v>1003</v>
      </c>
      <c r="AC19" s="16" t="s">
        <v>1003</v>
      </c>
      <c r="AD19" s="14" t="s">
        <v>1003</v>
      </c>
      <c r="AE19" s="12"/>
    </row>
    <row r="20" spans="5:31" ht="39" customHeight="1" x14ac:dyDescent="0.2">
      <c r="E20" s="11">
        <v>7</v>
      </c>
      <c r="F20" s="14" t="s">
        <v>1003</v>
      </c>
      <c r="G20" s="16" t="s">
        <v>1003</v>
      </c>
      <c r="H20" s="16" t="s">
        <v>1003</v>
      </c>
      <c r="I20" s="16" t="s">
        <v>1003</v>
      </c>
      <c r="J20" s="16" t="s">
        <v>1003</v>
      </c>
      <c r="K20" s="16" t="s">
        <v>1071</v>
      </c>
      <c r="L20" s="16" t="s">
        <v>1066</v>
      </c>
      <c r="M20" s="16" t="s">
        <v>1003</v>
      </c>
      <c r="N20" s="16" t="s">
        <v>1003</v>
      </c>
      <c r="O20" s="16" t="s">
        <v>1071</v>
      </c>
      <c r="P20" s="16" t="s">
        <v>1066</v>
      </c>
      <c r="Q20" s="16" t="s">
        <v>1003</v>
      </c>
      <c r="R20" s="16" t="s">
        <v>1003</v>
      </c>
      <c r="S20" s="16" t="s">
        <v>1003</v>
      </c>
      <c r="T20" s="16" t="s">
        <v>1003</v>
      </c>
      <c r="U20" s="16" t="s">
        <v>1003</v>
      </c>
      <c r="V20" s="16" t="s">
        <v>1003</v>
      </c>
      <c r="W20" s="16" t="s">
        <v>1003</v>
      </c>
      <c r="X20" s="16" t="s">
        <v>1003</v>
      </c>
      <c r="Y20" s="16" t="s">
        <v>1003</v>
      </c>
      <c r="Z20" s="16" t="s">
        <v>1003</v>
      </c>
      <c r="AA20" s="16" t="s">
        <v>1003</v>
      </c>
      <c r="AB20" s="16" t="s">
        <v>1003</v>
      </c>
      <c r="AC20" s="16" t="s">
        <v>1003</v>
      </c>
      <c r="AD20" s="14" t="s">
        <v>1003</v>
      </c>
      <c r="AE20" s="12"/>
    </row>
    <row r="21" spans="5:31" ht="39" customHeight="1" x14ac:dyDescent="0.2">
      <c r="E21" s="12"/>
      <c r="F21" s="12"/>
      <c r="G21" s="12"/>
      <c r="H21" s="12"/>
      <c r="I21" s="12"/>
      <c r="J21" s="12"/>
      <c r="K21" s="12"/>
      <c r="L21" s="12"/>
      <c r="M21" s="12"/>
      <c r="N21" s="12"/>
      <c r="O21" s="12"/>
      <c r="P21" s="12"/>
      <c r="Q21" s="12"/>
      <c r="R21" s="12"/>
      <c r="S21" s="12"/>
      <c r="T21" s="12"/>
      <c r="U21" s="12"/>
      <c r="V21" s="12"/>
      <c r="W21" s="12" t="s">
        <v>1049</v>
      </c>
      <c r="X21" s="12"/>
      <c r="Y21" s="12" t="s">
        <v>1050</v>
      </c>
      <c r="Z21" s="12"/>
      <c r="AA21" s="12"/>
      <c r="AB21" s="12"/>
      <c r="AC21" s="12"/>
      <c r="AD21" s="12"/>
      <c r="AE21" s="12"/>
    </row>
    <row r="23" spans="5:31" ht="39" customHeight="1" x14ac:dyDescent="0.2">
      <c r="E23" s="11"/>
      <c r="F23" s="11">
        <v>0</v>
      </c>
      <c r="G23" s="11">
        <v>1</v>
      </c>
      <c r="H23" s="11">
        <v>2</v>
      </c>
      <c r="I23" s="11">
        <v>3</v>
      </c>
      <c r="J23" s="11">
        <v>4</v>
      </c>
      <c r="K23" s="11" t="s">
        <v>1001</v>
      </c>
      <c r="L23" s="11" t="s">
        <v>999</v>
      </c>
      <c r="M23" s="11" t="s">
        <v>1000</v>
      </c>
      <c r="N23" s="11" t="s">
        <v>1006</v>
      </c>
      <c r="O23" s="11" t="s">
        <v>1004</v>
      </c>
      <c r="P23" s="11" t="s">
        <v>1005</v>
      </c>
      <c r="Q23" s="11">
        <v>11</v>
      </c>
      <c r="R23" s="11">
        <v>12</v>
      </c>
      <c r="S23" s="11">
        <v>13</v>
      </c>
      <c r="T23" s="11">
        <v>14</v>
      </c>
      <c r="U23" s="11">
        <v>15</v>
      </c>
      <c r="V23" s="11">
        <v>16</v>
      </c>
      <c r="W23" s="11">
        <v>17</v>
      </c>
      <c r="X23" s="11">
        <v>18</v>
      </c>
      <c r="Y23" s="11">
        <v>19</v>
      </c>
      <c r="Z23" s="11">
        <v>20</v>
      </c>
      <c r="AA23" s="11" t="s">
        <v>1049</v>
      </c>
      <c r="AB23" s="11">
        <v>22</v>
      </c>
      <c r="AC23" s="11" t="s">
        <v>1050</v>
      </c>
      <c r="AD23" s="11">
        <v>24</v>
      </c>
      <c r="AE23" s="12"/>
    </row>
    <row r="24" spans="5:31" ht="39" customHeight="1" x14ac:dyDescent="0.2">
      <c r="E24" s="11">
        <v>0</v>
      </c>
      <c r="F24" t="s">
        <v>1002</v>
      </c>
      <c r="G24" t="s">
        <v>1002</v>
      </c>
      <c r="H24" t="s">
        <v>1002</v>
      </c>
      <c r="I24" t="s">
        <v>1002</v>
      </c>
      <c r="J24" t="s">
        <v>1002</v>
      </c>
      <c r="K24" t="s">
        <v>1002</v>
      </c>
      <c r="L24" t="s">
        <v>1002</v>
      </c>
      <c r="M24" t="s">
        <v>1002</v>
      </c>
      <c r="N24" t="s">
        <v>1002</v>
      </c>
      <c r="O24" t="s">
        <v>1002</v>
      </c>
      <c r="P24" t="s">
        <v>1002</v>
      </c>
      <c r="Q24" t="s">
        <v>1002</v>
      </c>
      <c r="R24" t="s">
        <v>1002</v>
      </c>
      <c r="S24" t="s">
        <v>1002</v>
      </c>
      <c r="T24" t="s">
        <v>1002</v>
      </c>
      <c r="U24" t="s">
        <v>1002</v>
      </c>
      <c r="V24" t="s">
        <v>1002</v>
      </c>
      <c r="W24" t="s">
        <v>1002</v>
      </c>
      <c r="X24" t="s">
        <v>1002</v>
      </c>
      <c r="Y24" t="s">
        <v>1002</v>
      </c>
      <c r="Z24" t="s">
        <v>1002</v>
      </c>
      <c r="AA24" t="s">
        <v>1002</v>
      </c>
      <c r="AB24" t="s">
        <v>1002</v>
      </c>
      <c r="AC24" t="s">
        <v>1002</v>
      </c>
      <c r="AD24" t="s">
        <v>1002</v>
      </c>
      <c r="AE24" s="12"/>
    </row>
    <row r="25" spans="5:31" ht="39" customHeight="1" x14ac:dyDescent="0.2">
      <c r="E25" s="11">
        <v>1</v>
      </c>
      <c r="F25" t="s">
        <v>1002</v>
      </c>
      <c r="G25" t="s">
        <v>1002</v>
      </c>
      <c r="H25" t="s">
        <v>1002</v>
      </c>
      <c r="I25" t="s">
        <v>1002</v>
      </c>
      <c r="J25" t="s">
        <v>1002</v>
      </c>
      <c r="K25" t="s">
        <v>1002</v>
      </c>
      <c r="L25" t="s">
        <v>1002</v>
      </c>
      <c r="M25" t="s">
        <v>1002</v>
      </c>
      <c r="N25" t="s">
        <v>1002</v>
      </c>
      <c r="O25" t="s">
        <v>1002</v>
      </c>
      <c r="P25" t="s">
        <v>1002</v>
      </c>
      <c r="Q25" t="s">
        <v>1002</v>
      </c>
      <c r="R25" t="s">
        <v>1002</v>
      </c>
      <c r="S25" t="s">
        <v>1002</v>
      </c>
      <c r="T25" t="s">
        <v>1002</v>
      </c>
      <c r="U25" t="s">
        <v>1002</v>
      </c>
      <c r="V25" t="s">
        <v>1002</v>
      </c>
      <c r="W25" t="s">
        <v>1002</v>
      </c>
      <c r="X25" t="s">
        <v>1002</v>
      </c>
      <c r="Y25" t="s">
        <v>1002</v>
      </c>
      <c r="Z25" t="s">
        <v>1002</v>
      </c>
      <c r="AA25" t="s">
        <v>1002</v>
      </c>
      <c r="AB25" t="s">
        <v>1002</v>
      </c>
      <c r="AC25" t="s">
        <v>1002</v>
      </c>
      <c r="AD25" t="s">
        <v>1002</v>
      </c>
      <c r="AE25" s="12"/>
    </row>
    <row r="26" spans="5:31" ht="39" customHeight="1" x14ac:dyDescent="0.2">
      <c r="E26" s="11">
        <v>2</v>
      </c>
      <c r="F26" t="s">
        <v>1002</v>
      </c>
      <c r="G26" t="s">
        <v>1002</v>
      </c>
      <c r="H26" t="s">
        <v>1002</v>
      </c>
      <c r="I26" t="s">
        <v>1002</v>
      </c>
      <c r="J26" t="s">
        <v>1002</v>
      </c>
      <c r="K26" t="s">
        <v>1002</v>
      </c>
      <c r="L26" t="s">
        <v>1002</v>
      </c>
      <c r="M26" t="s">
        <v>1002</v>
      </c>
      <c r="N26" t="s">
        <v>1002</v>
      </c>
      <c r="O26" t="s">
        <v>1002</v>
      </c>
      <c r="P26" t="s">
        <v>1002</v>
      </c>
      <c r="Q26" t="s">
        <v>1002</v>
      </c>
      <c r="R26" t="s">
        <v>1002</v>
      </c>
      <c r="S26" t="s">
        <v>1002</v>
      </c>
      <c r="T26" t="s">
        <v>1002</v>
      </c>
      <c r="U26" t="s">
        <v>1002</v>
      </c>
      <c r="V26" t="s">
        <v>1002</v>
      </c>
      <c r="W26" t="s">
        <v>1002</v>
      </c>
      <c r="X26" t="s">
        <v>1002</v>
      </c>
      <c r="Y26" t="s">
        <v>1002</v>
      </c>
      <c r="Z26" t="s">
        <v>1002</v>
      </c>
      <c r="AA26" t="s">
        <v>1002</v>
      </c>
      <c r="AB26" t="s">
        <v>1002</v>
      </c>
      <c r="AC26" t="s">
        <v>1002</v>
      </c>
      <c r="AD26" t="s">
        <v>1002</v>
      </c>
      <c r="AE26" s="12"/>
    </row>
    <row r="27" spans="5:31" ht="39" customHeight="1" x14ac:dyDescent="0.2">
      <c r="E27" s="11">
        <v>3</v>
      </c>
      <c r="F27" t="s">
        <v>1002</v>
      </c>
      <c r="G27" t="s">
        <v>1002</v>
      </c>
      <c r="H27" t="s">
        <v>1002</v>
      </c>
      <c r="I27" t="s">
        <v>1002</v>
      </c>
      <c r="J27" t="s">
        <v>1002</v>
      </c>
      <c r="K27" t="s">
        <v>1002</v>
      </c>
      <c r="L27" t="s">
        <v>1002</v>
      </c>
      <c r="M27" t="s">
        <v>1002</v>
      </c>
      <c r="N27" t="s">
        <v>1002</v>
      </c>
      <c r="O27" t="s">
        <v>1002</v>
      </c>
      <c r="P27" t="s">
        <v>1002</v>
      </c>
      <c r="Q27" t="s">
        <v>1002</v>
      </c>
      <c r="R27" t="s">
        <v>1002</v>
      </c>
      <c r="S27" t="s">
        <v>1002</v>
      </c>
      <c r="T27" t="s">
        <v>1002</v>
      </c>
      <c r="U27" t="s">
        <v>1002</v>
      </c>
      <c r="V27" t="s">
        <v>1002</v>
      </c>
      <c r="W27" t="s">
        <v>1002</v>
      </c>
      <c r="X27" t="s">
        <v>1002</v>
      </c>
      <c r="Y27" t="s">
        <v>1002</v>
      </c>
      <c r="Z27" t="s">
        <v>1002</v>
      </c>
      <c r="AA27" t="s">
        <v>1002</v>
      </c>
      <c r="AB27" t="s">
        <v>1002</v>
      </c>
      <c r="AC27" t="s">
        <v>1002</v>
      </c>
      <c r="AD27" t="s">
        <v>1002</v>
      </c>
      <c r="AE27" s="12"/>
    </row>
    <row r="28" spans="5:31" ht="39" customHeight="1" x14ac:dyDescent="0.2">
      <c r="E28" s="11">
        <v>4</v>
      </c>
      <c r="F28" t="s">
        <v>1002</v>
      </c>
      <c r="G28" t="s">
        <v>1002</v>
      </c>
      <c r="H28" t="s">
        <v>1002</v>
      </c>
      <c r="I28" t="s">
        <v>1002</v>
      </c>
      <c r="J28" t="s">
        <v>1002</v>
      </c>
      <c r="K28" t="s">
        <v>1002</v>
      </c>
      <c r="L28" t="s">
        <v>1002</v>
      </c>
      <c r="M28" t="s">
        <v>1002</v>
      </c>
      <c r="N28" t="s">
        <v>1002</v>
      </c>
      <c r="O28" t="s">
        <v>1002</v>
      </c>
      <c r="P28" t="s">
        <v>1002</v>
      </c>
      <c r="Q28" t="s">
        <v>1002</v>
      </c>
      <c r="R28" t="s">
        <v>1002</v>
      </c>
      <c r="S28" t="s">
        <v>1002</v>
      </c>
      <c r="T28" t="s">
        <v>1002</v>
      </c>
      <c r="U28" t="s">
        <v>1002</v>
      </c>
      <c r="V28" t="s">
        <v>1002</v>
      </c>
      <c r="W28" t="s">
        <v>1002</v>
      </c>
      <c r="X28" t="s">
        <v>1002</v>
      </c>
      <c r="Y28" t="s">
        <v>1002</v>
      </c>
      <c r="Z28" t="s">
        <v>1002</v>
      </c>
      <c r="AA28" t="s">
        <v>1002</v>
      </c>
      <c r="AB28" t="s">
        <v>1002</v>
      </c>
      <c r="AC28" t="s">
        <v>1002</v>
      </c>
      <c r="AD28" t="s">
        <v>1002</v>
      </c>
      <c r="AE28" s="12"/>
    </row>
    <row r="29" spans="5:31" ht="39" customHeight="1" x14ac:dyDescent="0.2">
      <c r="E29" s="11">
        <v>5</v>
      </c>
      <c r="F29" t="s">
        <v>1002</v>
      </c>
      <c r="G29" t="s">
        <v>1002</v>
      </c>
      <c r="H29" t="s">
        <v>1002</v>
      </c>
      <c r="I29" t="s">
        <v>1002</v>
      </c>
      <c r="J29" t="s">
        <v>1002</v>
      </c>
      <c r="K29" t="s">
        <v>1002</v>
      </c>
      <c r="L29" t="s">
        <v>1002</v>
      </c>
      <c r="M29" t="s">
        <v>1002</v>
      </c>
      <c r="N29" t="s">
        <v>1002</v>
      </c>
      <c r="O29" t="s">
        <v>1002</v>
      </c>
      <c r="P29" t="s">
        <v>1002</v>
      </c>
      <c r="Q29" t="s">
        <v>1002</v>
      </c>
      <c r="R29" t="s">
        <v>1002</v>
      </c>
      <c r="S29" t="s">
        <v>1002</v>
      </c>
      <c r="T29" t="s">
        <v>1002</v>
      </c>
      <c r="U29" t="s">
        <v>1002</v>
      </c>
      <c r="V29" t="s">
        <v>1002</v>
      </c>
      <c r="W29" t="s">
        <v>1002</v>
      </c>
      <c r="X29" t="s">
        <v>1002</v>
      </c>
      <c r="Y29" t="s">
        <v>1002</v>
      </c>
      <c r="Z29" t="s">
        <v>1002</v>
      </c>
      <c r="AA29" t="s">
        <v>1002</v>
      </c>
      <c r="AB29" t="s">
        <v>1002</v>
      </c>
      <c r="AC29" t="s">
        <v>1002</v>
      </c>
      <c r="AD29" t="s">
        <v>1002</v>
      </c>
      <c r="AE29" s="12"/>
    </row>
    <row r="30" spans="5:31" ht="39" customHeight="1" x14ac:dyDescent="0.2">
      <c r="E30" s="11">
        <v>6</v>
      </c>
      <c r="F30" t="s">
        <v>1002</v>
      </c>
      <c r="G30" t="s">
        <v>1002</v>
      </c>
      <c r="H30" t="s">
        <v>1002</v>
      </c>
      <c r="I30" t="s">
        <v>1002</v>
      </c>
      <c r="J30" t="s">
        <v>1002</v>
      </c>
      <c r="K30" t="s">
        <v>1002</v>
      </c>
      <c r="L30" t="s">
        <v>1002</v>
      </c>
      <c r="M30" t="s">
        <v>1002</v>
      </c>
      <c r="N30" t="s">
        <v>1002</v>
      </c>
      <c r="O30" t="s">
        <v>1002</v>
      </c>
      <c r="P30" t="s">
        <v>1002</v>
      </c>
      <c r="Q30" t="s">
        <v>1002</v>
      </c>
      <c r="R30" t="s">
        <v>1002</v>
      </c>
      <c r="S30" t="s">
        <v>1002</v>
      </c>
      <c r="T30" t="s">
        <v>1002</v>
      </c>
      <c r="U30" t="s">
        <v>1002</v>
      </c>
      <c r="V30" t="s">
        <v>1002</v>
      </c>
      <c r="W30" t="s">
        <v>1002</v>
      </c>
      <c r="X30" t="s">
        <v>1002</v>
      </c>
      <c r="Y30" t="s">
        <v>1002</v>
      </c>
      <c r="Z30" t="s">
        <v>1002</v>
      </c>
      <c r="AA30" t="s">
        <v>1002</v>
      </c>
      <c r="AB30" t="s">
        <v>1002</v>
      </c>
      <c r="AC30" t="s">
        <v>1002</v>
      </c>
      <c r="AD30" t="s">
        <v>1002</v>
      </c>
      <c r="AE30" s="12"/>
    </row>
    <row r="31" spans="5:31" ht="39" customHeight="1" x14ac:dyDescent="0.2">
      <c r="E31" s="11">
        <v>7</v>
      </c>
      <c r="F31" t="s">
        <v>1002</v>
      </c>
      <c r="G31" t="s">
        <v>1002</v>
      </c>
      <c r="H31" t="s">
        <v>1002</v>
      </c>
      <c r="I31" t="s">
        <v>1002</v>
      </c>
      <c r="J31" t="s">
        <v>1002</v>
      </c>
      <c r="K31" t="s">
        <v>1002</v>
      </c>
      <c r="L31" t="s">
        <v>1002</v>
      </c>
      <c r="M31" t="s">
        <v>1002</v>
      </c>
      <c r="N31" t="s">
        <v>1002</v>
      </c>
      <c r="O31" t="s">
        <v>1002</v>
      </c>
      <c r="P31" t="s">
        <v>1002</v>
      </c>
      <c r="Q31" t="s">
        <v>1002</v>
      </c>
      <c r="R31" t="s">
        <v>1002</v>
      </c>
      <c r="S31" t="s">
        <v>1002</v>
      </c>
      <c r="T31" t="s">
        <v>1002</v>
      </c>
      <c r="U31" t="s">
        <v>1002</v>
      </c>
      <c r="V31" t="s">
        <v>1002</v>
      </c>
      <c r="W31" t="s">
        <v>1002</v>
      </c>
      <c r="X31" t="s">
        <v>1002</v>
      </c>
      <c r="Y31" t="s">
        <v>1002</v>
      </c>
      <c r="Z31" t="s">
        <v>1002</v>
      </c>
      <c r="AA31" t="s">
        <v>1002</v>
      </c>
      <c r="AB31" t="s">
        <v>1002</v>
      </c>
      <c r="AC31" t="s">
        <v>1002</v>
      </c>
      <c r="AD31" t="s">
        <v>1002</v>
      </c>
      <c r="AE31" s="12"/>
    </row>
    <row r="32" spans="5:31" ht="39" customHeight="1" x14ac:dyDescent="0.2">
      <c r="E32" s="11">
        <v>8</v>
      </c>
      <c r="F32" t="s">
        <v>1002</v>
      </c>
      <c r="G32" t="s">
        <v>1002</v>
      </c>
      <c r="H32" t="s">
        <v>1002</v>
      </c>
      <c r="I32" t="s">
        <v>1002</v>
      </c>
      <c r="J32" t="s">
        <v>1002</v>
      </c>
      <c r="K32" t="s">
        <v>1002</v>
      </c>
      <c r="L32" t="s">
        <v>1002</v>
      </c>
      <c r="M32" t="s">
        <v>1002</v>
      </c>
      <c r="N32" t="s">
        <v>1002</v>
      </c>
      <c r="O32" t="s">
        <v>1002</v>
      </c>
      <c r="P32" t="s">
        <v>1002</v>
      </c>
      <c r="Q32" t="s">
        <v>1002</v>
      </c>
      <c r="R32" t="s">
        <v>1002</v>
      </c>
      <c r="S32" t="s">
        <v>1002</v>
      </c>
      <c r="T32" t="s">
        <v>1002</v>
      </c>
      <c r="U32" t="s">
        <v>1002</v>
      </c>
      <c r="V32" t="s">
        <v>1002</v>
      </c>
      <c r="W32" t="s">
        <v>1002</v>
      </c>
      <c r="X32" t="s">
        <v>1002</v>
      </c>
      <c r="Y32" t="s">
        <v>1002</v>
      </c>
      <c r="Z32" t="s">
        <v>1002</v>
      </c>
      <c r="AA32" t="s">
        <v>1002</v>
      </c>
      <c r="AB32" t="s">
        <v>1002</v>
      </c>
      <c r="AC32" t="s">
        <v>1002</v>
      </c>
      <c r="AD32" t="s">
        <v>1002</v>
      </c>
      <c r="AE32" s="12"/>
    </row>
    <row r="33" spans="5:31" ht="39" customHeight="1" x14ac:dyDescent="0.2">
      <c r="E33" s="11">
        <v>9</v>
      </c>
      <c r="F33" t="s">
        <v>1002</v>
      </c>
      <c r="G33" t="s">
        <v>1002</v>
      </c>
      <c r="H33" t="s">
        <v>1002</v>
      </c>
      <c r="I33" t="s">
        <v>1002</v>
      </c>
      <c r="J33" t="s">
        <v>1002</v>
      </c>
      <c r="K33" t="s">
        <v>1002</v>
      </c>
      <c r="L33" t="s">
        <v>1002</v>
      </c>
      <c r="M33" t="s">
        <v>1002</v>
      </c>
      <c r="N33" t="s">
        <v>1002</v>
      </c>
      <c r="O33" t="s">
        <v>1002</v>
      </c>
      <c r="P33" t="s">
        <v>1002</v>
      </c>
      <c r="Q33" t="s">
        <v>1002</v>
      </c>
      <c r="R33" t="s">
        <v>1002</v>
      </c>
      <c r="S33" t="s">
        <v>1002</v>
      </c>
      <c r="T33" t="s">
        <v>1002</v>
      </c>
      <c r="U33" t="s">
        <v>1002</v>
      </c>
      <c r="V33" t="s">
        <v>1002</v>
      </c>
      <c r="W33" t="s">
        <v>1002</v>
      </c>
      <c r="X33" t="s">
        <v>1002</v>
      </c>
      <c r="Y33" t="s">
        <v>1002</v>
      </c>
      <c r="Z33" t="s">
        <v>1002</v>
      </c>
      <c r="AA33" t="s">
        <v>1002</v>
      </c>
      <c r="AB33" t="s">
        <v>1002</v>
      </c>
      <c r="AC33" t="s">
        <v>1002</v>
      </c>
      <c r="AD33" t="s">
        <v>1002</v>
      </c>
      <c r="AE33" s="12"/>
    </row>
    <row r="34" spans="5:31" ht="39" customHeight="1" x14ac:dyDescent="0.2">
      <c r="E34" s="11">
        <v>10</v>
      </c>
      <c r="F34" t="s">
        <v>1002</v>
      </c>
      <c r="G34" t="s">
        <v>1002</v>
      </c>
      <c r="H34" t="s">
        <v>1002</v>
      </c>
      <c r="I34" t="s">
        <v>1002</v>
      </c>
      <c r="J34" t="s">
        <v>1002</v>
      </c>
      <c r="K34" t="s">
        <v>1002</v>
      </c>
      <c r="L34" t="s">
        <v>1002</v>
      </c>
      <c r="M34" t="s">
        <v>1002</v>
      </c>
      <c r="N34" t="s">
        <v>1002</v>
      </c>
      <c r="O34" t="s">
        <v>1002</v>
      </c>
      <c r="P34" t="s">
        <v>1002</v>
      </c>
      <c r="Q34" t="s">
        <v>1002</v>
      </c>
      <c r="R34" t="s">
        <v>1002</v>
      </c>
      <c r="S34" t="s">
        <v>1002</v>
      </c>
      <c r="T34" t="s">
        <v>1002</v>
      </c>
      <c r="U34" t="s">
        <v>1002</v>
      </c>
      <c r="V34" t="s">
        <v>1002</v>
      </c>
      <c r="W34" t="s">
        <v>1002</v>
      </c>
      <c r="X34" t="s">
        <v>1002</v>
      </c>
      <c r="Y34" t="s">
        <v>1002</v>
      </c>
      <c r="Z34" t="s">
        <v>1002</v>
      </c>
      <c r="AA34" t="s">
        <v>1002</v>
      </c>
      <c r="AB34" t="s">
        <v>1002</v>
      </c>
      <c r="AC34" t="s">
        <v>1002</v>
      </c>
      <c r="AD34" t="s">
        <v>1002</v>
      </c>
      <c r="AE34" s="12"/>
    </row>
    <row r="35" spans="5:31" ht="39" customHeight="1" x14ac:dyDescent="0.2">
      <c r="E35" s="11">
        <v>11</v>
      </c>
      <c r="F35" t="s">
        <v>1002</v>
      </c>
      <c r="G35" t="s">
        <v>1002</v>
      </c>
      <c r="H35" t="s">
        <v>1002</v>
      </c>
      <c r="I35" t="s">
        <v>1002</v>
      </c>
      <c r="J35" t="s">
        <v>1002</v>
      </c>
      <c r="K35" t="s">
        <v>1002</v>
      </c>
      <c r="L35" t="s">
        <v>1002</v>
      </c>
      <c r="M35" t="s">
        <v>1002</v>
      </c>
      <c r="N35" t="s">
        <v>1002</v>
      </c>
      <c r="O35" t="s">
        <v>1002</v>
      </c>
      <c r="P35" t="s">
        <v>1002</v>
      </c>
      <c r="Q35" t="s">
        <v>1002</v>
      </c>
      <c r="R35" t="s">
        <v>1002</v>
      </c>
      <c r="S35" t="s">
        <v>1002</v>
      </c>
      <c r="T35" t="s">
        <v>1002</v>
      </c>
      <c r="U35" t="s">
        <v>1002</v>
      </c>
      <c r="V35" t="s">
        <v>1002</v>
      </c>
      <c r="W35" t="s">
        <v>1002</v>
      </c>
      <c r="X35" t="s">
        <v>1002</v>
      </c>
      <c r="Y35" t="s">
        <v>1002</v>
      </c>
      <c r="Z35" t="s">
        <v>1002</v>
      </c>
      <c r="AA35" t="s">
        <v>1002</v>
      </c>
      <c r="AB35" t="s">
        <v>1002</v>
      </c>
      <c r="AC35" t="s">
        <v>1002</v>
      </c>
      <c r="AD35" t="s">
        <v>1002</v>
      </c>
      <c r="AE35" s="12"/>
    </row>
    <row r="36" spans="5:31" ht="39" customHeight="1" x14ac:dyDescent="0.2">
      <c r="E36" s="11">
        <v>12</v>
      </c>
      <c r="F36" t="s">
        <v>1002</v>
      </c>
      <c r="G36" t="s">
        <v>1002</v>
      </c>
      <c r="H36" t="s">
        <v>1002</v>
      </c>
      <c r="I36" t="s">
        <v>1002</v>
      </c>
      <c r="J36" t="s">
        <v>1002</v>
      </c>
      <c r="K36" t="s">
        <v>1002</v>
      </c>
      <c r="L36" t="s">
        <v>1002</v>
      </c>
      <c r="M36" t="s">
        <v>1002</v>
      </c>
      <c r="N36" t="s">
        <v>1002</v>
      </c>
      <c r="O36" t="s">
        <v>1002</v>
      </c>
      <c r="P36" t="s">
        <v>1002</v>
      </c>
      <c r="Q36" t="s">
        <v>1002</v>
      </c>
      <c r="R36" t="s">
        <v>1002</v>
      </c>
      <c r="S36" t="s">
        <v>1002</v>
      </c>
      <c r="T36" t="s">
        <v>1002</v>
      </c>
      <c r="U36" t="s">
        <v>1002</v>
      </c>
      <c r="V36" t="s">
        <v>1002</v>
      </c>
      <c r="W36" t="s">
        <v>1002</v>
      </c>
      <c r="X36" t="s">
        <v>1002</v>
      </c>
      <c r="Y36" t="s">
        <v>1002</v>
      </c>
      <c r="Z36" t="s">
        <v>1002</v>
      </c>
      <c r="AA36" t="s">
        <v>1002</v>
      </c>
      <c r="AB36" t="s">
        <v>1002</v>
      </c>
      <c r="AC36" t="s">
        <v>1002</v>
      </c>
      <c r="AD36" t="s">
        <v>1002</v>
      </c>
      <c r="AE36" s="12"/>
    </row>
    <row r="37" spans="5:31" ht="39" customHeight="1" x14ac:dyDescent="0.2">
      <c r="E37" s="11">
        <v>13</v>
      </c>
      <c r="F37" t="s">
        <v>1002</v>
      </c>
      <c r="G37" t="s">
        <v>1002</v>
      </c>
      <c r="H37" t="s">
        <v>1002</v>
      </c>
      <c r="I37" t="s">
        <v>1002</v>
      </c>
      <c r="J37" t="s">
        <v>1002</v>
      </c>
      <c r="K37" t="s">
        <v>1002</v>
      </c>
      <c r="L37" t="s">
        <v>1002</v>
      </c>
      <c r="M37" t="s">
        <v>1002</v>
      </c>
      <c r="N37" t="s">
        <v>1002</v>
      </c>
      <c r="O37" t="s">
        <v>1002</v>
      </c>
      <c r="P37" t="s">
        <v>1002</v>
      </c>
      <c r="Q37" t="s">
        <v>1002</v>
      </c>
      <c r="R37" t="s">
        <v>1002</v>
      </c>
      <c r="S37" t="s">
        <v>1002</v>
      </c>
      <c r="T37" t="s">
        <v>1002</v>
      </c>
      <c r="U37" t="s">
        <v>1002</v>
      </c>
      <c r="V37" t="s">
        <v>1002</v>
      </c>
      <c r="W37" t="s">
        <v>1002</v>
      </c>
      <c r="X37" t="s">
        <v>1002</v>
      </c>
      <c r="Y37" t="s">
        <v>1002</v>
      </c>
      <c r="Z37" t="s">
        <v>1002</v>
      </c>
      <c r="AA37" t="s">
        <v>1002</v>
      </c>
      <c r="AB37" t="s">
        <v>1002</v>
      </c>
      <c r="AC37" t="s">
        <v>1002</v>
      </c>
      <c r="AD37" t="s">
        <v>1002</v>
      </c>
      <c r="AE37" s="12"/>
    </row>
    <row r="38" spans="5:31" ht="39" customHeight="1" x14ac:dyDescent="0.2">
      <c r="E38" s="11">
        <v>14</v>
      </c>
      <c r="F38" t="s">
        <v>1002</v>
      </c>
      <c r="G38" t="s">
        <v>1002</v>
      </c>
      <c r="H38" t="s">
        <v>1002</v>
      </c>
      <c r="I38" t="s">
        <v>1002</v>
      </c>
      <c r="J38" t="s">
        <v>1002</v>
      </c>
      <c r="K38" t="s">
        <v>1072</v>
      </c>
      <c r="L38" t="s">
        <v>1067</v>
      </c>
      <c r="M38" t="s">
        <v>1002</v>
      </c>
      <c r="N38" t="s">
        <v>1002</v>
      </c>
      <c r="O38" t="s">
        <v>1072</v>
      </c>
      <c r="P38" t="s">
        <v>1067</v>
      </c>
      <c r="Q38" t="s">
        <v>1002</v>
      </c>
      <c r="R38" t="s">
        <v>1002</v>
      </c>
      <c r="S38" t="s">
        <v>1002</v>
      </c>
      <c r="T38" t="s">
        <v>1002</v>
      </c>
      <c r="U38" t="s">
        <v>1002</v>
      </c>
      <c r="V38" t="s">
        <v>1002</v>
      </c>
      <c r="W38" t="s">
        <v>1002</v>
      </c>
      <c r="X38" t="s">
        <v>1002</v>
      </c>
      <c r="Y38" t="s">
        <v>1002</v>
      </c>
      <c r="Z38" t="s">
        <v>1002</v>
      </c>
      <c r="AA38" t="s">
        <v>1002</v>
      </c>
      <c r="AB38" t="s">
        <v>1002</v>
      </c>
      <c r="AC38" t="s">
        <v>1002</v>
      </c>
      <c r="AD38" t="s">
        <v>1002</v>
      </c>
      <c r="AE38" s="12"/>
    </row>
    <row r="39" spans="5:31" ht="39" customHeight="1" x14ac:dyDescent="0.2">
      <c r="E39" s="11">
        <v>15</v>
      </c>
      <c r="F39" t="s">
        <v>1002</v>
      </c>
      <c r="G39" t="s">
        <v>1002</v>
      </c>
      <c r="H39" t="s">
        <v>1002</v>
      </c>
      <c r="I39" t="s">
        <v>1002</v>
      </c>
      <c r="J39" t="s">
        <v>1002</v>
      </c>
      <c r="K39" t="s">
        <v>1073</v>
      </c>
      <c r="L39" t="s">
        <v>1068</v>
      </c>
      <c r="M39" t="s">
        <v>1002</v>
      </c>
      <c r="N39" t="s">
        <v>1002</v>
      </c>
      <c r="O39" t="s">
        <v>1073</v>
      </c>
      <c r="P39" t="s">
        <v>1068</v>
      </c>
      <c r="Q39" t="s">
        <v>1002</v>
      </c>
      <c r="R39" t="s">
        <v>1002</v>
      </c>
      <c r="S39" t="s">
        <v>1002</v>
      </c>
      <c r="T39" t="s">
        <v>1002</v>
      </c>
      <c r="U39" t="s">
        <v>1002</v>
      </c>
      <c r="V39" t="s">
        <v>1002</v>
      </c>
      <c r="W39" t="s">
        <v>1002</v>
      </c>
      <c r="X39" t="s">
        <v>1002</v>
      </c>
      <c r="Y39" t="s">
        <v>1002</v>
      </c>
      <c r="Z39" t="s">
        <v>1002</v>
      </c>
      <c r="AA39" t="s">
        <v>1002</v>
      </c>
      <c r="AB39" t="s">
        <v>1002</v>
      </c>
      <c r="AC39" t="s">
        <v>1002</v>
      </c>
      <c r="AD39" t="s">
        <v>1002</v>
      </c>
      <c r="AE39" s="12"/>
    </row>
    <row r="40" spans="5:31" ht="39" customHeight="1" x14ac:dyDescent="0.2">
      <c r="E40" s="12"/>
      <c r="F40" s="12"/>
      <c r="G40" s="12"/>
      <c r="H40" s="12"/>
      <c r="I40" s="12"/>
      <c r="J40" s="12"/>
      <c r="K40" s="12"/>
      <c r="L40" s="12"/>
      <c r="M40" s="12"/>
      <c r="N40" s="12"/>
      <c r="O40" s="12"/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B0A31D-4C97-AD45-A228-2A94A1C41CE1}">
  <sheetPr codeName="Sheet1"/>
  <dimension ref="A1:Q1042"/>
  <sheetViews>
    <sheetView topLeftCell="A230" workbookViewId="0">
      <pane ySplit="18420" topLeftCell="A1027" activePane="bottomLeft"/>
      <selection activeCell="C266" sqref="C266"/>
      <selection pane="bottomLeft" activeCell="C1037" sqref="C1037"/>
    </sheetView>
  </sheetViews>
  <sheetFormatPr baseColWidth="10" defaultRowHeight="16" x14ac:dyDescent="0.2"/>
  <cols>
    <col min="2" max="2" width="39.5" customWidth="1"/>
    <col min="9" max="9" width="25.83203125" customWidth="1"/>
  </cols>
  <sheetData>
    <row r="1" spans="1:8" x14ac:dyDescent="0.2">
      <c r="C1" t="s">
        <v>1</v>
      </c>
      <c r="D1" t="s">
        <v>199</v>
      </c>
      <c r="E1" t="s">
        <v>2</v>
      </c>
      <c r="F1" t="s">
        <v>3</v>
      </c>
      <c r="G1" t="s">
        <v>4</v>
      </c>
    </row>
    <row r="2" spans="1:8" x14ac:dyDescent="0.2">
      <c r="A2">
        <v>0</v>
      </c>
      <c r="B2" s="1" t="s">
        <v>43</v>
      </c>
      <c r="C2">
        <v>0</v>
      </c>
      <c r="D2">
        <v>0</v>
      </c>
      <c r="E2">
        <v>0</v>
      </c>
      <c r="F2">
        <v>0</v>
      </c>
      <c r="G2">
        <v>0</v>
      </c>
      <c r="H2">
        <f t="shared" ref="H2:H65" si="0">_xlfn.XLOOKUP(I2,$B$2:$B$982,$A$2:$A$982,65535)</f>
        <v>65535</v>
      </c>
    </row>
    <row r="3" spans="1:8" x14ac:dyDescent="0.2">
      <c r="A3">
        <f>A2+1</f>
        <v>1</v>
      </c>
      <c r="B3" s="1" t="s">
        <v>44</v>
      </c>
      <c r="C3">
        <v>1</v>
      </c>
      <c r="D3">
        <v>0</v>
      </c>
      <c r="E3">
        <v>0</v>
      </c>
      <c r="F3">
        <v>0</v>
      </c>
      <c r="G3">
        <v>0</v>
      </c>
      <c r="H3">
        <f t="shared" si="0"/>
        <v>65535</v>
      </c>
    </row>
    <row r="4" spans="1:8" x14ac:dyDescent="0.2">
      <c r="A4">
        <f t="shared" ref="A4:A67" si="1">A3+1</f>
        <v>2</v>
      </c>
      <c r="B4" s="1" t="s">
        <v>45</v>
      </c>
      <c r="C4">
        <v>2</v>
      </c>
      <c r="D4">
        <v>0</v>
      </c>
      <c r="E4">
        <v>0</v>
      </c>
      <c r="F4">
        <v>0</v>
      </c>
      <c r="G4">
        <v>0</v>
      </c>
      <c r="H4">
        <f t="shared" si="0"/>
        <v>65535</v>
      </c>
    </row>
    <row r="5" spans="1:8" x14ac:dyDescent="0.2">
      <c r="A5">
        <f t="shared" si="1"/>
        <v>3</v>
      </c>
      <c r="B5" s="1" t="s">
        <v>46</v>
      </c>
      <c r="C5">
        <v>3</v>
      </c>
      <c r="D5">
        <v>0</v>
      </c>
      <c r="E5">
        <v>0</v>
      </c>
      <c r="F5">
        <v>0</v>
      </c>
      <c r="G5">
        <v>0</v>
      </c>
      <c r="H5">
        <f t="shared" si="0"/>
        <v>65535</v>
      </c>
    </row>
    <row r="6" spans="1:8" x14ac:dyDescent="0.2">
      <c r="A6">
        <f t="shared" si="1"/>
        <v>4</v>
      </c>
      <c r="B6" s="1" t="s">
        <v>47</v>
      </c>
      <c r="C6">
        <v>3</v>
      </c>
      <c r="D6">
        <v>0</v>
      </c>
      <c r="E6">
        <v>0</v>
      </c>
      <c r="F6">
        <v>0</v>
      </c>
      <c r="G6">
        <v>0</v>
      </c>
      <c r="H6">
        <f t="shared" si="0"/>
        <v>65535</v>
      </c>
    </row>
    <row r="7" spans="1:8" x14ac:dyDescent="0.2">
      <c r="A7">
        <f t="shared" si="1"/>
        <v>5</v>
      </c>
      <c r="B7" s="1" t="s">
        <v>48</v>
      </c>
      <c r="C7">
        <v>0</v>
      </c>
      <c r="D7">
        <v>4</v>
      </c>
      <c r="E7">
        <v>0</v>
      </c>
      <c r="F7">
        <v>0</v>
      </c>
      <c r="G7">
        <v>0</v>
      </c>
      <c r="H7">
        <f t="shared" si="0"/>
        <v>65535</v>
      </c>
    </row>
    <row r="8" spans="1:8" x14ac:dyDescent="0.2">
      <c r="A8">
        <f t="shared" si="1"/>
        <v>6</v>
      </c>
      <c r="B8" s="1" t="s">
        <v>49</v>
      </c>
      <c r="C8">
        <v>0</v>
      </c>
      <c r="D8">
        <v>3</v>
      </c>
      <c r="E8">
        <v>0</v>
      </c>
      <c r="F8">
        <v>0</v>
      </c>
      <c r="G8">
        <v>0</v>
      </c>
      <c r="H8">
        <f t="shared" si="0"/>
        <v>65535</v>
      </c>
    </row>
    <row r="9" spans="1:8" x14ac:dyDescent="0.2">
      <c r="A9">
        <f t="shared" si="1"/>
        <v>7</v>
      </c>
      <c r="B9" s="1" t="s">
        <v>50</v>
      </c>
      <c r="C9">
        <v>0</v>
      </c>
      <c r="D9">
        <v>2</v>
      </c>
      <c r="E9">
        <v>0</v>
      </c>
      <c r="F9">
        <v>0</v>
      </c>
      <c r="G9">
        <v>0</v>
      </c>
      <c r="H9">
        <f t="shared" si="0"/>
        <v>65535</v>
      </c>
    </row>
    <row r="10" spans="1:8" x14ac:dyDescent="0.2">
      <c r="A10">
        <f t="shared" si="1"/>
        <v>8</v>
      </c>
      <c r="B10" s="1" t="s">
        <v>51</v>
      </c>
      <c r="C10">
        <v>0</v>
      </c>
      <c r="D10">
        <v>-2</v>
      </c>
      <c r="E10">
        <v>0</v>
      </c>
      <c r="F10">
        <v>0</v>
      </c>
      <c r="G10">
        <v>0</v>
      </c>
      <c r="H10">
        <f t="shared" si="0"/>
        <v>65535</v>
      </c>
    </row>
    <row r="11" spans="1:8" x14ac:dyDescent="0.2">
      <c r="A11">
        <f t="shared" si="1"/>
        <v>9</v>
      </c>
      <c r="B11" s="1" t="s">
        <v>52</v>
      </c>
      <c r="C11">
        <v>1</v>
      </c>
      <c r="D11">
        <v>-3</v>
      </c>
      <c r="E11">
        <v>0</v>
      </c>
      <c r="F11">
        <v>0</v>
      </c>
      <c r="G11">
        <v>0</v>
      </c>
      <c r="H11">
        <f t="shared" si="0"/>
        <v>65535</v>
      </c>
    </row>
    <row r="12" spans="1:8" x14ac:dyDescent="0.2">
      <c r="A12">
        <f t="shared" si="1"/>
        <v>10</v>
      </c>
      <c r="B12" s="1" t="s">
        <v>53</v>
      </c>
      <c r="C12">
        <v>0</v>
      </c>
      <c r="D12">
        <v>-4</v>
      </c>
      <c r="E12">
        <v>0</v>
      </c>
      <c r="F12">
        <v>0</v>
      </c>
      <c r="G12">
        <v>0</v>
      </c>
      <c r="H12">
        <f t="shared" si="0"/>
        <v>65535</v>
      </c>
    </row>
    <row r="13" spans="1:8" x14ac:dyDescent="0.2">
      <c r="A13">
        <f t="shared" si="1"/>
        <v>11</v>
      </c>
      <c r="B13" s="1" t="s">
        <v>158</v>
      </c>
      <c r="C13">
        <v>3</v>
      </c>
      <c r="D13">
        <v>0</v>
      </c>
      <c r="E13">
        <v>0</v>
      </c>
      <c r="F13">
        <v>0</v>
      </c>
      <c r="G13">
        <v>0</v>
      </c>
      <c r="H13">
        <f t="shared" si="0"/>
        <v>65535</v>
      </c>
    </row>
    <row r="14" spans="1:8" x14ac:dyDescent="0.2">
      <c r="A14">
        <f t="shared" si="1"/>
        <v>12</v>
      </c>
      <c r="B14" s="1" t="s">
        <v>54</v>
      </c>
      <c r="C14">
        <v>0</v>
      </c>
      <c r="D14">
        <v>4</v>
      </c>
      <c r="E14">
        <v>0</v>
      </c>
      <c r="F14">
        <v>0</v>
      </c>
      <c r="G14">
        <v>0</v>
      </c>
      <c r="H14">
        <f t="shared" si="0"/>
        <v>65535</v>
      </c>
    </row>
    <row r="15" spans="1:8" x14ac:dyDescent="0.2">
      <c r="A15">
        <f t="shared" si="1"/>
        <v>13</v>
      </c>
      <c r="B15" s="1" t="s">
        <v>55</v>
      </c>
      <c r="C15">
        <v>0</v>
      </c>
      <c r="D15">
        <v>3</v>
      </c>
      <c r="E15">
        <v>0</v>
      </c>
      <c r="F15">
        <v>0</v>
      </c>
      <c r="G15">
        <v>0</v>
      </c>
      <c r="H15">
        <f t="shared" si="0"/>
        <v>65535</v>
      </c>
    </row>
    <row r="16" spans="1:8" x14ac:dyDescent="0.2">
      <c r="A16">
        <f t="shared" si="1"/>
        <v>14</v>
      </c>
      <c r="B16" s="1" t="s">
        <v>56</v>
      </c>
      <c r="C16">
        <v>0</v>
      </c>
      <c r="D16">
        <v>2</v>
      </c>
      <c r="E16">
        <v>0</v>
      </c>
      <c r="F16">
        <v>0</v>
      </c>
      <c r="G16">
        <v>0</v>
      </c>
      <c r="H16">
        <f t="shared" si="0"/>
        <v>65535</v>
      </c>
    </row>
    <row r="17" spans="1:14" x14ac:dyDescent="0.2">
      <c r="A17">
        <f t="shared" si="1"/>
        <v>15</v>
      </c>
      <c r="B17" s="1" t="s">
        <v>57</v>
      </c>
      <c r="C17">
        <v>0</v>
      </c>
      <c r="D17">
        <v>-1</v>
      </c>
      <c r="E17">
        <v>0</v>
      </c>
      <c r="F17">
        <v>0</v>
      </c>
      <c r="G17">
        <v>0</v>
      </c>
      <c r="H17">
        <f t="shared" si="0"/>
        <v>65535</v>
      </c>
    </row>
    <row r="18" spans="1:14" x14ac:dyDescent="0.2">
      <c r="A18">
        <f t="shared" si="1"/>
        <v>16</v>
      </c>
      <c r="B18" s="1" t="s">
        <v>58</v>
      </c>
      <c r="C18">
        <v>255</v>
      </c>
      <c r="D18">
        <v>255</v>
      </c>
      <c r="E18">
        <v>0</v>
      </c>
      <c r="F18">
        <v>0</v>
      </c>
      <c r="G18">
        <v>0</v>
      </c>
      <c r="H18">
        <f t="shared" si="0"/>
        <v>65535</v>
      </c>
    </row>
    <row r="19" spans="1:14" ht="38" customHeight="1" x14ac:dyDescent="0.2">
      <c r="A19">
        <f t="shared" si="1"/>
        <v>17</v>
      </c>
      <c r="B19" s="1" t="s">
        <v>200</v>
      </c>
      <c r="C19">
        <v>5</v>
      </c>
      <c r="D19">
        <v>0</v>
      </c>
      <c r="E19">
        <v>-5</v>
      </c>
      <c r="F19">
        <v>-2</v>
      </c>
      <c r="G19">
        <v>-1</v>
      </c>
      <c r="H19">
        <f t="shared" si="0"/>
        <v>65535</v>
      </c>
      <c r="J19">
        <f>C19-C47</f>
        <v>-8</v>
      </c>
      <c r="K19">
        <f>D19-D47</f>
        <v>0</v>
      </c>
      <c r="L19">
        <f t="shared" ref="L19:L46" si="2">E19+E47</f>
        <v>0</v>
      </c>
      <c r="M19">
        <f t="shared" ref="M19:M46" si="3">F19+F47</f>
        <v>0</v>
      </c>
      <c r="N19">
        <f t="shared" ref="N19:N46" si="4">G19+G47</f>
        <v>0</v>
      </c>
    </row>
    <row r="20" spans="1:14" x14ac:dyDescent="0.2">
      <c r="A20">
        <f t="shared" si="1"/>
        <v>18</v>
      </c>
      <c r="B20" s="1" t="s">
        <v>201</v>
      </c>
      <c r="C20">
        <v>6</v>
      </c>
      <c r="D20">
        <v>0</v>
      </c>
      <c r="E20">
        <v>-5</v>
      </c>
      <c r="F20">
        <v>-2</v>
      </c>
      <c r="G20">
        <v>-1</v>
      </c>
      <c r="H20">
        <f t="shared" si="0"/>
        <v>65535</v>
      </c>
      <c r="J20">
        <f t="shared" ref="J20:J46" si="5">C20-C48</f>
        <v>-8</v>
      </c>
      <c r="K20">
        <f t="shared" ref="K20:K46" si="6">D20-D48</f>
        <v>0</v>
      </c>
      <c r="L20">
        <f t="shared" si="2"/>
        <v>0</v>
      </c>
      <c r="M20">
        <f t="shared" si="3"/>
        <v>0</v>
      </c>
      <c r="N20">
        <f t="shared" si="4"/>
        <v>0</v>
      </c>
    </row>
    <row r="21" spans="1:14" x14ac:dyDescent="0.2">
      <c r="A21">
        <f t="shared" si="1"/>
        <v>19</v>
      </c>
      <c r="B21" s="1" t="s">
        <v>202</v>
      </c>
      <c r="C21">
        <v>5</v>
      </c>
      <c r="D21">
        <v>0</v>
      </c>
      <c r="E21">
        <v>0</v>
      </c>
      <c r="F21">
        <v>0</v>
      </c>
      <c r="G21">
        <v>0</v>
      </c>
      <c r="H21">
        <f t="shared" si="0"/>
        <v>65535</v>
      </c>
      <c r="J21">
        <f t="shared" si="5"/>
        <v>-8</v>
      </c>
      <c r="K21">
        <f t="shared" si="6"/>
        <v>0</v>
      </c>
      <c r="L21">
        <f t="shared" si="2"/>
        <v>0</v>
      </c>
      <c r="M21">
        <f t="shared" si="3"/>
        <v>0</v>
      </c>
      <c r="N21">
        <f t="shared" si="4"/>
        <v>0</v>
      </c>
    </row>
    <row r="22" spans="1:14" x14ac:dyDescent="0.2">
      <c r="A22">
        <f t="shared" si="1"/>
        <v>20</v>
      </c>
      <c r="B22" s="1" t="s">
        <v>203</v>
      </c>
      <c r="C22">
        <v>6</v>
      </c>
      <c r="D22">
        <v>2</v>
      </c>
      <c r="E22">
        <v>0</v>
      </c>
      <c r="F22">
        <v>0</v>
      </c>
      <c r="G22">
        <v>0</v>
      </c>
      <c r="H22">
        <f t="shared" si="0"/>
        <v>65535</v>
      </c>
      <c r="J22">
        <f t="shared" si="5"/>
        <v>-8</v>
      </c>
      <c r="K22">
        <f t="shared" si="6"/>
        <v>0</v>
      </c>
      <c r="L22">
        <f t="shared" si="2"/>
        <v>0</v>
      </c>
      <c r="M22">
        <f t="shared" si="3"/>
        <v>0</v>
      </c>
      <c r="N22">
        <f t="shared" si="4"/>
        <v>0</v>
      </c>
    </row>
    <row r="23" spans="1:14" x14ac:dyDescent="0.2">
      <c r="A23">
        <f t="shared" si="1"/>
        <v>21</v>
      </c>
      <c r="B23" s="1" t="s">
        <v>204</v>
      </c>
      <c r="C23">
        <v>0</v>
      </c>
      <c r="D23">
        <v>2</v>
      </c>
      <c r="E23">
        <v>0</v>
      </c>
      <c r="F23">
        <v>0</v>
      </c>
      <c r="G23">
        <v>0</v>
      </c>
      <c r="H23">
        <f t="shared" si="0"/>
        <v>65535</v>
      </c>
      <c r="J23">
        <f t="shared" si="5"/>
        <v>0</v>
      </c>
      <c r="K23">
        <f t="shared" si="6"/>
        <v>0</v>
      </c>
      <c r="L23">
        <f t="shared" si="2"/>
        <v>0</v>
      </c>
      <c r="M23">
        <f t="shared" si="3"/>
        <v>0</v>
      </c>
      <c r="N23">
        <f t="shared" si="4"/>
        <v>0</v>
      </c>
    </row>
    <row r="24" spans="1:14" x14ac:dyDescent="0.2">
      <c r="A24">
        <f t="shared" si="1"/>
        <v>22</v>
      </c>
      <c r="B24" s="1" t="s">
        <v>205</v>
      </c>
      <c r="C24">
        <v>17</v>
      </c>
      <c r="D24">
        <v>2</v>
      </c>
      <c r="E24">
        <v>0</v>
      </c>
      <c r="F24">
        <v>0</v>
      </c>
      <c r="G24">
        <v>0</v>
      </c>
      <c r="H24">
        <f t="shared" si="0"/>
        <v>65535</v>
      </c>
      <c r="J24">
        <f t="shared" si="5"/>
        <v>0</v>
      </c>
      <c r="K24">
        <f t="shared" si="6"/>
        <v>0</v>
      </c>
      <c r="L24">
        <f t="shared" si="2"/>
        <v>0</v>
      </c>
      <c r="M24">
        <f t="shared" si="3"/>
        <v>0</v>
      </c>
      <c r="N24">
        <f t="shared" si="4"/>
        <v>0</v>
      </c>
    </row>
    <row r="25" spans="1:14" x14ac:dyDescent="0.2">
      <c r="A25">
        <f t="shared" si="1"/>
        <v>23</v>
      </c>
      <c r="B25" s="1" t="s">
        <v>206</v>
      </c>
      <c r="C25">
        <v>19</v>
      </c>
      <c r="D25">
        <v>2</v>
      </c>
      <c r="E25">
        <v>0</v>
      </c>
      <c r="F25">
        <v>0</v>
      </c>
      <c r="G25">
        <v>0</v>
      </c>
      <c r="H25">
        <f t="shared" si="0"/>
        <v>65535</v>
      </c>
      <c r="J25">
        <f t="shared" si="5"/>
        <v>0</v>
      </c>
      <c r="K25">
        <f t="shared" si="6"/>
        <v>0</v>
      </c>
      <c r="L25">
        <f t="shared" si="2"/>
        <v>0</v>
      </c>
      <c r="M25">
        <f t="shared" si="3"/>
        <v>0</v>
      </c>
      <c r="N25">
        <f t="shared" si="4"/>
        <v>0</v>
      </c>
    </row>
    <row r="26" spans="1:14" x14ac:dyDescent="0.2">
      <c r="A26">
        <f t="shared" si="1"/>
        <v>24</v>
      </c>
      <c r="B26" s="1" t="s">
        <v>207</v>
      </c>
      <c r="C26">
        <v>17</v>
      </c>
      <c r="D26">
        <v>2</v>
      </c>
      <c r="E26">
        <v>0</v>
      </c>
      <c r="F26">
        <v>0</v>
      </c>
      <c r="G26">
        <v>0</v>
      </c>
      <c r="H26">
        <f t="shared" si="0"/>
        <v>65535</v>
      </c>
      <c r="J26">
        <f t="shared" si="5"/>
        <v>0</v>
      </c>
      <c r="K26">
        <f t="shared" si="6"/>
        <v>0</v>
      </c>
      <c r="L26">
        <f t="shared" si="2"/>
        <v>0</v>
      </c>
      <c r="M26">
        <f t="shared" si="3"/>
        <v>0</v>
      </c>
      <c r="N26">
        <f t="shared" si="4"/>
        <v>0</v>
      </c>
    </row>
    <row r="27" spans="1:14" x14ac:dyDescent="0.2">
      <c r="A27">
        <f t="shared" si="1"/>
        <v>25</v>
      </c>
      <c r="B27" s="1" t="s">
        <v>208</v>
      </c>
      <c r="C27">
        <v>19</v>
      </c>
      <c r="D27">
        <v>2</v>
      </c>
      <c r="E27">
        <v>0</v>
      </c>
      <c r="F27">
        <v>0</v>
      </c>
      <c r="G27">
        <v>0</v>
      </c>
      <c r="H27">
        <f t="shared" si="0"/>
        <v>65535</v>
      </c>
      <c r="J27">
        <f t="shared" si="5"/>
        <v>0</v>
      </c>
      <c r="K27">
        <f t="shared" si="6"/>
        <v>0</v>
      </c>
      <c r="L27">
        <f t="shared" si="2"/>
        <v>0</v>
      </c>
      <c r="M27">
        <f t="shared" si="3"/>
        <v>0</v>
      </c>
      <c r="N27">
        <f t="shared" si="4"/>
        <v>0</v>
      </c>
    </row>
    <row r="28" spans="1:14" x14ac:dyDescent="0.2">
      <c r="A28">
        <f t="shared" si="1"/>
        <v>26</v>
      </c>
      <c r="B28" s="1" t="s">
        <v>209</v>
      </c>
      <c r="C28">
        <v>17</v>
      </c>
      <c r="D28">
        <v>2</v>
      </c>
      <c r="E28">
        <v>0</v>
      </c>
      <c r="F28">
        <v>0</v>
      </c>
      <c r="G28">
        <v>0</v>
      </c>
      <c r="H28">
        <f t="shared" si="0"/>
        <v>65535</v>
      </c>
      <c r="J28">
        <f t="shared" si="5"/>
        <v>0</v>
      </c>
      <c r="K28">
        <f t="shared" si="6"/>
        <v>0</v>
      </c>
      <c r="L28">
        <f t="shared" si="2"/>
        <v>0</v>
      </c>
      <c r="M28">
        <f t="shared" si="3"/>
        <v>0</v>
      </c>
      <c r="N28">
        <f t="shared" si="4"/>
        <v>0</v>
      </c>
    </row>
    <row r="29" spans="1:14" x14ac:dyDescent="0.2">
      <c r="A29">
        <f t="shared" si="1"/>
        <v>27</v>
      </c>
      <c r="B29" s="1" t="s">
        <v>210</v>
      </c>
      <c r="C29">
        <v>4</v>
      </c>
      <c r="D29">
        <v>2</v>
      </c>
      <c r="E29">
        <v>0</v>
      </c>
      <c r="F29">
        <v>0</v>
      </c>
      <c r="G29">
        <v>0</v>
      </c>
      <c r="H29">
        <f t="shared" si="0"/>
        <v>65535</v>
      </c>
      <c r="J29">
        <f t="shared" si="5"/>
        <v>-8</v>
      </c>
      <c r="K29">
        <f t="shared" si="6"/>
        <v>0</v>
      </c>
      <c r="L29">
        <f t="shared" si="2"/>
        <v>0</v>
      </c>
      <c r="M29">
        <f t="shared" si="3"/>
        <v>0</v>
      </c>
      <c r="N29">
        <f t="shared" si="4"/>
        <v>0</v>
      </c>
    </row>
    <row r="30" spans="1:14" x14ac:dyDescent="0.2">
      <c r="A30">
        <f t="shared" si="1"/>
        <v>28</v>
      </c>
      <c r="B30" s="1" t="s">
        <v>211</v>
      </c>
      <c r="C30">
        <v>5</v>
      </c>
      <c r="D30">
        <v>0</v>
      </c>
      <c r="E30">
        <v>-5</v>
      </c>
      <c r="F30">
        <v>-2</v>
      </c>
      <c r="G30">
        <v>-1</v>
      </c>
      <c r="H30">
        <f t="shared" si="0"/>
        <v>65535</v>
      </c>
      <c r="J30">
        <f t="shared" si="5"/>
        <v>-8</v>
      </c>
      <c r="K30">
        <f t="shared" si="6"/>
        <v>0</v>
      </c>
      <c r="L30">
        <f t="shared" si="2"/>
        <v>0</v>
      </c>
      <c r="M30">
        <f t="shared" si="3"/>
        <v>0</v>
      </c>
      <c r="N30">
        <f t="shared" si="4"/>
        <v>0</v>
      </c>
    </row>
    <row r="31" spans="1:14" x14ac:dyDescent="0.2">
      <c r="A31">
        <f t="shared" si="1"/>
        <v>29</v>
      </c>
      <c r="B31" s="1" t="s">
        <v>212</v>
      </c>
      <c r="C31">
        <v>6</v>
      </c>
      <c r="D31">
        <v>0</v>
      </c>
      <c r="E31">
        <v>-5</v>
      </c>
      <c r="F31">
        <v>-2</v>
      </c>
      <c r="G31">
        <v>-1</v>
      </c>
      <c r="H31">
        <f t="shared" si="0"/>
        <v>65535</v>
      </c>
      <c r="J31">
        <f t="shared" si="5"/>
        <v>-8</v>
      </c>
      <c r="K31">
        <f t="shared" si="6"/>
        <v>0</v>
      </c>
      <c r="L31">
        <f t="shared" si="2"/>
        <v>0</v>
      </c>
      <c r="M31">
        <f t="shared" si="3"/>
        <v>0</v>
      </c>
      <c r="N31">
        <f t="shared" si="4"/>
        <v>0</v>
      </c>
    </row>
    <row r="32" spans="1:14" x14ac:dyDescent="0.2">
      <c r="A32">
        <f t="shared" si="1"/>
        <v>30</v>
      </c>
      <c r="B32" s="1" t="s">
        <v>213</v>
      </c>
      <c r="C32">
        <v>5</v>
      </c>
      <c r="D32">
        <v>0</v>
      </c>
      <c r="E32">
        <v>-5</v>
      </c>
      <c r="F32">
        <v>0</v>
      </c>
      <c r="G32">
        <v>-1</v>
      </c>
      <c r="H32">
        <f t="shared" si="0"/>
        <v>65535</v>
      </c>
      <c r="J32">
        <f t="shared" si="5"/>
        <v>-8</v>
      </c>
      <c r="K32">
        <f t="shared" si="6"/>
        <v>0</v>
      </c>
      <c r="L32">
        <f t="shared" si="2"/>
        <v>0</v>
      </c>
      <c r="M32">
        <f t="shared" si="3"/>
        <v>0</v>
      </c>
      <c r="N32">
        <f t="shared" si="4"/>
        <v>0</v>
      </c>
    </row>
    <row r="33" spans="1:14" x14ac:dyDescent="0.2">
      <c r="A33">
        <f t="shared" si="1"/>
        <v>31</v>
      </c>
      <c r="B33" s="1" t="s">
        <v>214</v>
      </c>
      <c r="C33">
        <v>5</v>
      </c>
      <c r="D33">
        <v>0</v>
      </c>
      <c r="E33">
        <v>-5</v>
      </c>
      <c r="F33">
        <v>-2</v>
      </c>
      <c r="G33">
        <v>-1</v>
      </c>
      <c r="H33">
        <f t="shared" si="0"/>
        <v>65535</v>
      </c>
      <c r="J33">
        <f t="shared" si="5"/>
        <v>-8</v>
      </c>
      <c r="K33">
        <f t="shared" si="6"/>
        <v>0</v>
      </c>
      <c r="L33">
        <f t="shared" si="2"/>
        <v>0</v>
      </c>
      <c r="M33">
        <f t="shared" si="3"/>
        <v>0</v>
      </c>
      <c r="N33">
        <f t="shared" si="4"/>
        <v>0</v>
      </c>
    </row>
    <row r="34" spans="1:14" x14ac:dyDescent="0.2">
      <c r="A34">
        <f t="shared" si="1"/>
        <v>32</v>
      </c>
      <c r="B34" s="1" t="s">
        <v>215</v>
      </c>
      <c r="C34">
        <v>6</v>
      </c>
      <c r="D34">
        <v>0</v>
      </c>
      <c r="E34">
        <v>-5</v>
      </c>
      <c r="F34">
        <v>-2</v>
      </c>
      <c r="G34">
        <v>-1</v>
      </c>
      <c r="H34">
        <f t="shared" si="0"/>
        <v>65535</v>
      </c>
      <c r="J34">
        <f t="shared" si="5"/>
        <v>-8</v>
      </c>
      <c r="K34">
        <f t="shared" si="6"/>
        <v>0</v>
      </c>
      <c r="L34">
        <f t="shared" si="2"/>
        <v>0</v>
      </c>
      <c r="M34">
        <f t="shared" si="3"/>
        <v>0</v>
      </c>
      <c r="N34">
        <f t="shared" si="4"/>
        <v>0</v>
      </c>
    </row>
    <row r="35" spans="1:14" x14ac:dyDescent="0.2">
      <c r="A35">
        <f t="shared" si="1"/>
        <v>33</v>
      </c>
      <c r="B35" s="1" t="s">
        <v>216</v>
      </c>
      <c r="C35">
        <v>5</v>
      </c>
      <c r="D35">
        <v>0</v>
      </c>
      <c r="E35">
        <v>0</v>
      </c>
      <c r="F35">
        <v>0</v>
      </c>
      <c r="G35">
        <v>0</v>
      </c>
      <c r="H35">
        <f t="shared" si="0"/>
        <v>65535</v>
      </c>
      <c r="J35">
        <f t="shared" si="5"/>
        <v>-8</v>
      </c>
      <c r="K35">
        <f t="shared" si="6"/>
        <v>0</v>
      </c>
      <c r="L35">
        <f t="shared" si="2"/>
        <v>0</v>
      </c>
      <c r="M35">
        <f t="shared" si="3"/>
        <v>0</v>
      </c>
      <c r="N35">
        <f t="shared" si="4"/>
        <v>0</v>
      </c>
    </row>
    <row r="36" spans="1:14" x14ac:dyDescent="0.2">
      <c r="A36">
        <f t="shared" si="1"/>
        <v>34</v>
      </c>
      <c r="B36" s="1" t="s">
        <v>217</v>
      </c>
      <c r="C36">
        <v>4</v>
      </c>
      <c r="D36">
        <v>-2</v>
      </c>
      <c r="E36">
        <v>0</v>
      </c>
      <c r="F36">
        <v>0</v>
      </c>
      <c r="G36">
        <v>0</v>
      </c>
      <c r="H36">
        <f t="shared" si="0"/>
        <v>65535</v>
      </c>
      <c r="J36">
        <f t="shared" si="5"/>
        <v>-8</v>
      </c>
      <c r="K36">
        <f t="shared" si="6"/>
        <v>0</v>
      </c>
      <c r="L36">
        <f t="shared" si="2"/>
        <v>0</v>
      </c>
      <c r="M36">
        <f t="shared" si="3"/>
        <v>0</v>
      </c>
      <c r="N36">
        <f t="shared" si="4"/>
        <v>0</v>
      </c>
    </row>
    <row r="37" spans="1:14" x14ac:dyDescent="0.2">
      <c r="A37">
        <f t="shared" si="1"/>
        <v>35</v>
      </c>
      <c r="B37" s="1" t="s">
        <v>218</v>
      </c>
      <c r="C37">
        <v>17</v>
      </c>
      <c r="D37">
        <v>-2</v>
      </c>
      <c r="E37">
        <v>0</v>
      </c>
      <c r="F37">
        <v>0</v>
      </c>
      <c r="G37">
        <v>0</v>
      </c>
      <c r="H37">
        <f t="shared" si="0"/>
        <v>65535</v>
      </c>
      <c r="J37">
        <f t="shared" si="5"/>
        <v>0</v>
      </c>
      <c r="K37">
        <f t="shared" si="6"/>
        <v>0</v>
      </c>
      <c r="L37">
        <f t="shared" si="2"/>
        <v>0</v>
      </c>
      <c r="M37">
        <f t="shared" si="3"/>
        <v>0</v>
      </c>
      <c r="N37">
        <f t="shared" si="4"/>
        <v>0</v>
      </c>
    </row>
    <row r="38" spans="1:14" x14ac:dyDescent="0.2">
      <c r="A38">
        <f t="shared" si="1"/>
        <v>36</v>
      </c>
      <c r="B38" s="1" t="s">
        <v>219</v>
      </c>
      <c r="C38">
        <v>19</v>
      </c>
      <c r="D38">
        <v>-2</v>
      </c>
      <c r="E38">
        <v>0</v>
      </c>
      <c r="F38">
        <v>0</v>
      </c>
      <c r="G38">
        <v>0</v>
      </c>
      <c r="H38">
        <f t="shared" si="0"/>
        <v>65535</v>
      </c>
      <c r="J38">
        <f t="shared" si="5"/>
        <v>0</v>
      </c>
      <c r="K38">
        <f t="shared" si="6"/>
        <v>0</v>
      </c>
      <c r="L38">
        <f t="shared" si="2"/>
        <v>0</v>
      </c>
      <c r="M38">
        <f t="shared" si="3"/>
        <v>0</v>
      </c>
      <c r="N38">
        <f t="shared" si="4"/>
        <v>0</v>
      </c>
    </row>
    <row r="39" spans="1:14" x14ac:dyDescent="0.2">
      <c r="A39">
        <f t="shared" si="1"/>
        <v>37</v>
      </c>
      <c r="B39" s="1" t="s">
        <v>220</v>
      </c>
      <c r="C39">
        <v>17</v>
      </c>
      <c r="D39">
        <v>-2</v>
      </c>
      <c r="E39">
        <v>0</v>
      </c>
      <c r="F39">
        <v>0</v>
      </c>
      <c r="G39">
        <v>0</v>
      </c>
      <c r="H39">
        <f t="shared" si="0"/>
        <v>65535</v>
      </c>
      <c r="J39">
        <f t="shared" si="5"/>
        <v>0</v>
      </c>
      <c r="K39">
        <f t="shared" si="6"/>
        <v>0</v>
      </c>
      <c r="L39">
        <f t="shared" si="2"/>
        <v>0</v>
      </c>
      <c r="M39">
        <f t="shared" si="3"/>
        <v>0</v>
      </c>
      <c r="N39">
        <f t="shared" si="4"/>
        <v>0</v>
      </c>
    </row>
    <row r="40" spans="1:14" x14ac:dyDescent="0.2">
      <c r="A40">
        <f t="shared" si="1"/>
        <v>38</v>
      </c>
      <c r="B40" s="1" t="s">
        <v>221</v>
      </c>
      <c r="C40">
        <v>19</v>
      </c>
      <c r="D40">
        <v>-2</v>
      </c>
      <c r="E40">
        <v>0</v>
      </c>
      <c r="F40">
        <v>0</v>
      </c>
      <c r="G40">
        <v>0</v>
      </c>
      <c r="H40">
        <f t="shared" si="0"/>
        <v>65535</v>
      </c>
      <c r="J40">
        <f t="shared" si="5"/>
        <v>0</v>
      </c>
      <c r="K40">
        <f t="shared" si="6"/>
        <v>0</v>
      </c>
      <c r="L40">
        <f t="shared" si="2"/>
        <v>0</v>
      </c>
      <c r="M40">
        <f t="shared" si="3"/>
        <v>0</v>
      </c>
      <c r="N40">
        <f t="shared" si="4"/>
        <v>0</v>
      </c>
    </row>
    <row r="41" spans="1:14" x14ac:dyDescent="0.2">
      <c r="A41">
        <f t="shared" si="1"/>
        <v>39</v>
      </c>
      <c r="B41" s="1" t="s">
        <v>222</v>
      </c>
      <c r="C41">
        <v>17</v>
      </c>
      <c r="D41">
        <v>-2</v>
      </c>
      <c r="E41">
        <v>0</v>
      </c>
      <c r="F41">
        <v>0</v>
      </c>
      <c r="G41">
        <v>0</v>
      </c>
      <c r="H41">
        <f t="shared" si="0"/>
        <v>65535</v>
      </c>
      <c r="J41">
        <f t="shared" si="5"/>
        <v>0</v>
      </c>
      <c r="K41">
        <f t="shared" si="6"/>
        <v>0</v>
      </c>
      <c r="L41">
        <f t="shared" si="2"/>
        <v>0</v>
      </c>
      <c r="M41">
        <f t="shared" si="3"/>
        <v>0</v>
      </c>
      <c r="N41">
        <f t="shared" si="4"/>
        <v>0</v>
      </c>
    </row>
    <row r="42" spans="1:14" x14ac:dyDescent="0.2">
      <c r="A42">
        <f t="shared" si="1"/>
        <v>40</v>
      </c>
      <c r="B42" s="1" t="s">
        <v>223</v>
      </c>
      <c r="C42">
        <v>0</v>
      </c>
      <c r="D42">
        <v>-2</v>
      </c>
      <c r="E42">
        <v>0</v>
      </c>
      <c r="F42">
        <v>0</v>
      </c>
      <c r="G42">
        <v>0</v>
      </c>
      <c r="H42">
        <f t="shared" si="0"/>
        <v>65535</v>
      </c>
      <c r="J42">
        <f t="shared" si="5"/>
        <v>0</v>
      </c>
      <c r="K42">
        <f t="shared" si="6"/>
        <v>0</v>
      </c>
      <c r="L42">
        <f t="shared" si="2"/>
        <v>0</v>
      </c>
      <c r="M42">
        <f t="shared" si="3"/>
        <v>0</v>
      </c>
      <c r="N42">
        <f t="shared" si="4"/>
        <v>0</v>
      </c>
    </row>
    <row r="43" spans="1:14" x14ac:dyDescent="0.2">
      <c r="A43">
        <f t="shared" si="1"/>
        <v>41</v>
      </c>
      <c r="B43" s="1" t="s">
        <v>224</v>
      </c>
      <c r="C43">
        <v>6</v>
      </c>
      <c r="D43">
        <v>-2</v>
      </c>
      <c r="E43">
        <v>0</v>
      </c>
      <c r="F43">
        <v>0</v>
      </c>
      <c r="G43">
        <v>0</v>
      </c>
      <c r="H43">
        <f t="shared" si="0"/>
        <v>65535</v>
      </c>
      <c r="J43">
        <f t="shared" si="5"/>
        <v>-8</v>
      </c>
      <c r="K43">
        <f t="shared" si="6"/>
        <v>0</v>
      </c>
      <c r="L43">
        <f t="shared" si="2"/>
        <v>0</v>
      </c>
      <c r="M43">
        <f t="shared" si="3"/>
        <v>0</v>
      </c>
      <c r="N43">
        <f t="shared" si="4"/>
        <v>0</v>
      </c>
    </row>
    <row r="44" spans="1:14" x14ac:dyDescent="0.2">
      <c r="A44">
        <f t="shared" si="1"/>
        <v>42</v>
      </c>
      <c r="B44" s="1" t="s">
        <v>225</v>
      </c>
      <c r="C44">
        <v>5</v>
      </c>
      <c r="D44">
        <v>0</v>
      </c>
      <c r="E44">
        <v>0</v>
      </c>
      <c r="F44">
        <v>0</v>
      </c>
      <c r="G44">
        <v>0</v>
      </c>
      <c r="H44">
        <f t="shared" si="0"/>
        <v>65535</v>
      </c>
      <c r="J44">
        <f t="shared" si="5"/>
        <v>-8</v>
      </c>
      <c r="K44">
        <f t="shared" si="6"/>
        <v>0</v>
      </c>
      <c r="L44">
        <f t="shared" si="2"/>
        <v>0</v>
      </c>
      <c r="M44">
        <f t="shared" si="3"/>
        <v>0</v>
      </c>
      <c r="N44">
        <f t="shared" si="4"/>
        <v>0</v>
      </c>
    </row>
    <row r="45" spans="1:14" x14ac:dyDescent="0.2">
      <c r="A45">
        <f t="shared" si="1"/>
        <v>43</v>
      </c>
      <c r="B45" s="1" t="s">
        <v>226</v>
      </c>
      <c r="C45">
        <v>6</v>
      </c>
      <c r="D45">
        <v>0</v>
      </c>
      <c r="E45">
        <v>-5</v>
      </c>
      <c r="F45">
        <v>-2</v>
      </c>
      <c r="G45">
        <v>-1</v>
      </c>
      <c r="H45">
        <f t="shared" si="0"/>
        <v>65535</v>
      </c>
      <c r="J45">
        <f t="shared" si="5"/>
        <v>-8</v>
      </c>
      <c r="K45">
        <f t="shared" si="6"/>
        <v>0</v>
      </c>
      <c r="L45">
        <f t="shared" si="2"/>
        <v>0</v>
      </c>
      <c r="M45">
        <f t="shared" si="3"/>
        <v>0</v>
      </c>
      <c r="N45">
        <f t="shared" si="4"/>
        <v>0</v>
      </c>
    </row>
    <row r="46" spans="1:14" x14ac:dyDescent="0.2">
      <c r="A46">
        <f t="shared" si="1"/>
        <v>44</v>
      </c>
      <c r="B46" s="1" t="s">
        <v>227</v>
      </c>
      <c r="C46">
        <v>5</v>
      </c>
      <c r="D46">
        <v>0</v>
      </c>
      <c r="E46">
        <v>-5</v>
      </c>
      <c r="F46">
        <v>-2</v>
      </c>
      <c r="G46">
        <v>-1</v>
      </c>
      <c r="H46">
        <f t="shared" si="0"/>
        <v>65535</v>
      </c>
      <c r="J46">
        <f t="shared" si="5"/>
        <v>-8</v>
      </c>
      <c r="K46">
        <f t="shared" si="6"/>
        <v>0</v>
      </c>
      <c r="L46">
        <f t="shared" si="2"/>
        <v>0</v>
      </c>
      <c r="M46">
        <f t="shared" si="3"/>
        <v>0</v>
      </c>
      <c r="N46">
        <f t="shared" si="4"/>
        <v>0</v>
      </c>
    </row>
    <row r="47" spans="1:14" ht="29" customHeight="1" x14ac:dyDescent="0.2">
      <c r="A47">
        <f t="shared" si="1"/>
        <v>45</v>
      </c>
      <c r="B47" s="1" t="s">
        <v>228</v>
      </c>
      <c r="C47">
        <v>13</v>
      </c>
      <c r="D47">
        <v>0</v>
      </c>
      <c r="E47">
        <v>5</v>
      </c>
      <c r="F47">
        <v>2</v>
      </c>
      <c r="G47">
        <v>1</v>
      </c>
      <c r="H47">
        <f t="shared" si="0"/>
        <v>65535</v>
      </c>
      <c r="J47">
        <f>C47-C19</f>
        <v>8</v>
      </c>
      <c r="K47">
        <f>D47-D19</f>
        <v>0</v>
      </c>
      <c r="L47">
        <f t="shared" ref="L47:L74" si="7">E47+E19</f>
        <v>0</v>
      </c>
      <c r="M47">
        <f t="shared" ref="M47:M74" si="8">F47+F19</f>
        <v>0</v>
      </c>
      <c r="N47">
        <f t="shared" ref="N47:N74" si="9">G47+G19</f>
        <v>0</v>
      </c>
    </row>
    <row r="48" spans="1:14" x14ac:dyDescent="0.2">
      <c r="A48">
        <f t="shared" si="1"/>
        <v>46</v>
      </c>
      <c r="B48" s="1" t="s">
        <v>229</v>
      </c>
      <c r="C48">
        <v>14</v>
      </c>
      <c r="D48">
        <v>0</v>
      </c>
      <c r="E48">
        <v>5</v>
      </c>
      <c r="F48">
        <v>2</v>
      </c>
      <c r="G48">
        <v>1</v>
      </c>
      <c r="H48">
        <f t="shared" si="0"/>
        <v>65535</v>
      </c>
      <c r="J48">
        <f t="shared" ref="J48:J74" si="10">C48-C20</f>
        <v>8</v>
      </c>
      <c r="K48">
        <f t="shared" ref="K48:K74" si="11">D48-D20</f>
        <v>0</v>
      </c>
      <c r="L48">
        <f t="shared" si="7"/>
        <v>0</v>
      </c>
      <c r="M48">
        <f t="shared" si="8"/>
        <v>0</v>
      </c>
      <c r="N48">
        <f t="shared" si="9"/>
        <v>0</v>
      </c>
    </row>
    <row r="49" spans="1:14" x14ac:dyDescent="0.2">
      <c r="A49">
        <f t="shared" si="1"/>
        <v>47</v>
      </c>
      <c r="B49" s="1" t="s">
        <v>230</v>
      </c>
      <c r="C49">
        <v>13</v>
      </c>
      <c r="D49">
        <v>0</v>
      </c>
      <c r="E49">
        <v>0</v>
      </c>
      <c r="F49">
        <v>0</v>
      </c>
      <c r="G49">
        <v>0</v>
      </c>
      <c r="H49">
        <f t="shared" si="0"/>
        <v>65535</v>
      </c>
      <c r="J49">
        <f t="shared" si="10"/>
        <v>8</v>
      </c>
      <c r="K49">
        <f t="shared" si="11"/>
        <v>0</v>
      </c>
      <c r="L49">
        <f t="shared" si="7"/>
        <v>0</v>
      </c>
      <c r="M49">
        <f t="shared" si="8"/>
        <v>0</v>
      </c>
      <c r="N49">
        <f t="shared" si="9"/>
        <v>0</v>
      </c>
    </row>
    <row r="50" spans="1:14" x14ac:dyDescent="0.2">
      <c r="A50">
        <f t="shared" si="1"/>
        <v>48</v>
      </c>
      <c r="B50" s="1" t="s">
        <v>231</v>
      </c>
      <c r="C50">
        <v>14</v>
      </c>
      <c r="D50">
        <v>2</v>
      </c>
      <c r="E50">
        <v>0</v>
      </c>
      <c r="F50">
        <v>0</v>
      </c>
      <c r="G50">
        <v>0</v>
      </c>
      <c r="H50">
        <f t="shared" si="0"/>
        <v>65535</v>
      </c>
      <c r="J50">
        <f t="shared" si="10"/>
        <v>8</v>
      </c>
      <c r="K50">
        <f t="shared" si="11"/>
        <v>0</v>
      </c>
      <c r="L50">
        <f t="shared" si="7"/>
        <v>0</v>
      </c>
      <c r="M50">
        <f t="shared" si="8"/>
        <v>0</v>
      </c>
      <c r="N50">
        <f t="shared" si="9"/>
        <v>0</v>
      </c>
    </row>
    <row r="51" spans="1:14" x14ac:dyDescent="0.2">
      <c r="A51">
        <f t="shared" si="1"/>
        <v>49</v>
      </c>
      <c r="B51" s="1" t="s">
        <v>232</v>
      </c>
      <c r="C51">
        <v>0</v>
      </c>
      <c r="D51">
        <v>2</v>
      </c>
      <c r="E51">
        <v>0</v>
      </c>
      <c r="F51">
        <v>0</v>
      </c>
      <c r="G51">
        <v>0</v>
      </c>
      <c r="H51">
        <f t="shared" si="0"/>
        <v>65535</v>
      </c>
      <c r="J51">
        <f t="shared" si="10"/>
        <v>0</v>
      </c>
      <c r="K51">
        <f t="shared" si="11"/>
        <v>0</v>
      </c>
      <c r="L51">
        <f t="shared" si="7"/>
        <v>0</v>
      </c>
      <c r="M51">
        <f t="shared" si="8"/>
        <v>0</v>
      </c>
      <c r="N51">
        <f t="shared" si="9"/>
        <v>0</v>
      </c>
    </row>
    <row r="52" spans="1:14" x14ac:dyDescent="0.2">
      <c r="A52">
        <f t="shared" si="1"/>
        <v>50</v>
      </c>
      <c r="B52" s="1" t="s">
        <v>233</v>
      </c>
      <c r="C52">
        <v>17</v>
      </c>
      <c r="D52">
        <v>2</v>
      </c>
      <c r="E52">
        <v>0</v>
      </c>
      <c r="F52">
        <v>0</v>
      </c>
      <c r="G52">
        <v>0</v>
      </c>
      <c r="H52">
        <f t="shared" si="0"/>
        <v>65535</v>
      </c>
      <c r="J52">
        <f t="shared" si="10"/>
        <v>0</v>
      </c>
      <c r="K52">
        <f t="shared" si="11"/>
        <v>0</v>
      </c>
      <c r="L52">
        <f t="shared" si="7"/>
        <v>0</v>
      </c>
      <c r="M52">
        <f t="shared" si="8"/>
        <v>0</v>
      </c>
      <c r="N52">
        <f t="shared" si="9"/>
        <v>0</v>
      </c>
    </row>
    <row r="53" spans="1:14" x14ac:dyDescent="0.2">
      <c r="A53">
        <f t="shared" si="1"/>
        <v>51</v>
      </c>
      <c r="B53" s="1" t="s">
        <v>234</v>
      </c>
      <c r="C53">
        <v>19</v>
      </c>
      <c r="D53">
        <v>2</v>
      </c>
      <c r="E53">
        <v>0</v>
      </c>
      <c r="F53">
        <v>0</v>
      </c>
      <c r="G53">
        <v>0</v>
      </c>
      <c r="H53">
        <f t="shared" si="0"/>
        <v>65535</v>
      </c>
      <c r="J53">
        <f t="shared" si="10"/>
        <v>0</v>
      </c>
      <c r="K53">
        <f t="shared" si="11"/>
        <v>0</v>
      </c>
      <c r="L53">
        <f t="shared" si="7"/>
        <v>0</v>
      </c>
      <c r="M53">
        <f t="shared" si="8"/>
        <v>0</v>
      </c>
      <c r="N53">
        <f t="shared" si="9"/>
        <v>0</v>
      </c>
    </row>
    <row r="54" spans="1:14" x14ac:dyDescent="0.2">
      <c r="A54">
        <f t="shared" si="1"/>
        <v>52</v>
      </c>
      <c r="B54" s="1" t="s">
        <v>235</v>
      </c>
      <c r="C54">
        <v>17</v>
      </c>
      <c r="D54">
        <v>2</v>
      </c>
      <c r="E54">
        <v>0</v>
      </c>
      <c r="F54">
        <v>0</v>
      </c>
      <c r="G54">
        <v>0</v>
      </c>
      <c r="H54">
        <f t="shared" si="0"/>
        <v>65535</v>
      </c>
      <c r="J54">
        <f t="shared" si="10"/>
        <v>0</v>
      </c>
      <c r="K54">
        <f t="shared" si="11"/>
        <v>0</v>
      </c>
      <c r="L54">
        <f t="shared" si="7"/>
        <v>0</v>
      </c>
      <c r="M54">
        <f t="shared" si="8"/>
        <v>0</v>
      </c>
      <c r="N54">
        <f t="shared" si="9"/>
        <v>0</v>
      </c>
    </row>
    <row r="55" spans="1:14" x14ac:dyDescent="0.2">
      <c r="A55">
        <f t="shared" si="1"/>
        <v>53</v>
      </c>
      <c r="B55" s="1" t="s">
        <v>236</v>
      </c>
      <c r="C55">
        <v>19</v>
      </c>
      <c r="D55">
        <v>2</v>
      </c>
      <c r="E55">
        <v>0</v>
      </c>
      <c r="F55">
        <v>0</v>
      </c>
      <c r="G55">
        <v>0</v>
      </c>
      <c r="H55">
        <f t="shared" si="0"/>
        <v>65535</v>
      </c>
      <c r="J55">
        <f t="shared" si="10"/>
        <v>0</v>
      </c>
      <c r="K55">
        <f t="shared" si="11"/>
        <v>0</v>
      </c>
      <c r="L55">
        <f t="shared" si="7"/>
        <v>0</v>
      </c>
      <c r="M55">
        <f t="shared" si="8"/>
        <v>0</v>
      </c>
      <c r="N55">
        <f t="shared" si="9"/>
        <v>0</v>
      </c>
    </row>
    <row r="56" spans="1:14" x14ac:dyDescent="0.2">
      <c r="A56">
        <f t="shared" si="1"/>
        <v>54</v>
      </c>
      <c r="B56" s="1" t="s">
        <v>237</v>
      </c>
      <c r="C56">
        <v>17</v>
      </c>
      <c r="D56">
        <v>2</v>
      </c>
      <c r="E56">
        <v>0</v>
      </c>
      <c r="F56">
        <v>0</v>
      </c>
      <c r="G56">
        <v>0</v>
      </c>
      <c r="H56">
        <f t="shared" si="0"/>
        <v>65535</v>
      </c>
      <c r="J56">
        <f t="shared" si="10"/>
        <v>0</v>
      </c>
      <c r="K56">
        <f t="shared" si="11"/>
        <v>0</v>
      </c>
      <c r="L56">
        <f t="shared" si="7"/>
        <v>0</v>
      </c>
      <c r="M56">
        <f t="shared" si="8"/>
        <v>0</v>
      </c>
      <c r="N56">
        <f t="shared" si="9"/>
        <v>0</v>
      </c>
    </row>
    <row r="57" spans="1:14" x14ac:dyDescent="0.2">
      <c r="A57">
        <f t="shared" si="1"/>
        <v>55</v>
      </c>
      <c r="B57" s="1" t="s">
        <v>238</v>
      </c>
      <c r="C57">
        <v>12</v>
      </c>
      <c r="D57">
        <v>2</v>
      </c>
      <c r="E57">
        <v>0</v>
      </c>
      <c r="F57">
        <v>0</v>
      </c>
      <c r="G57">
        <v>0</v>
      </c>
      <c r="H57">
        <f t="shared" si="0"/>
        <v>65535</v>
      </c>
      <c r="J57">
        <f t="shared" si="10"/>
        <v>8</v>
      </c>
      <c r="K57">
        <f t="shared" si="11"/>
        <v>0</v>
      </c>
      <c r="L57">
        <f t="shared" si="7"/>
        <v>0</v>
      </c>
      <c r="M57">
        <f t="shared" si="8"/>
        <v>0</v>
      </c>
      <c r="N57">
        <f t="shared" si="9"/>
        <v>0</v>
      </c>
    </row>
    <row r="58" spans="1:14" x14ac:dyDescent="0.2">
      <c r="A58">
        <f t="shared" si="1"/>
        <v>56</v>
      </c>
      <c r="B58" s="1" t="s">
        <v>239</v>
      </c>
      <c r="C58">
        <v>13</v>
      </c>
      <c r="D58">
        <v>0</v>
      </c>
      <c r="E58">
        <v>5</v>
      </c>
      <c r="F58">
        <v>2</v>
      </c>
      <c r="G58">
        <v>1</v>
      </c>
      <c r="H58">
        <f t="shared" si="0"/>
        <v>65535</v>
      </c>
      <c r="J58">
        <f t="shared" si="10"/>
        <v>8</v>
      </c>
      <c r="K58">
        <f t="shared" si="11"/>
        <v>0</v>
      </c>
      <c r="L58">
        <f t="shared" si="7"/>
        <v>0</v>
      </c>
      <c r="M58">
        <f t="shared" si="8"/>
        <v>0</v>
      </c>
      <c r="N58">
        <f t="shared" si="9"/>
        <v>0</v>
      </c>
    </row>
    <row r="59" spans="1:14" x14ac:dyDescent="0.2">
      <c r="A59">
        <f t="shared" si="1"/>
        <v>57</v>
      </c>
      <c r="B59" s="1" t="s">
        <v>240</v>
      </c>
      <c r="C59">
        <v>14</v>
      </c>
      <c r="D59">
        <v>0</v>
      </c>
      <c r="E59">
        <v>5</v>
      </c>
      <c r="F59">
        <v>2</v>
      </c>
      <c r="G59">
        <v>1</v>
      </c>
      <c r="H59">
        <f t="shared" si="0"/>
        <v>65535</v>
      </c>
      <c r="J59">
        <f t="shared" si="10"/>
        <v>8</v>
      </c>
      <c r="K59">
        <f t="shared" si="11"/>
        <v>0</v>
      </c>
      <c r="L59">
        <f t="shared" si="7"/>
        <v>0</v>
      </c>
      <c r="M59">
        <f t="shared" si="8"/>
        <v>0</v>
      </c>
      <c r="N59">
        <f t="shared" si="9"/>
        <v>0</v>
      </c>
    </row>
    <row r="60" spans="1:14" x14ac:dyDescent="0.2">
      <c r="A60">
        <f t="shared" si="1"/>
        <v>58</v>
      </c>
      <c r="B60" s="1" t="s">
        <v>241</v>
      </c>
      <c r="C60">
        <v>13</v>
      </c>
      <c r="D60">
        <v>0</v>
      </c>
      <c r="E60">
        <v>5</v>
      </c>
      <c r="F60">
        <v>0</v>
      </c>
      <c r="G60">
        <v>1</v>
      </c>
      <c r="H60">
        <f t="shared" si="0"/>
        <v>65535</v>
      </c>
      <c r="J60">
        <f t="shared" si="10"/>
        <v>8</v>
      </c>
      <c r="K60">
        <f t="shared" si="11"/>
        <v>0</v>
      </c>
      <c r="L60">
        <f t="shared" si="7"/>
        <v>0</v>
      </c>
      <c r="M60">
        <f t="shared" si="8"/>
        <v>0</v>
      </c>
      <c r="N60">
        <f t="shared" si="9"/>
        <v>0</v>
      </c>
    </row>
    <row r="61" spans="1:14" x14ac:dyDescent="0.2">
      <c r="A61">
        <f t="shared" si="1"/>
        <v>59</v>
      </c>
      <c r="B61" s="1" t="s">
        <v>242</v>
      </c>
      <c r="C61">
        <v>13</v>
      </c>
      <c r="D61">
        <v>0</v>
      </c>
      <c r="E61">
        <v>5</v>
      </c>
      <c r="F61">
        <v>2</v>
      </c>
      <c r="G61">
        <v>1</v>
      </c>
      <c r="H61">
        <f t="shared" si="0"/>
        <v>65535</v>
      </c>
      <c r="J61">
        <f t="shared" si="10"/>
        <v>8</v>
      </c>
      <c r="K61">
        <f t="shared" si="11"/>
        <v>0</v>
      </c>
      <c r="L61">
        <f t="shared" si="7"/>
        <v>0</v>
      </c>
      <c r="M61">
        <f t="shared" si="8"/>
        <v>0</v>
      </c>
      <c r="N61">
        <f t="shared" si="9"/>
        <v>0</v>
      </c>
    </row>
    <row r="62" spans="1:14" x14ac:dyDescent="0.2">
      <c r="A62">
        <f t="shared" si="1"/>
        <v>60</v>
      </c>
      <c r="B62" s="1" t="s">
        <v>243</v>
      </c>
      <c r="C62">
        <v>14</v>
      </c>
      <c r="D62">
        <v>0</v>
      </c>
      <c r="E62">
        <v>5</v>
      </c>
      <c r="F62">
        <v>2</v>
      </c>
      <c r="G62">
        <v>1</v>
      </c>
      <c r="H62">
        <f t="shared" si="0"/>
        <v>65535</v>
      </c>
      <c r="J62">
        <f t="shared" si="10"/>
        <v>8</v>
      </c>
      <c r="K62">
        <f t="shared" si="11"/>
        <v>0</v>
      </c>
      <c r="L62">
        <f t="shared" si="7"/>
        <v>0</v>
      </c>
      <c r="M62">
        <f t="shared" si="8"/>
        <v>0</v>
      </c>
      <c r="N62">
        <f t="shared" si="9"/>
        <v>0</v>
      </c>
    </row>
    <row r="63" spans="1:14" x14ac:dyDescent="0.2">
      <c r="A63">
        <f t="shared" si="1"/>
        <v>61</v>
      </c>
      <c r="B63" s="1" t="s">
        <v>244</v>
      </c>
      <c r="C63">
        <v>13</v>
      </c>
      <c r="D63">
        <v>0</v>
      </c>
      <c r="E63">
        <v>0</v>
      </c>
      <c r="F63">
        <v>0</v>
      </c>
      <c r="G63">
        <v>0</v>
      </c>
      <c r="H63">
        <f t="shared" si="0"/>
        <v>65535</v>
      </c>
      <c r="J63">
        <f t="shared" si="10"/>
        <v>8</v>
      </c>
      <c r="K63">
        <f t="shared" si="11"/>
        <v>0</v>
      </c>
      <c r="L63">
        <f t="shared" si="7"/>
        <v>0</v>
      </c>
      <c r="M63">
        <f t="shared" si="8"/>
        <v>0</v>
      </c>
      <c r="N63">
        <f t="shared" si="9"/>
        <v>0</v>
      </c>
    </row>
    <row r="64" spans="1:14" x14ac:dyDescent="0.2">
      <c r="A64">
        <f t="shared" si="1"/>
        <v>62</v>
      </c>
      <c r="B64" s="1" t="s">
        <v>245</v>
      </c>
      <c r="C64">
        <v>12</v>
      </c>
      <c r="D64">
        <v>-2</v>
      </c>
      <c r="E64">
        <v>0</v>
      </c>
      <c r="F64">
        <v>0</v>
      </c>
      <c r="G64">
        <v>0</v>
      </c>
      <c r="H64">
        <f t="shared" si="0"/>
        <v>65535</v>
      </c>
      <c r="J64">
        <f t="shared" si="10"/>
        <v>8</v>
      </c>
      <c r="K64">
        <f t="shared" si="11"/>
        <v>0</v>
      </c>
      <c r="L64">
        <f t="shared" si="7"/>
        <v>0</v>
      </c>
      <c r="M64">
        <f t="shared" si="8"/>
        <v>0</v>
      </c>
      <c r="N64">
        <f t="shared" si="9"/>
        <v>0</v>
      </c>
    </row>
    <row r="65" spans="1:14" x14ac:dyDescent="0.2">
      <c r="A65">
        <f t="shared" si="1"/>
        <v>63</v>
      </c>
      <c r="B65" s="1" t="s">
        <v>246</v>
      </c>
      <c r="C65">
        <v>17</v>
      </c>
      <c r="D65">
        <v>-2</v>
      </c>
      <c r="E65">
        <v>0</v>
      </c>
      <c r="F65">
        <v>0</v>
      </c>
      <c r="G65">
        <v>0</v>
      </c>
      <c r="H65">
        <f t="shared" si="0"/>
        <v>65535</v>
      </c>
      <c r="J65">
        <f t="shared" si="10"/>
        <v>0</v>
      </c>
      <c r="K65">
        <f t="shared" si="11"/>
        <v>0</v>
      </c>
      <c r="L65">
        <f t="shared" si="7"/>
        <v>0</v>
      </c>
      <c r="M65">
        <f t="shared" si="8"/>
        <v>0</v>
      </c>
      <c r="N65">
        <f t="shared" si="9"/>
        <v>0</v>
      </c>
    </row>
    <row r="66" spans="1:14" x14ac:dyDescent="0.2">
      <c r="A66">
        <f t="shared" si="1"/>
        <v>64</v>
      </c>
      <c r="B66" s="1" t="s">
        <v>247</v>
      </c>
      <c r="C66">
        <v>19</v>
      </c>
      <c r="D66">
        <v>-2</v>
      </c>
      <c r="E66">
        <v>0</v>
      </c>
      <c r="F66">
        <v>0</v>
      </c>
      <c r="G66">
        <v>0</v>
      </c>
      <c r="H66">
        <f t="shared" ref="H66:H129" si="12">_xlfn.XLOOKUP(I66,$B$2:$B$982,$A$2:$A$982,65535)</f>
        <v>65535</v>
      </c>
      <c r="J66">
        <f t="shared" si="10"/>
        <v>0</v>
      </c>
      <c r="K66">
        <f t="shared" si="11"/>
        <v>0</v>
      </c>
      <c r="L66">
        <f t="shared" si="7"/>
        <v>0</v>
      </c>
      <c r="M66">
        <f t="shared" si="8"/>
        <v>0</v>
      </c>
      <c r="N66">
        <f t="shared" si="9"/>
        <v>0</v>
      </c>
    </row>
    <row r="67" spans="1:14" x14ac:dyDescent="0.2">
      <c r="A67">
        <f t="shared" si="1"/>
        <v>65</v>
      </c>
      <c r="B67" s="1" t="s">
        <v>248</v>
      </c>
      <c r="C67">
        <v>17</v>
      </c>
      <c r="D67">
        <v>-2</v>
      </c>
      <c r="E67">
        <v>0</v>
      </c>
      <c r="F67">
        <v>0</v>
      </c>
      <c r="G67">
        <v>0</v>
      </c>
      <c r="H67">
        <f t="shared" si="12"/>
        <v>65535</v>
      </c>
      <c r="J67">
        <f t="shared" si="10"/>
        <v>0</v>
      </c>
      <c r="K67">
        <f t="shared" si="11"/>
        <v>0</v>
      </c>
      <c r="L67">
        <f t="shared" si="7"/>
        <v>0</v>
      </c>
      <c r="M67">
        <f t="shared" si="8"/>
        <v>0</v>
      </c>
      <c r="N67">
        <f t="shared" si="9"/>
        <v>0</v>
      </c>
    </row>
    <row r="68" spans="1:14" x14ac:dyDescent="0.2">
      <c r="A68">
        <f t="shared" ref="A68:A131" si="13">A67+1</f>
        <v>66</v>
      </c>
      <c r="B68" s="1" t="s">
        <v>249</v>
      </c>
      <c r="C68">
        <v>19</v>
      </c>
      <c r="D68">
        <v>-2</v>
      </c>
      <c r="E68">
        <v>0</v>
      </c>
      <c r="F68">
        <v>0</v>
      </c>
      <c r="G68">
        <v>0</v>
      </c>
      <c r="H68">
        <f t="shared" si="12"/>
        <v>65535</v>
      </c>
      <c r="J68">
        <f t="shared" si="10"/>
        <v>0</v>
      </c>
      <c r="K68">
        <f t="shared" si="11"/>
        <v>0</v>
      </c>
      <c r="L68">
        <f t="shared" si="7"/>
        <v>0</v>
      </c>
      <c r="M68">
        <f t="shared" si="8"/>
        <v>0</v>
      </c>
      <c r="N68">
        <f t="shared" si="9"/>
        <v>0</v>
      </c>
    </row>
    <row r="69" spans="1:14" x14ac:dyDescent="0.2">
      <c r="A69">
        <f t="shared" si="13"/>
        <v>67</v>
      </c>
      <c r="B69" s="1" t="s">
        <v>250</v>
      </c>
      <c r="C69">
        <v>17</v>
      </c>
      <c r="D69">
        <v>-2</v>
      </c>
      <c r="E69">
        <v>0</v>
      </c>
      <c r="F69">
        <v>0</v>
      </c>
      <c r="G69">
        <v>0</v>
      </c>
      <c r="H69">
        <f t="shared" si="12"/>
        <v>65535</v>
      </c>
      <c r="J69">
        <f t="shared" si="10"/>
        <v>0</v>
      </c>
      <c r="K69">
        <f t="shared" si="11"/>
        <v>0</v>
      </c>
      <c r="L69">
        <f t="shared" si="7"/>
        <v>0</v>
      </c>
      <c r="M69">
        <f t="shared" si="8"/>
        <v>0</v>
      </c>
      <c r="N69">
        <f t="shared" si="9"/>
        <v>0</v>
      </c>
    </row>
    <row r="70" spans="1:14" x14ac:dyDescent="0.2">
      <c r="A70">
        <f t="shared" si="13"/>
        <v>68</v>
      </c>
      <c r="B70" s="1" t="s">
        <v>251</v>
      </c>
      <c r="C70">
        <v>0</v>
      </c>
      <c r="D70">
        <v>-2</v>
      </c>
      <c r="E70">
        <v>0</v>
      </c>
      <c r="F70">
        <v>0</v>
      </c>
      <c r="G70">
        <v>0</v>
      </c>
      <c r="H70">
        <f t="shared" si="12"/>
        <v>65535</v>
      </c>
      <c r="J70">
        <f t="shared" si="10"/>
        <v>0</v>
      </c>
      <c r="K70">
        <f t="shared" si="11"/>
        <v>0</v>
      </c>
      <c r="L70">
        <f t="shared" si="7"/>
        <v>0</v>
      </c>
      <c r="M70">
        <f t="shared" si="8"/>
        <v>0</v>
      </c>
      <c r="N70">
        <f t="shared" si="9"/>
        <v>0</v>
      </c>
    </row>
    <row r="71" spans="1:14" x14ac:dyDescent="0.2">
      <c r="A71">
        <f t="shared" si="13"/>
        <v>69</v>
      </c>
      <c r="B71" s="1" t="s">
        <v>252</v>
      </c>
      <c r="C71">
        <v>14</v>
      </c>
      <c r="D71">
        <v>-2</v>
      </c>
      <c r="E71">
        <v>0</v>
      </c>
      <c r="F71">
        <v>0</v>
      </c>
      <c r="G71">
        <v>0</v>
      </c>
      <c r="H71">
        <f t="shared" si="12"/>
        <v>65535</v>
      </c>
      <c r="J71">
        <f t="shared" si="10"/>
        <v>8</v>
      </c>
      <c r="K71">
        <f t="shared" si="11"/>
        <v>0</v>
      </c>
      <c r="L71">
        <f t="shared" si="7"/>
        <v>0</v>
      </c>
      <c r="M71">
        <f t="shared" si="8"/>
        <v>0</v>
      </c>
      <c r="N71">
        <f t="shared" si="9"/>
        <v>0</v>
      </c>
    </row>
    <row r="72" spans="1:14" x14ac:dyDescent="0.2">
      <c r="A72">
        <f t="shared" si="13"/>
        <v>70</v>
      </c>
      <c r="B72" s="1" t="s">
        <v>253</v>
      </c>
      <c r="C72">
        <v>13</v>
      </c>
      <c r="D72">
        <v>0</v>
      </c>
      <c r="E72">
        <v>0</v>
      </c>
      <c r="F72">
        <v>0</v>
      </c>
      <c r="G72">
        <v>0</v>
      </c>
      <c r="H72">
        <f t="shared" si="12"/>
        <v>65535</v>
      </c>
      <c r="J72">
        <f t="shared" si="10"/>
        <v>8</v>
      </c>
      <c r="K72">
        <f t="shared" si="11"/>
        <v>0</v>
      </c>
      <c r="L72">
        <f t="shared" si="7"/>
        <v>0</v>
      </c>
      <c r="M72">
        <f t="shared" si="8"/>
        <v>0</v>
      </c>
      <c r="N72">
        <f t="shared" si="9"/>
        <v>0</v>
      </c>
    </row>
    <row r="73" spans="1:14" x14ac:dyDescent="0.2">
      <c r="A73">
        <f t="shared" si="13"/>
        <v>71</v>
      </c>
      <c r="B73" s="1" t="s">
        <v>254</v>
      </c>
      <c r="C73">
        <v>14</v>
      </c>
      <c r="D73">
        <v>0</v>
      </c>
      <c r="E73">
        <v>5</v>
      </c>
      <c r="F73">
        <v>2</v>
      </c>
      <c r="G73">
        <v>1</v>
      </c>
      <c r="H73">
        <f t="shared" si="12"/>
        <v>65535</v>
      </c>
      <c r="J73">
        <f t="shared" si="10"/>
        <v>8</v>
      </c>
      <c r="K73">
        <f t="shared" si="11"/>
        <v>0</v>
      </c>
      <c r="L73">
        <f t="shared" si="7"/>
        <v>0</v>
      </c>
      <c r="M73">
        <f t="shared" si="8"/>
        <v>0</v>
      </c>
      <c r="N73">
        <f t="shared" si="9"/>
        <v>0</v>
      </c>
    </row>
    <row r="74" spans="1:14" x14ac:dyDescent="0.2">
      <c r="A74">
        <f t="shared" si="13"/>
        <v>72</v>
      </c>
      <c r="B74" s="1" t="s">
        <v>255</v>
      </c>
      <c r="C74">
        <v>13</v>
      </c>
      <c r="D74">
        <v>0</v>
      </c>
      <c r="E74">
        <v>5</v>
      </c>
      <c r="F74">
        <v>2</v>
      </c>
      <c r="G74">
        <v>1</v>
      </c>
      <c r="H74">
        <f t="shared" si="12"/>
        <v>65535</v>
      </c>
      <c r="J74">
        <f t="shared" si="10"/>
        <v>8</v>
      </c>
      <c r="K74">
        <f t="shared" si="11"/>
        <v>0</v>
      </c>
      <c r="L74">
        <f t="shared" si="7"/>
        <v>0</v>
      </c>
      <c r="M74">
        <f t="shared" si="8"/>
        <v>0</v>
      </c>
      <c r="N74">
        <f t="shared" si="9"/>
        <v>0</v>
      </c>
    </row>
    <row r="75" spans="1:14" x14ac:dyDescent="0.2">
      <c r="A75">
        <f t="shared" si="13"/>
        <v>73</v>
      </c>
      <c r="B75" s="5" t="s">
        <v>326</v>
      </c>
      <c r="C75">
        <v>16</v>
      </c>
      <c r="D75">
        <v>-4</v>
      </c>
      <c r="E75">
        <v>0</v>
      </c>
      <c r="F75">
        <v>0</v>
      </c>
      <c r="G75">
        <v>0</v>
      </c>
      <c r="H75">
        <f t="shared" si="12"/>
        <v>65535</v>
      </c>
    </row>
    <row r="76" spans="1:14" x14ac:dyDescent="0.2">
      <c r="A76">
        <f t="shared" si="13"/>
        <v>74</v>
      </c>
      <c r="B76" s="5" t="s">
        <v>327</v>
      </c>
      <c r="C76">
        <v>16</v>
      </c>
      <c r="D76">
        <v>-4</v>
      </c>
      <c r="E76">
        <v>0</v>
      </c>
      <c r="F76">
        <v>0</v>
      </c>
      <c r="G76">
        <v>0</v>
      </c>
      <c r="H76">
        <f t="shared" si="12"/>
        <v>65535</v>
      </c>
    </row>
    <row r="77" spans="1:14" s="4" customFormat="1" x14ac:dyDescent="0.2">
      <c r="A77">
        <f t="shared" si="13"/>
        <v>75</v>
      </c>
      <c r="B77" s="5" t="s">
        <v>329</v>
      </c>
      <c r="C77" s="4">
        <v>0</v>
      </c>
      <c r="D77" s="4">
        <v>-4</v>
      </c>
      <c r="E77" s="4">
        <v>0</v>
      </c>
      <c r="F77" s="4">
        <v>0</v>
      </c>
      <c r="G77" s="4">
        <v>0</v>
      </c>
      <c r="H77">
        <f t="shared" si="12"/>
        <v>65535</v>
      </c>
    </row>
    <row r="78" spans="1:14" s="4" customFormat="1" x14ac:dyDescent="0.2">
      <c r="A78">
        <f t="shared" si="13"/>
        <v>76</v>
      </c>
      <c r="B78" s="5" t="s">
        <v>328</v>
      </c>
      <c r="C78" s="4">
        <v>0</v>
      </c>
      <c r="D78" s="4">
        <v>-4</v>
      </c>
      <c r="E78" s="4">
        <v>0</v>
      </c>
      <c r="F78" s="4">
        <v>0</v>
      </c>
      <c r="G78" s="4">
        <v>0</v>
      </c>
      <c r="H78">
        <f t="shared" si="12"/>
        <v>65535</v>
      </c>
    </row>
    <row r="79" spans="1:14" s="4" customFormat="1" x14ac:dyDescent="0.2">
      <c r="A79">
        <f t="shared" si="13"/>
        <v>77</v>
      </c>
      <c r="B79" s="5" t="s">
        <v>330</v>
      </c>
      <c r="C79" s="4">
        <v>2</v>
      </c>
      <c r="D79" s="4">
        <v>0</v>
      </c>
      <c r="E79" s="4">
        <v>0</v>
      </c>
      <c r="F79" s="4">
        <v>0</v>
      </c>
      <c r="G79" s="4">
        <v>0</v>
      </c>
      <c r="H79">
        <f t="shared" si="12"/>
        <v>65535</v>
      </c>
    </row>
    <row r="80" spans="1:14" s="4" customFormat="1" x14ac:dyDescent="0.2">
      <c r="A80">
        <f t="shared" si="13"/>
        <v>78</v>
      </c>
      <c r="B80" s="5" t="s">
        <v>331</v>
      </c>
      <c r="C80" s="4">
        <v>0</v>
      </c>
      <c r="D80" s="4">
        <v>0</v>
      </c>
      <c r="E80" s="4">
        <v>0</v>
      </c>
      <c r="F80" s="4">
        <v>0</v>
      </c>
      <c r="G80" s="4">
        <v>0</v>
      </c>
      <c r="H80">
        <f t="shared" si="12"/>
        <v>65535</v>
      </c>
    </row>
    <row r="81" spans="1:8" x14ac:dyDescent="0.2">
      <c r="A81">
        <f t="shared" si="13"/>
        <v>79</v>
      </c>
      <c r="B81" s="1" t="s">
        <v>400</v>
      </c>
      <c r="C81">
        <v>0</v>
      </c>
      <c r="D81">
        <v>-3</v>
      </c>
      <c r="E81">
        <v>0</v>
      </c>
      <c r="F81">
        <v>0</v>
      </c>
      <c r="G81">
        <v>0</v>
      </c>
      <c r="H81">
        <f t="shared" si="12"/>
        <v>65535</v>
      </c>
    </row>
    <row r="82" spans="1:8" x14ac:dyDescent="0.2">
      <c r="A82">
        <f t="shared" si="13"/>
        <v>80</v>
      </c>
      <c r="B82" s="1" t="s">
        <v>401</v>
      </c>
      <c r="C82">
        <v>0</v>
      </c>
      <c r="D82">
        <v>-2</v>
      </c>
      <c r="E82">
        <v>0</v>
      </c>
      <c r="F82">
        <v>0</v>
      </c>
      <c r="G82">
        <v>0</v>
      </c>
      <c r="H82">
        <f t="shared" si="12"/>
        <v>65535</v>
      </c>
    </row>
    <row r="83" spans="1:8" x14ac:dyDescent="0.2">
      <c r="A83">
        <f t="shared" si="13"/>
        <v>81</v>
      </c>
      <c r="B83" s="1" t="s">
        <v>402</v>
      </c>
      <c r="C83">
        <v>0</v>
      </c>
      <c r="D83">
        <v>0</v>
      </c>
      <c r="E83">
        <v>0</v>
      </c>
      <c r="F83">
        <v>0</v>
      </c>
      <c r="G83">
        <v>0</v>
      </c>
      <c r="H83">
        <f t="shared" si="12"/>
        <v>65535</v>
      </c>
    </row>
    <row r="84" spans="1:8" x14ac:dyDescent="0.2">
      <c r="A84">
        <f t="shared" si="13"/>
        <v>82</v>
      </c>
      <c r="B84" s="1" t="s">
        <v>403</v>
      </c>
      <c r="C84">
        <v>0</v>
      </c>
      <c r="D84">
        <v>1</v>
      </c>
      <c r="E84">
        <v>0</v>
      </c>
      <c r="F84">
        <v>0</v>
      </c>
      <c r="G84">
        <v>0</v>
      </c>
      <c r="H84">
        <f t="shared" si="12"/>
        <v>65535</v>
      </c>
    </row>
    <row r="85" spans="1:8" x14ac:dyDescent="0.2">
      <c r="A85">
        <f t="shared" si="13"/>
        <v>83</v>
      </c>
      <c r="B85" s="1" t="s">
        <v>404</v>
      </c>
      <c r="C85">
        <v>0</v>
      </c>
      <c r="D85">
        <v>2</v>
      </c>
      <c r="E85">
        <v>0</v>
      </c>
      <c r="F85">
        <v>0</v>
      </c>
      <c r="G85">
        <v>0</v>
      </c>
      <c r="H85">
        <f t="shared" si="12"/>
        <v>65535</v>
      </c>
    </row>
    <row r="86" spans="1:8" x14ac:dyDescent="0.2">
      <c r="A86">
        <f t="shared" si="13"/>
        <v>84</v>
      </c>
      <c r="B86" s="1" t="s">
        <v>405</v>
      </c>
      <c r="C86">
        <v>0</v>
      </c>
      <c r="D86">
        <v>3</v>
      </c>
      <c r="E86">
        <v>0</v>
      </c>
      <c r="F86">
        <v>0</v>
      </c>
      <c r="G86">
        <v>0</v>
      </c>
      <c r="H86">
        <f t="shared" si="12"/>
        <v>65535</v>
      </c>
    </row>
    <row r="87" spans="1:8" x14ac:dyDescent="0.2">
      <c r="A87">
        <f t="shared" si="13"/>
        <v>85</v>
      </c>
      <c r="B87" s="1" t="s">
        <v>406</v>
      </c>
      <c r="C87">
        <v>0</v>
      </c>
      <c r="D87">
        <v>2</v>
      </c>
      <c r="E87">
        <v>0</v>
      </c>
      <c r="F87">
        <v>0</v>
      </c>
      <c r="G87">
        <v>0</v>
      </c>
      <c r="H87">
        <f t="shared" si="12"/>
        <v>65535</v>
      </c>
    </row>
    <row r="88" spans="1:8" x14ac:dyDescent="0.2">
      <c r="A88">
        <f t="shared" si="13"/>
        <v>86</v>
      </c>
      <c r="B88" s="1" t="s">
        <v>407</v>
      </c>
      <c r="C88">
        <v>0</v>
      </c>
      <c r="D88">
        <v>1</v>
      </c>
      <c r="E88">
        <v>0</v>
      </c>
      <c r="F88">
        <v>0</v>
      </c>
      <c r="G88">
        <v>0</v>
      </c>
      <c r="H88">
        <f t="shared" si="12"/>
        <v>65535</v>
      </c>
    </row>
    <row r="89" spans="1:8" x14ac:dyDescent="0.2">
      <c r="A89">
        <f t="shared" si="13"/>
        <v>87</v>
      </c>
      <c r="B89" s="1" t="s">
        <v>408</v>
      </c>
      <c r="C89">
        <v>0</v>
      </c>
      <c r="D89">
        <v>0</v>
      </c>
      <c r="E89">
        <v>0</v>
      </c>
      <c r="F89">
        <v>0</v>
      </c>
      <c r="G89">
        <v>0</v>
      </c>
      <c r="H89">
        <f t="shared" si="12"/>
        <v>65535</v>
      </c>
    </row>
    <row r="90" spans="1:8" x14ac:dyDescent="0.2">
      <c r="A90">
        <f t="shared" si="13"/>
        <v>88</v>
      </c>
      <c r="B90" s="1" t="s">
        <v>409</v>
      </c>
      <c r="C90">
        <v>0</v>
      </c>
      <c r="D90">
        <v>-1</v>
      </c>
      <c r="E90">
        <v>0</v>
      </c>
      <c r="F90">
        <v>0</v>
      </c>
      <c r="G90">
        <v>0</v>
      </c>
      <c r="H90">
        <f t="shared" si="12"/>
        <v>65535</v>
      </c>
    </row>
    <row r="91" spans="1:8" x14ac:dyDescent="0.2">
      <c r="A91">
        <f t="shared" si="13"/>
        <v>89</v>
      </c>
      <c r="B91" s="1" t="s">
        <v>410</v>
      </c>
      <c r="C91">
        <v>0</v>
      </c>
      <c r="D91">
        <v>-2</v>
      </c>
      <c r="E91">
        <v>0</v>
      </c>
      <c r="F91">
        <v>0</v>
      </c>
      <c r="G91">
        <v>0</v>
      </c>
      <c r="H91">
        <f t="shared" si="12"/>
        <v>65535</v>
      </c>
    </row>
    <row r="92" spans="1:8" x14ac:dyDescent="0.2">
      <c r="A92">
        <f t="shared" si="13"/>
        <v>90</v>
      </c>
      <c r="B92" s="1" t="s">
        <v>411</v>
      </c>
      <c r="C92">
        <v>0</v>
      </c>
      <c r="D92">
        <v>-3</v>
      </c>
      <c r="E92">
        <v>0</v>
      </c>
      <c r="F92">
        <v>0</v>
      </c>
      <c r="G92">
        <v>0</v>
      </c>
      <c r="H92">
        <f t="shared" si="12"/>
        <v>65535</v>
      </c>
    </row>
    <row r="93" spans="1:8" x14ac:dyDescent="0.2">
      <c r="A93">
        <f t="shared" si="13"/>
        <v>91</v>
      </c>
      <c r="B93" s="1" t="s">
        <v>412</v>
      </c>
      <c r="C93">
        <v>0</v>
      </c>
      <c r="D93">
        <v>-2</v>
      </c>
      <c r="E93">
        <v>0</v>
      </c>
      <c r="F93">
        <v>0</v>
      </c>
      <c r="G93">
        <v>0</v>
      </c>
      <c r="H93">
        <f t="shared" si="12"/>
        <v>65535</v>
      </c>
    </row>
    <row r="94" spans="1:8" x14ac:dyDescent="0.2">
      <c r="A94">
        <f t="shared" si="13"/>
        <v>92</v>
      </c>
      <c r="B94" s="1" t="s">
        <v>413</v>
      </c>
      <c r="C94">
        <v>0</v>
      </c>
      <c r="D94">
        <v>-1</v>
      </c>
      <c r="E94">
        <v>0</v>
      </c>
      <c r="F94">
        <v>0</v>
      </c>
      <c r="G94">
        <v>0</v>
      </c>
      <c r="H94">
        <f t="shared" si="12"/>
        <v>65535</v>
      </c>
    </row>
    <row r="95" spans="1:8" x14ac:dyDescent="0.2">
      <c r="A95">
        <f t="shared" si="13"/>
        <v>93</v>
      </c>
      <c r="B95" s="1" t="s">
        <v>414</v>
      </c>
      <c r="C95">
        <v>0</v>
      </c>
      <c r="D95">
        <v>0</v>
      </c>
      <c r="E95">
        <v>0</v>
      </c>
      <c r="F95">
        <v>0</v>
      </c>
      <c r="G95">
        <v>0</v>
      </c>
      <c r="H95">
        <f t="shared" si="12"/>
        <v>65535</v>
      </c>
    </row>
    <row r="96" spans="1:8" x14ac:dyDescent="0.2">
      <c r="A96">
        <f t="shared" si="13"/>
        <v>94</v>
      </c>
      <c r="B96" s="1" t="s">
        <v>415</v>
      </c>
      <c r="C96">
        <v>0</v>
      </c>
      <c r="D96">
        <v>1</v>
      </c>
      <c r="E96">
        <v>0</v>
      </c>
      <c r="F96">
        <v>0</v>
      </c>
      <c r="G96">
        <v>0</v>
      </c>
      <c r="H96">
        <f t="shared" si="12"/>
        <v>65535</v>
      </c>
    </row>
    <row r="97" spans="1:14" x14ac:dyDescent="0.2">
      <c r="A97">
        <f t="shared" si="13"/>
        <v>95</v>
      </c>
      <c r="B97" s="1" t="s">
        <v>416</v>
      </c>
      <c r="C97">
        <v>0</v>
      </c>
      <c r="D97">
        <v>2</v>
      </c>
      <c r="E97">
        <v>0</v>
      </c>
      <c r="F97">
        <v>0</v>
      </c>
      <c r="G97">
        <v>0</v>
      </c>
      <c r="H97">
        <f t="shared" si="12"/>
        <v>65535</v>
      </c>
    </row>
    <row r="98" spans="1:14" x14ac:dyDescent="0.2">
      <c r="A98">
        <f t="shared" si="13"/>
        <v>96</v>
      </c>
      <c r="B98" s="1" t="s">
        <v>417</v>
      </c>
      <c r="C98">
        <v>0</v>
      </c>
      <c r="D98">
        <v>1</v>
      </c>
      <c r="E98">
        <v>0</v>
      </c>
      <c r="F98">
        <v>0</v>
      </c>
      <c r="G98">
        <v>0</v>
      </c>
      <c r="H98">
        <f t="shared" si="12"/>
        <v>65535</v>
      </c>
    </row>
    <row r="99" spans="1:14" x14ac:dyDescent="0.2">
      <c r="A99">
        <f t="shared" si="13"/>
        <v>97</v>
      </c>
      <c r="B99" s="1" t="s">
        <v>418</v>
      </c>
      <c r="C99">
        <v>0</v>
      </c>
      <c r="D99">
        <v>0</v>
      </c>
      <c r="E99">
        <v>0</v>
      </c>
      <c r="F99">
        <v>0</v>
      </c>
      <c r="G99">
        <v>0</v>
      </c>
      <c r="H99">
        <f t="shared" si="12"/>
        <v>65535</v>
      </c>
    </row>
    <row r="100" spans="1:14" x14ac:dyDescent="0.2">
      <c r="A100">
        <f t="shared" si="13"/>
        <v>98</v>
      </c>
      <c r="B100" s="1" t="s">
        <v>419</v>
      </c>
      <c r="C100">
        <v>0</v>
      </c>
      <c r="D100">
        <v>-1</v>
      </c>
      <c r="E100">
        <v>0</v>
      </c>
      <c r="F100">
        <v>0</v>
      </c>
      <c r="G100">
        <v>0</v>
      </c>
      <c r="H100">
        <f t="shared" si="12"/>
        <v>65535</v>
      </c>
    </row>
    <row r="101" spans="1:14" x14ac:dyDescent="0.2">
      <c r="A101">
        <f t="shared" si="13"/>
        <v>99</v>
      </c>
      <c r="B101" s="1" t="s">
        <v>420</v>
      </c>
      <c r="C101">
        <v>0</v>
      </c>
      <c r="D101">
        <v>-2</v>
      </c>
      <c r="E101">
        <v>0</v>
      </c>
      <c r="F101">
        <v>0</v>
      </c>
      <c r="G101">
        <v>0</v>
      </c>
      <c r="H101">
        <f t="shared" si="12"/>
        <v>65535</v>
      </c>
    </row>
    <row r="102" spans="1:14" x14ac:dyDescent="0.2">
      <c r="A102">
        <f t="shared" si="13"/>
        <v>100</v>
      </c>
      <c r="B102" s="1" t="s">
        <v>421</v>
      </c>
      <c r="C102">
        <v>0</v>
      </c>
      <c r="D102">
        <v>-1</v>
      </c>
      <c r="E102">
        <v>0</v>
      </c>
      <c r="F102">
        <v>0</v>
      </c>
      <c r="G102">
        <v>0</v>
      </c>
      <c r="H102">
        <f t="shared" si="12"/>
        <v>65535</v>
      </c>
    </row>
    <row r="103" spans="1:14" x14ac:dyDescent="0.2">
      <c r="A103">
        <f t="shared" si="13"/>
        <v>101</v>
      </c>
      <c r="B103" s="1" t="s">
        <v>422</v>
      </c>
      <c r="C103">
        <v>0</v>
      </c>
      <c r="D103">
        <v>0</v>
      </c>
      <c r="E103">
        <v>0</v>
      </c>
      <c r="F103">
        <v>0</v>
      </c>
      <c r="G103">
        <v>0</v>
      </c>
      <c r="H103">
        <f t="shared" si="12"/>
        <v>65535</v>
      </c>
    </row>
    <row r="104" spans="1:14" x14ac:dyDescent="0.2">
      <c r="A104">
        <f t="shared" si="13"/>
        <v>102</v>
      </c>
      <c r="B104" s="1" t="s">
        <v>423</v>
      </c>
      <c r="C104">
        <v>0</v>
      </c>
      <c r="D104">
        <v>0</v>
      </c>
      <c r="E104">
        <v>0</v>
      </c>
      <c r="F104">
        <v>0</v>
      </c>
      <c r="G104">
        <v>0</v>
      </c>
      <c r="H104">
        <f t="shared" si="12"/>
        <v>65535</v>
      </c>
    </row>
    <row r="105" spans="1:14" x14ac:dyDescent="0.2">
      <c r="A105">
        <f t="shared" si="13"/>
        <v>103</v>
      </c>
      <c r="B105" s="1" t="s">
        <v>424</v>
      </c>
      <c r="C105">
        <v>1</v>
      </c>
      <c r="D105">
        <v>-2</v>
      </c>
      <c r="E105">
        <v>0</v>
      </c>
      <c r="F105">
        <v>0</v>
      </c>
      <c r="G105">
        <v>0</v>
      </c>
      <c r="H105">
        <f t="shared" si="12"/>
        <v>65535</v>
      </c>
    </row>
    <row r="106" spans="1:14" x14ac:dyDescent="0.2">
      <c r="A106">
        <f t="shared" si="13"/>
        <v>104</v>
      </c>
      <c r="B106" s="1" t="s">
        <v>425</v>
      </c>
      <c r="C106">
        <v>2</v>
      </c>
      <c r="D106">
        <v>0</v>
      </c>
      <c r="E106">
        <v>0</v>
      </c>
      <c r="F106">
        <v>0</v>
      </c>
      <c r="G106">
        <v>0</v>
      </c>
      <c r="H106">
        <f t="shared" si="12"/>
        <v>65535</v>
      </c>
    </row>
    <row r="107" spans="1:14" x14ac:dyDescent="0.2">
      <c r="A107">
        <f t="shared" si="13"/>
        <v>105</v>
      </c>
      <c r="B107" s="1" t="s">
        <v>426</v>
      </c>
      <c r="C107">
        <v>1</v>
      </c>
      <c r="D107">
        <v>-1</v>
      </c>
      <c r="E107">
        <v>0</v>
      </c>
      <c r="F107">
        <v>0</v>
      </c>
      <c r="G107">
        <v>0</v>
      </c>
      <c r="H107">
        <f t="shared" si="12"/>
        <v>65535</v>
      </c>
    </row>
    <row r="108" spans="1:14" x14ac:dyDescent="0.2">
      <c r="A108">
        <f t="shared" si="13"/>
        <v>106</v>
      </c>
      <c r="B108" s="1" t="s">
        <v>427</v>
      </c>
      <c r="C108">
        <v>7</v>
      </c>
      <c r="D108">
        <v>0</v>
      </c>
      <c r="E108">
        <v>0</v>
      </c>
      <c r="F108">
        <v>0</v>
      </c>
      <c r="G108">
        <v>0</v>
      </c>
      <c r="H108">
        <f t="shared" si="12"/>
        <v>65535</v>
      </c>
    </row>
    <row r="109" spans="1:14" ht="27" customHeight="1" x14ac:dyDescent="0.2">
      <c r="A109">
        <f t="shared" si="13"/>
        <v>107</v>
      </c>
      <c r="B109" s="1" t="s">
        <v>159</v>
      </c>
      <c r="C109">
        <v>5</v>
      </c>
      <c r="D109">
        <v>0</v>
      </c>
      <c r="E109">
        <v>0</v>
      </c>
      <c r="F109">
        <v>0</v>
      </c>
      <c r="G109">
        <v>0</v>
      </c>
      <c r="H109">
        <f t="shared" si="12"/>
        <v>65535</v>
      </c>
      <c r="J109">
        <f t="shared" ref="J109:J140" si="14">C109-C493</f>
        <v>-8</v>
      </c>
      <c r="K109">
        <f t="shared" ref="K109:K140" si="15">D109-D493</f>
        <v>0</v>
      </c>
      <c r="L109">
        <f t="shared" ref="L109:L140" si="16">E109+E493</f>
        <v>0</v>
      </c>
      <c r="M109">
        <f t="shared" ref="M109:M140" si="17">F109+F493</f>
        <v>0</v>
      </c>
      <c r="N109">
        <f t="shared" ref="N109:N140" si="18">G109+G493</f>
        <v>0</v>
      </c>
    </row>
    <row r="110" spans="1:14" x14ac:dyDescent="0.2">
      <c r="A110">
        <f t="shared" si="13"/>
        <v>108</v>
      </c>
      <c r="B110" s="1" t="s">
        <v>59</v>
      </c>
      <c r="C110">
        <v>4</v>
      </c>
      <c r="D110">
        <v>0</v>
      </c>
      <c r="E110">
        <v>-5</v>
      </c>
      <c r="F110">
        <v>-2</v>
      </c>
      <c r="G110">
        <v>-1</v>
      </c>
      <c r="H110">
        <f t="shared" si="12"/>
        <v>65535</v>
      </c>
      <c r="J110">
        <f t="shared" si="14"/>
        <v>-8</v>
      </c>
      <c r="K110">
        <f t="shared" si="15"/>
        <v>0</v>
      </c>
      <c r="L110">
        <f t="shared" si="16"/>
        <v>0</v>
      </c>
      <c r="M110">
        <f t="shared" si="17"/>
        <v>0</v>
      </c>
      <c r="N110">
        <f t="shared" si="18"/>
        <v>0</v>
      </c>
    </row>
    <row r="111" spans="1:14" x14ac:dyDescent="0.2">
      <c r="A111">
        <f t="shared" si="13"/>
        <v>109</v>
      </c>
      <c r="B111" s="1" t="s">
        <v>60</v>
      </c>
      <c r="C111">
        <v>5</v>
      </c>
      <c r="D111">
        <v>0</v>
      </c>
      <c r="E111">
        <v>-5</v>
      </c>
      <c r="F111">
        <v>-2</v>
      </c>
      <c r="G111">
        <v>0</v>
      </c>
      <c r="H111">
        <f t="shared" si="12"/>
        <v>65535</v>
      </c>
      <c r="J111">
        <f t="shared" si="14"/>
        <v>-8</v>
      </c>
      <c r="K111">
        <f t="shared" si="15"/>
        <v>0</v>
      </c>
      <c r="L111">
        <f t="shared" si="16"/>
        <v>0</v>
      </c>
      <c r="M111">
        <f t="shared" si="17"/>
        <v>0</v>
      </c>
      <c r="N111">
        <f t="shared" si="18"/>
        <v>0</v>
      </c>
    </row>
    <row r="112" spans="1:14" x14ac:dyDescent="0.2">
      <c r="A112">
        <f t="shared" si="13"/>
        <v>110</v>
      </c>
      <c r="B112" s="1" t="s">
        <v>61</v>
      </c>
      <c r="C112">
        <v>6</v>
      </c>
      <c r="D112">
        <v>0</v>
      </c>
      <c r="E112">
        <v>-5</v>
      </c>
      <c r="F112">
        <v>-2</v>
      </c>
      <c r="G112">
        <v>-1</v>
      </c>
      <c r="H112">
        <f t="shared" si="12"/>
        <v>65535</v>
      </c>
      <c r="J112">
        <f t="shared" si="14"/>
        <v>-8</v>
      </c>
      <c r="K112">
        <f t="shared" si="15"/>
        <v>0</v>
      </c>
      <c r="L112">
        <f t="shared" si="16"/>
        <v>0</v>
      </c>
      <c r="M112">
        <f t="shared" si="17"/>
        <v>0</v>
      </c>
      <c r="N112">
        <f t="shared" si="18"/>
        <v>0</v>
      </c>
    </row>
    <row r="113" spans="1:17" x14ac:dyDescent="0.2">
      <c r="A113">
        <f t="shared" si="13"/>
        <v>111</v>
      </c>
      <c r="B113" s="1" t="s">
        <v>62</v>
      </c>
      <c r="C113">
        <v>5</v>
      </c>
      <c r="D113">
        <v>0</v>
      </c>
      <c r="E113">
        <v>-5</v>
      </c>
      <c r="F113">
        <v>-2</v>
      </c>
      <c r="G113">
        <v>0</v>
      </c>
      <c r="H113">
        <f t="shared" si="12"/>
        <v>65535</v>
      </c>
      <c r="J113">
        <f t="shared" si="14"/>
        <v>-8</v>
      </c>
      <c r="K113">
        <f t="shared" si="15"/>
        <v>0</v>
      </c>
      <c r="L113">
        <f t="shared" si="16"/>
        <v>0</v>
      </c>
      <c r="M113">
        <f t="shared" si="17"/>
        <v>0</v>
      </c>
      <c r="N113">
        <f t="shared" si="18"/>
        <v>0</v>
      </c>
    </row>
    <row r="114" spans="1:17" x14ac:dyDescent="0.2">
      <c r="A114">
        <f t="shared" si="13"/>
        <v>112</v>
      </c>
      <c r="B114" s="1" t="s">
        <v>672</v>
      </c>
      <c r="C114">
        <v>4</v>
      </c>
      <c r="D114">
        <v>0</v>
      </c>
      <c r="E114">
        <v>-5</v>
      </c>
      <c r="F114">
        <v>-2</v>
      </c>
      <c r="G114">
        <v>-1</v>
      </c>
      <c r="H114">
        <f t="shared" si="12"/>
        <v>65535</v>
      </c>
      <c r="J114">
        <f t="shared" si="14"/>
        <v>-8</v>
      </c>
      <c r="K114">
        <f t="shared" si="15"/>
        <v>0</v>
      </c>
      <c r="L114">
        <f t="shared" si="16"/>
        <v>0</v>
      </c>
      <c r="M114">
        <f t="shared" si="17"/>
        <v>0</v>
      </c>
      <c r="N114">
        <f t="shared" si="18"/>
        <v>0</v>
      </c>
    </row>
    <row r="115" spans="1:17" x14ac:dyDescent="0.2">
      <c r="A115">
        <f t="shared" si="13"/>
        <v>113</v>
      </c>
      <c r="B115" s="1" t="s">
        <v>673</v>
      </c>
      <c r="C115">
        <v>5</v>
      </c>
      <c r="D115">
        <v>0</v>
      </c>
      <c r="E115">
        <v>-5</v>
      </c>
      <c r="F115">
        <v>-2</v>
      </c>
      <c r="G115">
        <v>0</v>
      </c>
      <c r="H115">
        <f t="shared" si="12"/>
        <v>65535</v>
      </c>
      <c r="J115">
        <f t="shared" si="14"/>
        <v>-8</v>
      </c>
      <c r="K115">
        <f t="shared" si="15"/>
        <v>0</v>
      </c>
      <c r="L115">
        <f t="shared" si="16"/>
        <v>0</v>
      </c>
      <c r="M115">
        <f t="shared" si="17"/>
        <v>0</v>
      </c>
      <c r="N115">
        <f t="shared" si="18"/>
        <v>0</v>
      </c>
    </row>
    <row r="116" spans="1:17" x14ac:dyDescent="0.2">
      <c r="A116">
        <f t="shared" si="13"/>
        <v>114</v>
      </c>
      <c r="B116" s="1" t="s">
        <v>670</v>
      </c>
      <c r="C116">
        <v>6</v>
      </c>
      <c r="D116">
        <v>0</v>
      </c>
      <c r="E116">
        <v>-5</v>
      </c>
      <c r="F116">
        <v>-2</v>
      </c>
      <c r="G116">
        <v>-1</v>
      </c>
      <c r="H116">
        <f t="shared" si="12"/>
        <v>65535</v>
      </c>
      <c r="J116">
        <f t="shared" si="14"/>
        <v>-8</v>
      </c>
      <c r="K116">
        <f t="shared" si="15"/>
        <v>0</v>
      </c>
      <c r="L116">
        <f t="shared" si="16"/>
        <v>0</v>
      </c>
      <c r="M116">
        <f t="shared" si="17"/>
        <v>0</v>
      </c>
      <c r="N116">
        <f t="shared" si="18"/>
        <v>0</v>
      </c>
    </row>
    <row r="117" spans="1:17" x14ac:dyDescent="0.2">
      <c r="A117">
        <f t="shared" si="13"/>
        <v>115</v>
      </c>
      <c r="B117" s="1" t="s">
        <v>671</v>
      </c>
      <c r="C117">
        <v>5</v>
      </c>
      <c r="D117">
        <v>0</v>
      </c>
      <c r="E117">
        <v>-5</v>
      </c>
      <c r="F117">
        <v>-2</v>
      </c>
      <c r="G117">
        <v>0</v>
      </c>
      <c r="H117">
        <f t="shared" si="12"/>
        <v>65535</v>
      </c>
      <c r="J117">
        <f t="shared" si="14"/>
        <v>-8</v>
      </c>
      <c r="K117">
        <f t="shared" si="15"/>
        <v>0</v>
      </c>
      <c r="L117">
        <f t="shared" si="16"/>
        <v>0</v>
      </c>
      <c r="M117">
        <f t="shared" si="17"/>
        <v>0</v>
      </c>
      <c r="N117">
        <f t="shared" si="18"/>
        <v>0</v>
      </c>
    </row>
    <row r="118" spans="1:17" s="4" customFormat="1" x14ac:dyDescent="0.2">
      <c r="A118">
        <f t="shared" si="13"/>
        <v>116</v>
      </c>
      <c r="B118" s="5" t="s">
        <v>161</v>
      </c>
      <c r="C118" s="4">
        <v>4</v>
      </c>
      <c r="D118" s="4">
        <v>0</v>
      </c>
      <c r="E118" s="4">
        <v>-5</v>
      </c>
      <c r="F118" s="4">
        <v>-2</v>
      </c>
      <c r="G118" s="4">
        <v>-1</v>
      </c>
      <c r="H118">
        <f t="shared" si="12"/>
        <v>65535</v>
      </c>
      <c r="J118">
        <f t="shared" si="14"/>
        <v>-8</v>
      </c>
      <c r="K118">
        <f t="shared" si="15"/>
        <v>0</v>
      </c>
      <c r="L118">
        <f t="shared" si="16"/>
        <v>0</v>
      </c>
      <c r="M118">
        <f t="shared" si="17"/>
        <v>0</v>
      </c>
      <c r="N118">
        <f t="shared" si="18"/>
        <v>0</v>
      </c>
      <c r="Q118" s="4">
        <v>0</v>
      </c>
    </row>
    <row r="119" spans="1:17" s="4" customFormat="1" x14ac:dyDescent="0.2">
      <c r="A119">
        <f t="shared" si="13"/>
        <v>117</v>
      </c>
      <c r="B119" s="5" t="s">
        <v>162</v>
      </c>
      <c r="C119" s="4">
        <v>5</v>
      </c>
      <c r="D119" s="4">
        <v>0</v>
      </c>
      <c r="E119" s="4">
        <v>-5</v>
      </c>
      <c r="F119" s="4">
        <v>-2</v>
      </c>
      <c r="G119" s="4">
        <v>0</v>
      </c>
      <c r="H119">
        <f t="shared" si="12"/>
        <v>65535</v>
      </c>
      <c r="J119">
        <f t="shared" si="14"/>
        <v>-8</v>
      </c>
      <c r="K119">
        <f t="shared" si="15"/>
        <v>0</v>
      </c>
      <c r="L119">
        <f t="shared" si="16"/>
        <v>0</v>
      </c>
      <c r="M119">
        <f t="shared" si="17"/>
        <v>0</v>
      </c>
      <c r="N119">
        <f t="shared" si="18"/>
        <v>0</v>
      </c>
      <c r="Q119" s="4">
        <v>0</v>
      </c>
    </row>
    <row r="120" spans="1:17" s="4" customFormat="1" x14ac:dyDescent="0.2">
      <c r="A120">
        <f t="shared" si="13"/>
        <v>118</v>
      </c>
      <c r="B120" s="5" t="s">
        <v>163</v>
      </c>
      <c r="C120" s="4">
        <v>6</v>
      </c>
      <c r="D120" s="4">
        <v>0</v>
      </c>
      <c r="E120" s="4">
        <v>-5</v>
      </c>
      <c r="F120" s="4">
        <v>-2</v>
      </c>
      <c r="G120" s="4">
        <v>-1</v>
      </c>
      <c r="H120">
        <f t="shared" si="12"/>
        <v>65535</v>
      </c>
      <c r="J120">
        <f t="shared" si="14"/>
        <v>-8</v>
      </c>
      <c r="K120">
        <f t="shared" si="15"/>
        <v>0</v>
      </c>
      <c r="L120">
        <f t="shared" si="16"/>
        <v>0</v>
      </c>
      <c r="M120">
        <f t="shared" si="17"/>
        <v>0</v>
      </c>
      <c r="N120">
        <f t="shared" si="18"/>
        <v>0</v>
      </c>
      <c r="Q120" s="4">
        <v>2</v>
      </c>
    </row>
    <row r="121" spans="1:17" s="4" customFormat="1" x14ac:dyDescent="0.2">
      <c r="A121">
        <f t="shared" si="13"/>
        <v>119</v>
      </c>
      <c r="B121" s="5" t="s">
        <v>164</v>
      </c>
      <c r="C121" s="4">
        <v>5</v>
      </c>
      <c r="D121" s="4">
        <v>0</v>
      </c>
      <c r="E121" s="4">
        <v>-5</v>
      </c>
      <c r="F121" s="4">
        <v>-2</v>
      </c>
      <c r="G121" s="4">
        <v>0</v>
      </c>
      <c r="H121">
        <f t="shared" si="12"/>
        <v>65535</v>
      </c>
      <c r="J121">
        <f t="shared" si="14"/>
        <v>-8</v>
      </c>
      <c r="K121">
        <f t="shared" si="15"/>
        <v>0</v>
      </c>
      <c r="L121">
        <f t="shared" si="16"/>
        <v>0</v>
      </c>
      <c r="M121">
        <f t="shared" si="17"/>
        <v>0</v>
      </c>
      <c r="N121">
        <f t="shared" si="18"/>
        <v>0</v>
      </c>
      <c r="Q121" s="4">
        <v>0</v>
      </c>
    </row>
    <row r="122" spans="1:17" s="4" customFormat="1" x14ac:dyDescent="0.2">
      <c r="A122">
        <f t="shared" si="13"/>
        <v>120</v>
      </c>
      <c r="B122" s="5" t="s">
        <v>165</v>
      </c>
      <c r="C122" s="4">
        <v>4</v>
      </c>
      <c r="D122" s="4">
        <v>2</v>
      </c>
      <c r="E122" s="4">
        <v>-5</v>
      </c>
      <c r="F122" s="4">
        <v>-2</v>
      </c>
      <c r="G122" s="4">
        <v>-1</v>
      </c>
      <c r="H122">
        <f t="shared" si="12"/>
        <v>65535</v>
      </c>
      <c r="J122">
        <f t="shared" si="14"/>
        <v>-8</v>
      </c>
      <c r="K122">
        <f t="shared" si="15"/>
        <v>0</v>
      </c>
      <c r="L122">
        <f t="shared" si="16"/>
        <v>0</v>
      </c>
      <c r="M122">
        <f t="shared" si="17"/>
        <v>0</v>
      </c>
      <c r="N122">
        <f t="shared" si="18"/>
        <v>0</v>
      </c>
      <c r="Q122" s="4">
        <v>2</v>
      </c>
    </row>
    <row r="123" spans="1:17" s="4" customFormat="1" x14ac:dyDescent="0.2">
      <c r="A123">
        <f t="shared" si="13"/>
        <v>121</v>
      </c>
      <c r="B123" s="5" t="s">
        <v>166</v>
      </c>
      <c r="C123" s="4">
        <v>5</v>
      </c>
      <c r="D123" s="4">
        <v>2</v>
      </c>
      <c r="E123" s="4">
        <v>-5</v>
      </c>
      <c r="F123" s="4">
        <v>-2</v>
      </c>
      <c r="G123" s="4">
        <v>0</v>
      </c>
      <c r="H123">
        <f t="shared" si="12"/>
        <v>65535</v>
      </c>
      <c r="J123">
        <f t="shared" si="14"/>
        <v>-8</v>
      </c>
      <c r="K123">
        <f t="shared" si="15"/>
        <v>0</v>
      </c>
      <c r="L123">
        <f t="shared" si="16"/>
        <v>0</v>
      </c>
      <c r="M123">
        <f t="shared" si="17"/>
        <v>0</v>
      </c>
      <c r="N123">
        <f t="shared" si="18"/>
        <v>0</v>
      </c>
      <c r="Q123" s="4">
        <v>2</v>
      </c>
    </row>
    <row r="124" spans="1:17" s="4" customFormat="1" x14ac:dyDescent="0.2">
      <c r="A124">
        <f t="shared" si="13"/>
        <v>122</v>
      </c>
      <c r="B124" s="5" t="s">
        <v>167</v>
      </c>
      <c r="C124" s="4">
        <v>6</v>
      </c>
      <c r="D124" s="4">
        <v>2</v>
      </c>
      <c r="E124" s="4">
        <v>-5</v>
      </c>
      <c r="F124" s="4">
        <v>-2</v>
      </c>
      <c r="G124" s="4">
        <v>-1</v>
      </c>
      <c r="H124">
        <f t="shared" si="12"/>
        <v>65535</v>
      </c>
      <c r="J124">
        <f t="shared" si="14"/>
        <v>-8</v>
      </c>
      <c r="K124">
        <f t="shared" si="15"/>
        <v>0</v>
      </c>
      <c r="L124">
        <f t="shared" si="16"/>
        <v>0</v>
      </c>
      <c r="M124">
        <f t="shared" si="17"/>
        <v>0</v>
      </c>
      <c r="N124">
        <f t="shared" si="18"/>
        <v>0</v>
      </c>
      <c r="Q124" s="4">
        <v>2</v>
      </c>
    </row>
    <row r="125" spans="1:17" s="4" customFormat="1" x14ac:dyDescent="0.2">
      <c r="A125">
        <f t="shared" si="13"/>
        <v>123</v>
      </c>
      <c r="B125" s="5" t="s">
        <v>168</v>
      </c>
      <c r="C125" s="4">
        <v>5</v>
      </c>
      <c r="D125" s="4">
        <v>2</v>
      </c>
      <c r="E125" s="4">
        <v>-5</v>
      </c>
      <c r="F125" s="4">
        <v>-2</v>
      </c>
      <c r="G125" s="4">
        <v>0</v>
      </c>
      <c r="H125">
        <f t="shared" si="12"/>
        <v>65535</v>
      </c>
      <c r="J125">
        <f t="shared" si="14"/>
        <v>-8</v>
      </c>
      <c r="K125">
        <f t="shared" si="15"/>
        <v>0</v>
      </c>
      <c r="L125">
        <f t="shared" si="16"/>
        <v>0</v>
      </c>
      <c r="M125">
        <f t="shared" si="17"/>
        <v>0</v>
      </c>
      <c r="N125">
        <f t="shared" si="18"/>
        <v>0</v>
      </c>
      <c r="Q125" s="4">
        <v>0</v>
      </c>
    </row>
    <row r="126" spans="1:17" x14ac:dyDescent="0.2">
      <c r="A126">
        <f t="shared" si="13"/>
        <v>124</v>
      </c>
      <c r="B126" s="1" t="s">
        <v>436</v>
      </c>
      <c r="C126">
        <v>4</v>
      </c>
      <c r="D126">
        <v>4</v>
      </c>
      <c r="E126" s="4">
        <v>-5</v>
      </c>
      <c r="F126">
        <v>-2</v>
      </c>
      <c r="G126">
        <v>-1</v>
      </c>
      <c r="H126">
        <f t="shared" si="12"/>
        <v>65535</v>
      </c>
      <c r="J126">
        <f t="shared" si="14"/>
        <v>-8</v>
      </c>
      <c r="K126">
        <f t="shared" si="15"/>
        <v>0</v>
      </c>
      <c r="L126">
        <f t="shared" si="16"/>
        <v>0</v>
      </c>
      <c r="M126">
        <f t="shared" si="17"/>
        <v>0</v>
      </c>
      <c r="N126">
        <f t="shared" si="18"/>
        <v>0</v>
      </c>
    </row>
    <row r="127" spans="1:17" x14ac:dyDescent="0.2">
      <c r="A127">
        <f t="shared" si="13"/>
        <v>125</v>
      </c>
      <c r="B127" s="1" t="s">
        <v>437</v>
      </c>
      <c r="C127">
        <v>5</v>
      </c>
      <c r="D127">
        <v>2</v>
      </c>
      <c r="E127" s="4">
        <v>-5</v>
      </c>
      <c r="F127">
        <v>-2</v>
      </c>
      <c r="G127">
        <v>0</v>
      </c>
      <c r="H127">
        <f t="shared" si="12"/>
        <v>65535</v>
      </c>
      <c r="J127">
        <f t="shared" si="14"/>
        <v>-8</v>
      </c>
      <c r="K127">
        <f t="shared" si="15"/>
        <v>0</v>
      </c>
      <c r="L127">
        <f t="shared" si="16"/>
        <v>0</v>
      </c>
      <c r="M127">
        <f t="shared" si="17"/>
        <v>0</v>
      </c>
      <c r="N127">
        <f t="shared" si="18"/>
        <v>0</v>
      </c>
    </row>
    <row r="128" spans="1:17" x14ac:dyDescent="0.2">
      <c r="A128">
        <f t="shared" si="13"/>
        <v>126</v>
      </c>
      <c r="B128" s="1" t="s">
        <v>438</v>
      </c>
      <c r="C128">
        <v>6</v>
      </c>
      <c r="D128">
        <v>2</v>
      </c>
      <c r="E128" s="4">
        <v>-5</v>
      </c>
      <c r="F128">
        <v>-2</v>
      </c>
      <c r="G128">
        <v>-1</v>
      </c>
      <c r="H128">
        <f t="shared" si="12"/>
        <v>65535</v>
      </c>
      <c r="J128">
        <f t="shared" si="14"/>
        <v>-8</v>
      </c>
      <c r="K128">
        <f t="shared" si="15"/>
        <v>0</v>
      </c>
      <c r="L128">
        <f t="shared" si="16"/>
        <v>0</v>
      </c>
      <c r="M128">
        <f t="shared" si="17"/>
        <v>0</v>
      </c>
      <c r="N128">
        <f t="shared" si="18"/>
        <v>0</v>
      </c>
    </row>
    <row r="129" spans="1:14" x14ac:dyDescent="0.2">
      <c r="A129">
        <f t="shared" si="13"/>
        <v>127</v>
      </c>
      <c r="B129" s="1" t="s">
        <v>439</v>
      </c>
      <c r="C129">
        <v>5</v>
      </c>
      <c r="D129">
        <v>0</v>
      </c>
      <c r="E129" s="4">
        <v>-5</v>
      </c>
      <c r="F129">
        <v>-2</v>
      </c>
      <c r="G129">
        <v>0</v>
      </c>
      <c r="H129">
        <f t="shared" si="12"/>
        <v>65535</v>
      </c>
      <c r="J129">
        <f t="shared" si="14"/>
        <v>-8</v>
      </c>
      <c r="K129">
        <f t="shared" si="15"/>
        <v>0</v>
      </c>
      <c r="L129">
        <f t="shared" si="16"/>
        <v>0</v>
      </c>
      <c r="M129">
        <f t="shared" si="17"/>
        <v>0</v>
      </c>
      <c r="N129">
        <f t="shared" si="18"/>
        <v>0</v>
      </c>
    </row>
    <row r="130" spans="1:14" x14ac:dyDescent="0.2">
      <c r="A130">
        <f t="shared" si="13"/>
        <v>128</v>
      </c>
      <c r="B130" s="1" t="s">
        <v>169</v>
      </c>
      <c r="C130">
        <v>4</v>
      </c>
      <c r="D130">
        <v>0</v>
      </c>
      <c r="E130">
        <v>-5</v>
      </c>
      <c r="F130">
        <v>-2</v>
      </c>
      <c r="G130">
        <v>-1</v>
      </c>
      <c r="H130">
        <f t="shared" ref="H130:H193" si="19">_xlfn.XLOOKUP(I130,$B$2:$B$982,$A$2:$A$982,65535)</f>
        <v>65535</v>
      </c>
      <c r="J130">
        <f t="shared" si="14"/>
        <v>-8</v>
      </c>
      <c r="K130">
        <f t="shared" si="15"/>
        <v>0</v>
      </c>
      <c r="L130">
        <f t="shared" si="16"/>
        <v>0</v>
      </c>
      <c r="M130">
        <f t="shared" si="17"/>
        <v>0</v>
      </c>
      <c r="N130">
        <f t="shared" si="18"/>
        <v>0</v>
      </c>
    </row>
    <row r="131" spans="1:14" x14ac:dyDescent="0.2">
      <c r="A131">
        <f t="shared" si="13"/>
        <v>129</v>
      </c>
      <c r="B131" s="1" t="s">
        <v>170</v>
      </c>
      <c r="C131">
        <v>5</v>
      </c>
      <c r="D131">
        <v>0</v>
      </c>
      <c r="E131">
        <v>-5</v>
      </c>
      <c r="F131">
        <v>-2</v>
      </c>
      <c r="G131">
        <v>0</v>
      </c>
      <c r="H131">
        <f t="shared" si="19"/>
        <v>65535</v>
      </c>
      <c r="J131">
        <f t="shared" si="14"/>
        <v>-8</v>
      </c>
      <c r="K131">
        <f t="shared" si="15"/>
        <v>0</v>
      </c>
      <c r="L131">
        <f t="shared" si="16"/>
        <v>0</v>
      </c>
      <c r="M131">
        <f t="shared" si="17"/>
        <v>0</v>
      </c>
      <c r="N131">
        <f t="shared" si="18"/>
        <v>0</v>
      </c>
    </row>
    <row r="132" spans="1:14" x14ac:dyDescent="0.2">
      <c r="A132">
        <f t="shared" ref="A132:A195" si="20">A131+1</f>
        <v>130</v>
      </c>
      <c r="B132" s="1" t="s">
        <v>171</v>
      </c>
      <c r="C132">
        <v>6</v>
      </c>
      <c r="D132">
        <v>0</v>
      </c>
      <c r="E132">
        <v>-5</v>
      </c>
      <c r="F132">
        <v>-2</v>
      </c>
      <c r="G132">
        <v>-1</v>
      </c>
      <c r="H132">
        <f t="shared" si="19"/>
        <v>65535</v>
      </c>
      <c r="J132">
        <f t="shared" si="14"/>
        <v>-8</v>
      </c>
      <c r="K132">
        <f t="shared" si="15"/>
        <v>0</v>
      </c>
      <c r="L132">
        <f t="shared" si="16"/>
        <v>0</v>
      </c>
      <c r="M132">
        <f t="shared" si="17"/>
        <v>0</v>
      </c>
      <c r="N132">
        <f t="shared" si="18"/>
        <v>0</v>
      </c>
    </row>
    <row r="133" spans="1:14" x14ac:dyDescent="0.2">
      <c r="A133">
        <f t="shared" si="20"/>
        <v>131</v>
      </c>
      <c r="B133" s="1" t="s">
        <v>172</v>
      </c>
      <c r="C133">
        <v>5</v>
      </c>
      <c r="D133">
        <v>0</v>
      </c>
      <c r="E133">
        <v>-5</v>
      </c>
      <c r="F133">
        <v>-2</v>
      </c>
      <c r="G133">
        <v>0</v>
      </c>
      <c r="H133">
        <f t="shared" si="19"/>
        <v>65535</v>
      </c>
      <c r="J133">
        <f t="shared" si="14"/>
        <v>-8</v>
      </c>
      <c r="K133">
        <f t="shared" si="15"/>
        <v>0</v>
      </c>
      <c r="L133">
        <f t="shared" si="16"/>
        <v>0</v>
      </c>
      <c r="M133">
        <f t="shared" si="17"/>
        <v>0</v>
      </c>
      <c r="N133">
        <f t="shared" si="18"/>
        <v>0</v>
      </c>
    </row>
    <row r="134" spans="1:14" x14ac:dyDescent="0.2">
      <c r="A134">
        <f t="shared" si="20"/>
        <v>132</v>
      </c>
      <c r="B134" s="1" t="s">
        <v>173</v>
      </c>
      <c r="C134">
        <v>4</v>
      </c>
      <c r="D134">
        <v>-2</v>
      </c>
      <c r="E134">
        <v>-5</v>
      </c>
      <c r="F134">
        <v>-2</v>
      </c>
      <c r="G134">
        <v>-1</v>
      </c>
      <c r="H134">
        <f t="shared" si="19"/>
        <v>65535</v>
      </c>
      <c r="J134">
        <f t="shared" si="14"/>
        <v>-8</v>
      </c>
      <c r="K134">
        <f t="shared" si="15"/>
        <v>0</v>
      </c>
      <c r="L134">
        <f t="shared" si="16"/>
        <v>0</v>
      </c>
      <c r="M134">
        <f t="shared" si="17"/>
        <v>0</v>
      </c>
      <c r="N134">
        <f t="shared" si="18"/>
        <v>0</v>
      </c>
    </row>
    <row r="135" spans="1:14" x14ac:dyDescent="0.2">
      <c r="A135">
        <f t="shared" si="20"/>
        <v>133</v>
      </c>
      <c r="B135" s="1" t="s">
        <v>174</v>
      </c>
      <c r="C135">
        <v>5</v>
      </c>
      <c r="D135">
        <v>-2</v>
      </c>
      <c r="E135">
        <v>-5</v>
      </c>
      <c r="F135">
        <v>-2</v>
      </c>
      <c r="G135">
        <v>0</v>
      </c>
      <c r="H135">
        <f t="shared" si="19"/>
        <v>65535</v>
      </c>
      <c r="J135">
        <f t="shared" si="14"/>
        <v>-8</v>
      </c>
      <c r="K135">
        <f t="shared" si="15"/>
        <v>0</v>
      </c>
      <c r="L135">
        <f t="shared" si="16"/>
        <v>0</v>
      </c>
      <c r="M135">
        <f t="shared" si="17"/>
        <v>0</v>
      </c>
      <c r="N135">
        <f t="shared" si="18"/>
        <v>0</v>
      </c>
    </row>
    <row r="136" spans="1:14" x14ac:dyDescent="0.2">
      <c r="A136">
        <f t="shared" si="20"/>
        <v>134</v>
      </c>
      <c r="B136" s="1" t="s">
        <v>175</v>
      </c>
      <c r="C136">
        <v>6</v>
      </c>
      <c r="D136">
        <v>-2</v>
      </c>
      <c r="E136">
        <v>-5</v>
      </c>
      <c r="F136">
        <v>-2</v>
      </c>
      <c r="G136">
        <v>-1</v>
      </c>
      <c r="H136">
        <f t="shared" si="19"/>
        <v>65535</v>
      </c>
      <c r="J136">
        <f t="shared" si="14"/>
        <v>-8</v>
      </c>
      <c r="K136">
        <f t="shared" si="15"/>
        <v>0</v>
      </c>
      <c r="L136">
        <f t="shared" si="16"/>
        <v>0</v>
      </c>
      <c r="M136">
        <f t="shared" si="17"/>
        <v>0</v>
      </c>
      <c r="N136">
        <f t="shared" si="18"/>
        <v>0</v>
      </c>
    </row>
    <row r="137" spans="1:14" x14ac:dyDescent="0.2">
      <c r="A137">
        <f t="shared" si="20"/>
        <v>135</v>
      </c>
      <c r="B137" s="1" t="s">
        <v>176</v>
      </c>
      <c r="C137">
        <v>5</v>
      </c>
      <c r="D137">
        <v>-2</v>
      </c>
      <c r="E137">
        <v>-5</v>
      </c>
      <c r="F137">
        <v>-2</v>
      </c>
      <c r="G137">
        <v>0</v>
      </c>
      <c r="H137">
        <f t="shared" si="19"/>
        <v>65535</v>
      </c>
      <c r="J137">
        <f t="shared" si="14"/>
        <v>-8</v>
      </c>
      <c r="K137">
        <f t="shared" si="15"/>
        <v>0</v>
      </c>
      <c r="L137">
        <f t="shared" si="16"/>
        <v>0</v>
      </c>
      <c r="M137">
        <f t="shared" si="17"/>
        <v>0</v>
      </c>
      <c r="N137">
        <f t="shared" si="18"/>
        <v>0</v>
      </c>
    </row>
    <row r="138" spans="1:14" x14ac:dyDescent="0.2">
      <c r="A138">
        <f t="shared" si="20"/>
        <v>136</v>
      </c>
      <c r="B138" s="1" t="s">
        <v>440</v>
      </c>
      <c r="C138">
        <v>4</v>
      </c>
      <c r="D138">
        <v>0</v>
      </c>
      <c r="E138" s="4">
        <v>-5</v>
      </c>
      <c r="F138">
        <v>-2</v>
      </c>
      <c r="G138">
        <v>-1</v>
      </c>
      <c r="H138">
        <f t="shared" si="19"/>
        <v>65535</v>
      </c>
      <c r="J138">
        <f t="shared" si="14"/>
        <v>-8</v>
      </c>
      <c r="K138">
        <f t="shared" si="15"/>
        <v>0</v>
      </c>
      <c r="L138">
        <f t="shared" si="16"/>
        <v>0</v>
      </c>
      <c r="M138">
        <f t="shared" si="17"/>
        <v>0</v>
      </c>
      <c r="N138">
        <f t="shared" si="18"/>
        <v>0</v>
      </c>
    </row>
    <row r="139" spans="1:14" x14ac:dyDescent="0.2">
      <c r="A139">
        <f t="shared" si="20"/>
        <v>137</v>
      </c>
      <c r="B139" s="1" t="s">
        <v>441</v>
      </c>
      <c r="C139">
        <v>5</v>
      </c>
      <c r="D139">
        <v>-2</v>
      </c>
      <c r="E139" s="4">
        <v>-5</v>
      </c>
      <c r="F139">
        <v>-2</v>
      </c>
      <c r="G139">
        <v>0</v>
      </c>
      <c r="H139">
        <f t="shared" si="19"/>
        <v>65535</v>
      </c>
      <c r="J139">
        <f t="shared" si="14"/>
        <v>-8</v>
      </c>
      <c r="K139">
        <f t="shared" si="15"/>
        <v>0</v>
      </c>
      <c r="L139">
        <f t="shared" si="16"/>
        <v>0</v>
      </c>
      <c r="M139">
        <f t="shared" si="17"/>
        <v>0</v>
      </c>
      <c r="N139">
        <f t="shared" si="18"/>
        <v>0</v>
      </c>
    </row>
    <row r="140" spans="1:14" x14ac:dyDescent="0.2">
      <c r="A140">
        <f t="shared" si="20"/>
        <v>138</v>
      </c>
      <c r="B140" s="1" t="s">
        <v>442</v>
      </c>
      <c r="C140">
        <v>6</v>
      </c>
      <c r="D140">
        <v>-2</v>
      </c>
      <c r="E140" s="4">
        <v>-5</v>
      </c>
      <c r="F140">
        <v>-2</v>
      </c>
      <c r="G140">
        <v>-1</v>
      </c>
      <c r="H140">
        <f t="shared" si="19"/>
        <v>65535</v>
      </c>
      <c r="J140">
        <f t="shared" si="14"/>
        <v>-8</v>
      </c>
      <c r="K140">
        <f t="shared" si="15"/>
        <v>0</v>
      </c>
      <c r="L140">
        <f t="shared" si="16"/>
        <v>0</v>
      </c>
      <c r="M140">
        <f t="shared" si="17"/>
        <v>0</v>
      </c>
      <c r="N140">
        <f t="shared" si="18"/>
        <v>0</v>
      </c>
    </row>
    <row r="141" spans="1:14" x14ac:dyDescent="0.2">
      <c r="A141">
        <f t="shared" si="20"/>
        <v>139</v>
      </c>
      <c r="B141" s="1" t="s">
        <v>443</v>
      </c>
      <c r="C141">
        <v>5</v>
      </c>
      <c r="D141">
        <v>-4</v>
      </c>
      <c r="E141" s="4">
        <v>-5</v>
      </c>
      <c r="F141">
        <v>-2</v>
      </c>
      <c r="G141">
        <v>0</v>
      </c>
      <c r="H141">
        <f t="shared" si="19"/>
        <v>65535</v>
      </c>
      <c r="J141">
        <f t="shared" ref="J141:J172" si="21">C141-C525</f>
        <v>-8</v>
      </c>
      <c r="K141">
        <f t="shared" ref="K141:K172" si="22">D141-D525</f>
        <v>0</v>
      </c>
      <c r="L141">
        <f t="shared" ref="L141:L172" si="23">E141+E525</f>
        <v>0</v>
      </c>
      <c r="M141">
        <f t="shared" ref="M141:M172" si="24">F141+F525</f>
        <v>0</v>
      </c>
      <c r="N141">
        <f t="shared" ref="N141:N172" si="25">G141+G525</f>
        <v>0</v>
      </c>
    </row>
    <row r="142" spans="1:14" s="4" customFormat="1" x14ac:dyDescent="0.2">
      <c r="A142">
        <f t="shared" si="20"/>
        <v>140</v>
      </c>
      <c r="B142" s="5" t="s">
        <v>18</v>
      </c>
      <c r="C142" s="4">
        <v>5</v>
      </c>
      <c r="D142" s="4">
        <v>0</v>
      </c>
      <c r="E142" s="4">
        <v>-5</v>
      </c>
      <c r="F142" s="4">
        <v>-2</v>
      </c>
      <c r="G142" s="4">
        <v>0</v>
      </c>
      <c r="H142">
        <f t="shared" si="19"/>
        <v>65535</v>
      </c>
      <c r="J142">
        <f t="shared" si="21"/>
        <v>-8</v>
      </c>
      <c r="K142">
        <f t="shared" si="22"/>
        <v>0</v>
      </c>
      <c r="L142">
        <f t="shared" si="23"/>
        <v>0</v>
      </c>
      <c r="M142">
        <f t="shared" si="24"/>
        <v>0</v>
      </c>
      <c r="N142">
        <f t="shared" si="25"/>
        <v>0</v>
      </c>
    </row>
    <row r="143" spans="1:14" s="4" customFormat="1" x14ac:dyDescent="0.2">
      <c r="A143">
        <f t="shared" si="20"/>
        <v>141</v>
      </c>
      <c r="B143" s="5" t="s">
        <v>19</v>
      </c>
      <c r="C143" s="4">
        <v>4</v>
      </c>
      <c r="D143" s="4">
        <v>0</v>
      </c>
      <c r="E143" s="4">
        <v>-5</v>
      </c>
      <c r="F143" s="4">
        <v>-2</v>
      </c>
      <c r="G143" s="4">
        <v>-1</v>
      </c>
      <c r="H143">
        <f t="shared" si="19"/>
        <v>65535</v>
      </c>
      <c r="J143">
        <f t="shared" si="21"/>
        <v>-8</v>
      </c>
      <c r="K143">
        <f t="shared" si="22"/>
        <v>0</v>
      </c>
      <c r="L143">
        <f t="shared" si="23"/>
        <v>0</v>
      </c>
      <c r="M143">
        <f t="shared" si="24"/>
        <v>0</v>
      </c>
      <c r="N143">
        <f t="shared" si="25"/>
        <v>0</v>
      </c>
    </row>
    <row r="144" spans="1:14" s="4" customFormat="1" x14ac:dyDescent="0.2">
      <c r="A144">
        <f t="shared" si="20"/>
        <v>142</v>
      </c>
      <c r="B144" s="5" t="s">
        <v>20</v>
      </c>
      <c r="C144" s="4">
        <v>5</v>
      </c>
      <c r="D144" s="4">
        <v>-1</v>
      </c>
      <c r="E144" s="4">
        <v>-5</v>
      </c>
      <c r="F144" s="4">
        <v>-2</v>
      </c>
      <c r="G144" s="4">
        <v>0</v>
      </c>
      <c r="H144">
        <f t="shared" si="19"/>
        <v>65535</v>
      </c>
      <c r="J144">
        <f t="shared" si="21"/>
        <v>-8</v>
      </c>
      <c r="K144">
        <f t="shared" si="22"/>
        <v>0</v>
      </c>
      <c r="L144">
        <f t="shared" si="23"/>
        <v>0</v>
      </c>
      <c r="M144">
        <f t="shared" si="24"/>
        <v>0</v>
      </c>
      <c r="N144">
        <f t="shared" si="25"/>
        <v>0</v>
      </c>
    </row>
    <row r="145" spans="1:14" s="4" customFormat="1" x14ac:dyDescent="0.2">
      <c r="A145">
        <f t="shared" si="20"/>
        <v>143</v>
      </c>
      <c r="B145" s="5" t="s">
        <v>21</v>
      </c>
      <c r="C145" s="4">
        <v>5</v>
      </c>
      <c r="D145" s="4">
        <v>-1</v>
      </c>
      <c r="E145" s="4">
        <v>-5</v>
      </c>
      <c r="F145" s="4">
        <v>-1</v>
      </c>
      <c r="G145" s="4">
        <v>-1</v>
      </c>
      <c r="H145">
        <f t="shared" si="19"/>
        <v>65535</v>
      </c>
      <c r="J145">
        <f t="shared" si="21"/>
        <v>-8</v>
      </c>
      <c r="K145">
        <f t="shared" si="22"/>
        <v>0</v>
      </c>
      <c r="L145">
        <f t="shared" si="23"/>
        <v>0</v>
      </c>
      <c r="M145">
        <f t="shared" si="24"/>
        <v>0</v>
      </c>
      <c r="N145">
        <f t="shared" si="25"/>
        <v>0</v>
      </c>
    </row>
    <row r="146" spans="1:14" s="4" customFormat="1" x14ac:dyDescent="0.2">
      <c r="A146">
        <f t="shared" si="20"/>
        <v>144</v>
      </c>
      <c r="B146" s="5" t="s">
        <v>22</v>
      </c>
      <c r="C146" s="4">
        <v>5</v>
      </c>
      <c r="D146" s="4">
        <v>-2</v>
      </c>
      <c r="E146" s="4">
        <v>-5</v>
      </c>
      <c r="F146" s="4">
        <v>-1</v>
      </c>
      <c r="G146" s="4">
        <v>0</v>
      </c>
      <c r="H146">
        <f t="shared" si="19"/>
        <v>65535</v>
      </c>
      <c r="J146">
        <f t="shared" si="21"/>
        <v>-8</v>
      </c>
      <c r="K146">
        <f t="shared" si="22"/>
        <v>0</v>
      </c>
      <c r="L146">
        <f t="shared" si="23"/>
        <v>0</v>
      </c>
      <c r="M146">
        <f t="shared" si="24"/>
        <v>0</v>
      </c>
      <c r="N146">
        <f t="shared" si="25"/>
        <v>0</v>
      </c>
    </row>
    <row r="147" spans="1:14" s="4" customFormat="1" x14ac:dyDescent="0.2">
      <c r="A147">
        <f t="shared" si="20"/>
        <v>145</v>
      </c>
      <c r="B147" s="5" t="s">
        <v>23</v>
      </c>
      <c r="C147" s="4">
        <v>5</v>
      </c>
      <c r="D147" s="4">
        <v>-4</v>
      </c>
      <c r="E147" s="4">
        <v>0</v>
      </c>
      <c r="F147" s="4">
        <v>0</v>
      </c>
      <c r="G147" s="4">
        <v>0</v>
      </c>
      <c r="H147">
        <f t="shared" si="19"/>
        <v>109</v>
      </c>
      <c r="I147" s="5" t="s">
        <v>60</v>
      </c>
      <c r="J147">
        <f t="shared" si="21"/>
        <v>-8</v>
      </c>
      <c r="K147">
        <f t="shared" si="22"/>
        <v>0</v>
      </c>
      <c r="L147">
        <f t="shared" si="23"/>
        <v>0</v>
      </c>
      <c r="M147">
        <f t="shared" si="24"/>
        <v>0</v>
      </c>
      <c r="N147">
        <f t="shared" si="25"/>
        <v>0</v>
      </c>
    </row>
    <row r="148" spans="1:14" s="4" customFormat="1" x14ac:dyDescent="0.2">
      <c r="A148">
        <f t="shared" si="20"/>
        <v>146</v>
      </c>
      <c r="B148" s="5" t="s">
        <v>24</v>
      </c>
      <c r="C148" s="4">
        <v>5</v>
      </c>
      <c r="D148" s="4">
        <v>-4</v>
      </c>
      <c r="E148" s="4">
        <v>0</v>
      </c>
      <c r="F148" s="4">
        <v>0</v>
      </c>
      <c r="G148" s="4">
        <v>0</v>
      </c>
      <c r="H148">
        <f t="shared" si="19"/>
        <v>65535</v>
      </c>
      <c r="J148">
        <f t="shared" si="21"/>
        <v>-8</v>
      </c>
      <c r="K148">
        <f t="shared" si="22"/>
        <v>0</v>
      </c>
      <c r="L148">
        <f t="shared" si="23"/>
        <v>0</v>
      </c>
      <c r="M148">
        <f t="shared" si="24"/>
        <v>0</v>
      </c>
      <c r="N148">
        <f t="shared" si="25"/>
        <v>0</v>
      </c>
    </row>
    <row r="149" spans="1:14" s="4" customFormat="1" x14ac:dyDescent="0.2">
      <c r="A149">
        <f t="shared" si="20"/>
        <v>147</v>
      </c>
      <c r="B149" s="5" t="s">
        <v>25</v>
      </c>
      <c r="C149" s="4">
        <v>5</v>
      </c>
      <c r="D149" s="4">
        <v>-4</v>
      </c>
      <c r="E149" s="4">
        <v>0</v>
      </c>
      <c r="F149" s="4">
        <v>0</v>
      </c>
      <c r="G149" s="4">
        <v>0</v>
      </c>
      <c r="H149">
        <f t="shared" si="19"/>
        <v>109</v>
      </c>
      <c r="I149" s="5" t="s">
        <v>60</v>
      </c>
      <c r="J149">
        <f t="shared" si="21"/>
        <v>-8</v>
      </c>
      <c r="K149">
        <f t="shared" si="22"/>
        <v>0</v>
      </c>
      <c r="L149">
        <f t="shared" si="23"/>
        <v>0</v>
      </c>
      <c r="M149">
        <f t="shared" si="24"/>
        <v>0</v>
      </c>
      <c r="N149">
        <f t="shared" si="25"/>
        <v>0</v>
      </c>
    </row>
    <row r="150" spans="1:14" s="4" customFormat="1" x14ac:dyDescent="0.2">
      <c r="A150">
        <f t="shared" si="20"/>
        <v>148</v>
      </c>
      <c r="B150" s="5" t="s">
        <v>34</v>
      </c>
      <c r="C150" s="4">
        <v>5</v>
      </c>
      <c r="D150" s="4">
        <v>-4</v>
      </c>
      <c r="E150" s="4">
        <v>0</v>
      </c>
      <c r="F150" s="4">
        <v>0</v>
      </c>
      <c r="G150" s="4">
        <v>0</v>
      </c>
      <c r="H150">
        <f t="shared" si="19"/>
        <v>65535</v>
      </c>
      <c r="J150">
        <f t="shared" si="21"/>
        <v>-8</v>
      </c>
      <c r="K150">
        <f t="shared" si="22"/>
        <v>0</v>
      </c>
      <c r="L150">
        <f t="shared" si="23"/>
        <v>0</v>
      </c>
      <c r="M150">
        <f t="shared" si="24"/>
        <v>0</v>
      </c>
      <c r="N150">
        <f t="shared" si="25"/>
        <v>0</v>
      </c>
    </row>
    <row r="151" spans="1:14" s="4" customFormat="1" x14ac:dyDescent="0.2">
      <c r="A151">
        <f t="shared" si="20"/>
        <v>149</v>
      </c>
      <c r="B151" s="5" t="s">
        <v>37</v>
      </c>
      <c r="C151" s="4">
        <v>5</v>
      </c>
      <c r="D151" s="4">
        <v>-4</v>
      </c>
      <c r="E151" s="4">
        <v>0</v>
      </c>
      <c r="F151" s="4">
        <v>0</v>
      </c>
      <c r="G151" s="4">
        <v>0</v>
      </c>
      <c r="H151">
        <f t="shared" si="19"/>
        <v>65535</v>
      </c>
      <c r="J151">
        <f t="shared" si="21"/>
        <v>-8</v>
      </c>
      <c r="K151">
        <f t="shared" si="22"/>
        <v>0</v>
      </c>
      <c r="L151">
        <f t="shared" si="23"/>
        <v>0</v>
      </c>
      <c r="M151">
        <f t="shared" si="24"/>
        <v>0</v>
      </c>
      <c r="N151">
        <f t="shared" si="25"/>
        <v>0</v>
      </c>
    </row>
    <row r="152" spans="1:14" s="4" customFormat="1" x14ac:dyDescent="0.2">
      <c r="A152">
        <f t="shared" si="20"/>
        <v>150</v>
      </c>
      <c r="B152" s="5" t="s">
        <v>36</v>
      </c>
      <c r="C152" s="4">
        <v>7</v>
      </c>
      <c r="D152" s="4">
        <v>0</v>
      </c>
      <c r="E152" s="4">
        <v>0</v>
      </c>
      <c r="F152" s="4">
        <v>0</v>
      </c>
      <c r="G152" s="4">
        <v>0</v>
      </c>
      <c r="H152">
        <f t="shared" si="19"/>
        <v>65535</v>
      </c>
      <c r="J152">
        <f t="shared" si="21"/>
        <v>-8</v>
      </c>
      <c r="K152">
        <f t="shared" si="22"/>
        <v>0</v>
      </c>
      <c r="L152">
        <f t="shared" si="23"/>
        <v>0</v>
      </c>
      <c r="M152">
        <f t="shared" si="24"/>
        <v>0</v>
      </c>
      <c r="N152">
        <f t="shared" si="25"/>
        <v>0</v>
      </c>
    </row>
    <row r="153" spans="1:14" s="4" customFormat="1" x14ac:dyDescent="0.2">
      <c r="A153">
        <f t="shared" si="20"/>
        <v>151</v>
      </c>
      <c r="B153" s="5" t="s">
        <v>35</v>
      </c>
      <c r="C153" s="4">
        <v>5</v>
      </c>
      <c r="D153" s="4">
        <v>0</v>
      </c>
      <c r="E153" s="4">
        <v>0</v>
      </c>
      <c r="F153" s="4">
        <v>0</v>
      </c>
      <c r="G153" s="4">
        <v>0</v>
      </c>
      <c r="H153">
        <f t="shared" si="19"/>
        <v>65535</v>
      </c>
      <c r="J153">
        <f t="shared" si="21"/>
        <v>-8</v>
      </c>
      <c r="K153">
        <f t="shared" si="22"/>
        <v>0</v>
      </c>
      <c r="L153">
        <f t="shared" si="23"/>
        <v>0</v>
      </c>
      <c r="M153">
        <f t="shared" si="24"/>
        <v>0</v>
      </c>
      <c r="N153">
        <f t="shared" si="25"/>
        <v>0</v>
      </c>
    </row>
    <row r="154" spans="1:14" x14ac:dyDescent="0.2">
      <c r="A154">
        <f t="shared" si="20"/>
        <v>152</v>
      </c>
      <c r="B154" s="1" t="s">
        <v>63</v>
      </c>
      <c r="C154">
        <v>4</v>
      </c>
      <c r="D154">
        <v>0</v>
      </c>
      <c r="E154">
        <v>0</v>
      </c>
      <c r="F154">
        <v>0</v>
      </c>
      <c r="G154">
        <v>0</v>
      </c>
      <c r="H154">
        <f t="shared" si="19"/>
        <v>65535</v>
      </c>
      <c r="J154">
        <f t="shared" si="21"/>
        <v>-9</v>
      </c>
      <c r="K154">
        <f t="shared" si="22"/>
        <v>0</v>
      </c>
      <c r="L154">
        <f t="shared" si="23"/>
        <v>0</v>
      </c>
      <c r="M154">
        <f t="shared" si="24"/>
        <v>0</v>
      </c>
      <c r="N154">
        <f t="shared" si="25"/>
        <v>0</v>
      </c>
    </row>
    <row r="155" spans="1:14" x14ac:dyDescent="0.2">
      <c r="A155">
        <f t="shared" si="20"/>
        <v>153</v>
      </c>
      <c r="B155" s="1" t="s">
        <v>64</v>
      </c>
      <c r="C155">
        <v>5</v>
      </c>
      <c r="D155">
        <v>4</v>
      </c>
      <c r="E155">
        <v>0</v>
      </c>
      <c r="F155">
        <v>0</v>
      </c>
      <c r="G155">
        <v>0</v>
      </c>
      <c r="H155">
        <f t="shared" si="19"/>
        <v>65535</v>
      </c>
      <c r="J155">
        <f t="shared" si="21"/>
        <v>-8</v>
      </c>
      <c r="K155">
        <f t="shared" si="22"/>
        <v>0</v>
      </c>
      <c r="L155">
        <f t="shared" si="23"/>
        <v>0</v>
      </c>
      <c r="M155">
        <f t="shared" si="24"/>
        <v>0</v>
      </c>
      <c r="N155">
        <f t="shared" si="25"/>
        <v>0</v>
      </c>
    </row>
    <row r="156" spans="1:14" x14ac:dyDescent="0.2">
      <c r="A156">
        <f t="shared" si="20"/>
        <v>154</v>
      </c>
      <c r="B156" s="1" t="s">
        <v>65</v>
      </c>
      <c r="C156">
        <v>5</v>
      </c>
      <c r="D156">
        <v>3</v>
      </c>
      <c r="E156">
        <v>0</v>
      </c>
      <c r="F156">
        <v>0</v>
      </c>
      <c r="G156">
        <v>0</v>
      </c>
      <c r="H156">
        <f t="shared" si="19"/>
        <v>65535</v>
      </c>
      <c r="J156">
        <f t="shared" si="21"/>
        <v>-8</v>
      </c>
      <c r="K156">
        <f t="shared" si="22"/>
        <v>0</v>
      </c>
      <c r="L156">
        <f t="shared" si="23"/>
        <v>0</v>
      </c>
      <c r="M156">
        <f t="shared" si="24"/>
        <v>0</v>
      </c>
      <c r="N156">
        <f t="shared" si="25"/>
        <v>0</v>
      </c>
    </row>
    <row r="157" spans="1:14" x14ac:dyDescent="0.2">
      <c r="A157">
        <f t="shared" si="20"/>
        <v>155</v>
      </c>
      <c r="B157" s="1" t="s">
        <v>66</v>
      </c>
      <c r="C157">
        <v>5</v>
      </c>
      <c r="D157">
        <v>2</v>
      </c>
      <c r="E157">
        <v>0</v>
      </c>
      <c r="F157">
        <v>0</v>
      </c>
      <c r="G157">
        <v>0</v>
      </c>
      <c r="H157">
        <f t="shared" si="19"/>
        <v>65535</v>
      </c>
      <c r="J157">
        <f t="shared" si="21"/>
        <v>-8</v>
      </c>
      <c r="K157">
        <f t="shared" si="22"/>
        <v>0</v>
      </c>
      <c r="L157">
        <f t="shared" si="23"/>
        <v>0</v>
      </c>
      <c r="M157">
        <f t="shared" si="24"/>
        <v>0</v>
      </c>
      <c r="N157">
        <f t="shared" si="25"/>
        <v>0</v>
      </c>
    </row>
    <row r="158" spans="1:14" x14ac:dyDescent="0.2">
      <c r="A158">
        <f t="shared" si="20"/>
        <v>156</v>
      </c>
      <c r="B158" s="1" t="s">
        <v>67</v>
      </c>
      <c r="C158">
        <v>5</v>
      </c>
      <c r="D158">
        <v>-2</v>
      </c>
      <c r="E158">
        <v>0</v>
      </c>
      <c r="F158">
        <v>0</v>
      </c>
      <c r="G158">
        <v>0</v>
      </c>
      <c r="H158">
        <f t="shared" si="19"/>
        <v>65535</v>
      </c>
      <c r="J158">
        <f t="shared" si="21"/>
        <v>-8</v>
      </c>
      <c r="K158">
        <f t="shared" si="22"/>
        <v>0</v>
      </c>
      <c r="L158">
        <f t="shared" si="23"/>
        <v>0</v>
      </c>
      <c r="M158">
        <f t="shared" si="24"/>
        <v>0</v>
      </c>
      <c r="N158">
        <f t="shared" si="25"/>
        <v>0</v>
      </c>
    </row>
    <row r="159" spans="1:14" x14ac:dyDescent="0.2">
      <c r="A159">
        <f t="shared" si="20"/>
        <v>157</v>
      </c>
      <c r="B159" s="1" t="s">
        <v>68</v>
      </c>
      <c r="C159">
        <v>6</v>
      </c>
      <c r="D159">
        <v>-3</v>
      </c>
      <c r="E159">
        <v>0</v>
      </c>
      <c r="F159">
        <v>0</v>
      </c>
      <c r="G159">
        <v>0</v>
      </c>
      <c r="H159">
        <f t="shared" si="19"/>
        <v>65535</v>
      </c>
      <c r="J159">
        <f t="shared" si="21"/>
        <v>-8</v>
      </c>
      <c r="K159">
        <f t="shared" si="22"/>
        <v>0</v>
      </c>
      <c r="L159">
        <f t="shared" si="23"/>
        <v>0</v>
      </c>
      <c r="M159">
        <f t="shared" si="24"/>
        <v>0</v>
      </c>
      <c r="N159">
        <f t="shared" si="25"/>
        <v>0</v>
      </c>
    </row>
    <row r="160" spans="1:14" x14ac:dyDescent="0.2">
      <c r="A160">
        <f t="shared" si="20"/>
        <v>158</v>
      </c>
      <c r="B160" s="1" t="s">
        <v>69</v>
      </c>
      <c r="C160">
        <v>5</v>
      </c>
      <c r="D160">
        <v>-4</v>
      </c>
      <c r="E160">
        <v>0</v>
      </c>
      <c r="F160">
        <v>0</v>
      </c>
      <c r="G160">
        <v>0</v>
      </c>
      <c r="H160">
        <f t="shared" si="19"/>
        <v>65535</v>
      </c>
      <c r="J160">
        <f t="shared" si="21"/>
        <v>-8</v>
      </c>
      <c r="K160">
        <f t="shared" si="22"/>
        <v>0</v>
      </c>
      <c r="L160">
        <f t="shared" si="23"/>
        <v>0</v>
      </c>
      <c r="M160">
        <f t="shared" si="24"/>
        <v>0</v>
      </c>
      <c r="N160">
        <f t="shared" si="25"/>
        <v>0</v>
      </c>
    </row>
    <row r="161" spans="1:14" s="6" customFormat="1" x14ac:dyDescent="0.2">
      <c r="A161">
        <f t="shared" si="20"/>
        <v>159</v>
      </c>
      <c r="B161" s="5" t="s">
        <v>196</v>
      </c>
      <c r="C161" s="6">
        <v>5</v>
      </c>
      <c r="D161" s="6">
        <v>1</v>
      </c>
      <c r="E161" s="6">
        <v>0</v>
      </c>
      <c r="F161" s="6">
        <v>0</v>
      </c>
      <c r="G161" s="6">
        <v>0</v>
      </c>
      <c r="H161">
        <f t="shared" si="19"/>
        <v>65535</v>
      </c>
      <c r="J161">
        <f t="shared" si="21"/>
        <v>-8</v>
      </c>
      <c r="K161">
        <f t="shared" si="22"/>
        <v>0</v>
      </c>
      <c r="L161">
        <f t="shared" si="23"/>
        <v>0</v>
      </c>
      <c r="M161">
        <f t="shared" si="24"/>
        <v>0</v>
      </c>
      <c r="N161">
        <f t="shared" si="25"/>
        <v>0</v>
      </c>
    </row>
    <row r="162" spans="1:14" s="6" customFormat="1" x14ac:dyDescent="0.2">
      <c r="A162">
        <f t="shared" si="20"/>
        <v>160</v>
      </c>
      <c r="B162" s="5" t="s">
        <v>198</v>
      </c>
      <c r="C162" s="6">
        <v>7</v>
      </c>
      <c r="D162" s="6">
        <v>0</v>
      </c>
      <c r="E162" s="6">
        <v>0</v>
      </c>
      <c r="F162" s="6">
        <v>0</v>
      </c>
      <c r="G162" s="6">
        <v>0</v>
      </c>
      <c r="H162">
        <f t="shared" si="19"/>
        <v>65535</v>
      </c>
      <c r="J162">
        <f t="shared" si="21"/>
        <v>-8</v>
      </c>
      <c r="K162">
        <f t="shared" si="22"/>
        <v>0</v>
      </c>
      <c r="L162">
        <f t="shared" si="23"/>
        <v>0</v>
      </c>
      <c r="M162">
        <f t="shared" si="24"/>
        <v>0</v>
      </c>
      <c r="N162">
        <f t="shared" si="25"/>
        <v>0</v>
      </c>
    </row>
    <row r="163" spans="1:14" s="6" customFormat="1" x14ac:dyDescent="0.2">
      <c r="A163">
        <f t="shared" si="20"/>
        <v>161</v>
      </c>
      <c r="B163" s="5" t="s">
        <v>197</v>
      </c>
      <c r="C163" s="6">
        <v>5</v>
      </c>
      <c r="D163" s="6">
        <v>-1</v>
      </c>
      <c r="E163" s="6">
        <v>0</v>
      </c>
      <c r="F163" s="6">
        <v>0</v>
      </c>
      <c r="G163" s="6">
        <v>0</v>
      </c>
      <c r="H163">
        <f t="shared" si="19"/>
        <v>65535</v>
      </c>
      <c r="J163">
        <f t="shared" si="21"/>
        <v>-8</v>
      </c>
      <c r="K163">
        <f t="shared" si="22"/>
        <v>0</v>
      </c>
      <c r="L163">
        <f t="shared" si="23"/>
        <v>0</v>
      </c>
      <c r="M163">
        <f t="shared" si="24"/>
        <v>0</v>
      </c>
      <c r="N163">
        <f t="shared" si="25"/>
        <v>0</v>
      </c>
    </row>
    <row r="164" spans="1:14" x14ac:dyDescent="0.2">
      <c r="A164">
        <f t="shared" si="20"/>
        <v>162</v>
      </c>
      <c r="B164" s="1" t="s">
        <v>5</v>
      </c>
      <c r="C164">
        <v>4</v>
      </c>
      <c r="D164">
        <v>4</v>
      </c>
      <c r="E164">
        <v>0</v>
      </c>
      <c r="F164">
        <v>0</v>
      </c>
      <c r="G164">
        <v>0</v>
      </c>
      <c r="H164">
        <f t="shared" si="19"/>
        <v>65535</v>
      </c>
      <c r="J164">
        <f t="shared" si="21"/>
        <v>-8</v>
      </c>
      <c r="K164">
        <f t="shared" si="22"/>
        <v>0</v>
      </c>
      <c r="L164">
        <f t="shared" si="23"/>
        <v>0</v>
      </c>
      <c r="M164">
        <f t="shared" si="24"/>
        <v>0</v>
      </c>
      <c r="N164">
        <f t="shared" si="25"/>
        <v>0</v>
      </c>
    </row>
    <row r="165" spans="1:14" x14ac:dyDescent="0.2">
      <c r="A165">
        <f t="shared" si="20"/>
        <v>163</v>
      </c>
      <c r="B165" s="1" t="s">
        <v>70</v>
      </c>
      <c r="C165">
        <v>4</v>
      </c>
      <c r="D165">
        <v>3</v>
      </c>
      <c r="E165">
        <v>0</v>
      </c>
      <c r="F165">
        <v>0</v>
      </c>
      <c r="G165">
        <v>0</v>
      </c>
      <c r="H165">
        <f t="shared" si="19"/>
        <v>65535</v>
      </c>
      <c r="J165">
        <f t="shared" si="21"/>
        <v>-8</v>
      </c>
      <c r="K165">
        <f t="shared" si="22"/>
        <v>0</v>
      </c>
      <c r="L165">
        <f t="shared" si="23"/>
        <v>0</v>
      </c>
      <c r="M165">
        <f t="shared" si="24"/>
        <v>0</v>
      </c>
      <c r="N165">
        <f t="shared" si="25"/>
        <v>0</v>
      </c>
    </row>
    <row r="166" spans="1:14" x14ac:dyDescent="0.2">
      <c r="A166">
        <f t="shared" si="20"/>
        <v>164</v>
      </c>
      <c r="B166" s="1" t="s">
        <v>71</v>
      </c>
      <c r="C166">
        <v>4</v>
      </c>
      <c r="D166">
        <v>2</v>
      </c>
      <c r="E166">
        <v>0</v>
      </c>
      <c r="F166">
        <v>0</v>
      </c>
      <c r="G166">
        <v>0</v>
      </c>
      <c r="H166">
        <f t="shared" si="19"/>
        <v>65535</v>
      </c>
      <c r="J166">
        <f t="shared" si="21"/>
        <v>-8</v>
      </c>
      <c r="K166">
        <f t="shared" si="22"/>
        <v>0</v>
      </c>
      <c r="L166">
        <f t="shared" si="23"/>
        <v>0</v>
      </c>
      <c r="M166">
        <f t="shared" si="24"/>
        <v>0</v>
      </c>
      <c r="N166">
        <f t="shared" si="25"/>
        <v>0</v>
      </c>
    </row>
    <row r="167" spans="1:14" x14ac:dyDescent="0.2">
      <c r="A167">
        <f t="shared" si="20"/>
        <v>165</v>
      </c>
      <c r="B167" s="1" t="s">
        <v>72</v>
      </c>
      <c r="C167">
        <v>4</v>
      </c>
      <c r="D167">
        <v>1</v>
      </c>
      <c r="E167">
        <v>0</v>
      </c>
      <c r="F167">
        <v>0</v>
      </c>
      <c r="G167">
        <v>0</v>
      </c>
      <c r="H167">
        <f t="shared" si="19"/>
        <v>65535</v>
      </c>
      <c r="J167">
        <f t="shared" si="21"/>
        <v>-8</v>
      </c>
      <c r="K167">
        <f t="shared" si="22"/>
        <v>0</v>
      </c>
      <c r="L167">
        <f t="shared" si="23"/>
        <v>0</v>
      </c>
      <c r="M167">
        <f t="shared" si="24"/>
        <v>0</v>
      </c>
      <c r="N167">
        <f t="shared" si="25"/>
        <v>0</v>
      </c>
    </row>
    <row r="168" spans="1:14" x14ac:dyDescent="0.2">
      <c r="A168">
        <f t="shared" si="20"/>
        <v>166</v>
      </c>
      <c r="B168" s="1" t="s">
        <v>73</v>
      </c>
      <c r="C168">
        <v>5</v>
      </c>
      <c r="D168">
        <v>-1</v>
      </c>
      <c r="E168">
        <v>0</v>
      </c>
      <c r="F168">
        <v>0</v>
      </c>
      <c r="G168">
        <v>0</v>
      </c>
      <c r="H168">
        <f t="shared" si="19"/>
        <v>65535</v>
      </c>
      <c r="J168">
        <f t="shared" si="21"/>
        <v>-8</v>
      </c>
      <c r="K168">
        <f t="shared" si="22"/>
        <v>0</v>
      </c>
      <c r="L168">
        <f t="shared" si="23"/>
        <v>0</v>
      </c>
      <c r="M168">
        <f t="shared" si="24"/>
        <v>0</v>
      </c>
      <c r="N168">
        <f t="shared" si="25"/>
        <v>0</v>
      </c>
    </row>
    <row r="169" spans="1:14" x14ac:dyDescent="0.2">
      <c r="A169">
        <f t="shared" si="20"/>
        <v>167</v>
      </c>
      <c r="B169" s="1" t="s">
        <v>74</v>
      </c>
      <c r="C169">
        <v>5</v>
      </c>
      <c r="D169">
        <v>-1</v>
      </c>
      <c r="E169">
        <v>0</v>
      </c>
      <c r="F169">
        <v>0</v>
      </c>
      <c r="G169">
        <v>0</v>
      </c>
      <c r="H169">
        <f t="shared" si="19"/>
        <v>109</v>
      </c>
      <c r="I169" s="1" t="s">
        <v>60</v>
      </c>
      <c r="J169">
        <f t="shared" si="21"/>
        <v>-8</v>
      </c>
      <c r="K169">
        <f t="shared" si="22"/>
        <v>0</v>
      </c>
      <c r="L169">
        <f t="shared" si="23"/>
        <v>0</v>
      </c>
      <c r="M169">
        <f t="shared" si="24"/>
        <v>0</v>
      </c>
      <c r="N169">
        <f t="shared" si="25"/>
        <v>0</v>
      </c>
    </row>
    <row r="170" spans="1:14" s="4" customFormat="1" x14ac:dyDescent="0.2">
      <c r="A170">
        <f t="shared" si="20"/>
        <v>168</v>
      </c>
      <c r="B170" s="5" t="s">
        <v>7</v>
      </c>
      <c r="C170" s="4">
        <v>4</v>
      </c>
      <c r="D170" s="4">
        <v>3</v>
      </c>
      <c r="E170" s="4">
        <v>0</v>
      </c>
      <c r="F170" s="4">
        <v>0</v>
      </c>
      <c r="G170" s="4">
        <v>0</v>
      </c>
      <c r="H170">
        <f t="shared" si="19"/>
        <v>65535</v>
      </c>
      <c r="J170">
        <f t="shared" si="21"/>
        <v>-8</v>
      </c>
      <c r="K170">
        <f t="shared" si="22"/>
        <v>0</v>
      </c>
      <c r="L170">
        <f t="shared" si="23"/>
        <v>0</v>
      </c>
      <c r="M170">
        <f t="shared" si="24"/>
        <v>0</v>
      </c>
      <c r="N170">
        <f t="shared" si="25"/>
        <v>0</v>
      </c>
    </row>
    <row r="171" spans="1:14" s="4" customFormat="1" x14ac:dyDescent="0.2">
      <c r="A171">
        <f t="shared" si="20"/>
        <v>169</v>
      </c>
      <c r="B171" s="5" t="s">
        <v>8</v>
      </c>
      <c r="C171" s="4">
        <v>4</v>
      </c>
      <c r="D171" s="4">
        <v>3</v>
      </c>
      <c r="E171" s="4">
        <v>0</v>
      </c>
      <c r="F171" s="4">
        <v>0</v>
      </c>
      <c r="G171" s="4">
        <v>0</v>
      </c>
      <c r="H171">
        <f t="shared" si="19"/>
        <v>65535</v>
      </c>
      <c r="J171">
        <f t="shared" si="21"/>
        <v>-8</v>
      </c>
      <c r="K171">
        <f t="shared" si="22"/>
        <v>0</v>
      </c>
      <c r="L171">
        <f t="shared" si="23"/>
        <v>0</v>
      </c>
      <c r="M171">
        <f t="shared" si="24"/>
        <v>0</v>
      </c>
      <c r="N171">
        <f t="shared" si="25"/>
        <v>0</v>
      </c>
    </row>
    <row r="172" spans="1:14" s="4" customFormat="1" x14ac:dyDescent="0.2">
      <c r="A172">
        <f t="shared" si="20"/>
        <v>170</v>
      </c>
      <c r="B172" s="5" t="s">
        <v>9</v>
      </c>
      <c r="C172" s="4">
        <v>4</v>
      </c>
      <c r="D172" s="4">
        <v>2</v>
      </c>
      <c r="E172" s="4">
        <v>-5</v>
      </c>
      <c r="F172" s="4">
        <v>-2</v>
      </c>
      <c r="G172" s="4">
        <v>0</v>
      </c>
      <c r="H172">
        <f t="shared" si="19"/>
        <v>65535</v>
      </c>
      <c r="J172">
        <f t="shared" si="21"/>
        <v>-8</v>
      </c>
      <c r="K172">
        <f t="shared" si="22"/>
        <v>0</v>
      </c>
      <c r="L172">
        <f t="shared" si="23"/>
        <v>0</v>
      </c>
      <c r="M172">
        <f t="shared" si="24"/>
        <v>0</v>
      </c>
      <c r="N172">
        <f t="shared" si="25"/>
        <v>0</v>
      </c>
    </row>
    <row r="173" spans="1:14" s="4" customFormat="1" x14ac:dyDescent="0.2">
      <c r="A173">
        <f t="shared" si="20"/>
        <v>171</v>
      </c>
      <c r="B173" s="5" t="s">
        <v>10</v>
      </c>
      <c r="C173" s="4">
        <v>4</v>
      </c>
      <c r="D173" s="4">
        <v>1</v>
      </c>
      <c r="E173" s="4">
        <v>-5</v>
      </c>
      <c r="F173" s="4">
        <v>-2</v>
      </c>
      <c r="G173" s="4">
        <v>-1</v>
      </c>
      <c r="H173">
        <f t="shared" si="19"/>
        <v>65535</v>
      </c>
      <c r="J173">
        <f t="shared" ref="J173:J204" si="26">C173-C557</f>
        <v>-8</v>
      </c>
      <c r="K173">
        <f t="shared" ref="K173:K204" si="27">D173-D557</f>
        <v>0</v>
      </c>
      <c r="L173">
        <f t="shared" ref="L173:L204" si="28">E173+E557</f>
        <v>0</v>
      </c>
      <c r="M173">
        <f t="shared" ref="M173:M204" si="29">F173+F557</f>
        <v>0</v>
      </c>
      <c r="N173">
        <f t="shared" ref="N173:N204" si="30">G173+G557</f>
        <v>0</v>
      </c>
    </row>
    <row r="174" spans="1:14" s="4" customFormat="1" x14ac:dyDescent="0.2">
      <c r="A174">
        <f t="shared" si="20"/>
        <v>172</v>
      </c>
      <c r="B174" s="5" t="s">
        <v>11</v>
      </c>
      <c r="C174" s="4">
        <v>4</v>
      </c>
      <c r="D174" s="4">
        <v>0</v>
      </c>
      <c r="E174" s="4">
        <v>-5</v>
      </c>
      <c r="F174" s="4">
        <v>-2</v>
      </c>
      <c r="G174" s="4">
        <v>0</v>
      </c>
      <c r="H174">
        <f t="shared" si="19"/>
        <v>65535</v>
      </c>
      <c r="J174">
        <f t="shared" si="26"/>
        <v>-8</v>
      </c>
      <c r="K174">
        <f t="shared" si="27"/>
        <v>0</v>
      </c>
      <c r="L174">
        <f t="shared" si="28"/>
        <v>0</v>
      </c>
      <c r="M174">
        <f t="shared" si="29"/>
        <v>0</v>
      </c>
      <c r="N174">
        <f t="shared" si="30"/>
        <v>0</v>
      </c>
    </row>
    <row r="175" spans="1:14" s="4" customFormat="1" x14ac:dyDescent="0.2">
      <c r="A175">
        <f t="shared" si="20"/>
        <v>173</v>
      </c>
      <c r="B175" s="5" t="s">
        <v>12</v>
      </c>
      <c r="C175" s="4">
        <v>5</v>
      </c>
      <c r="D175" s="4">
        <v>-1</v>
      </c>
      <c r="E175" s="4">
        <v>-5</v>
      </c>
      <c r="F175" s="4">
        <v>-2</v>
      </c>
      <c r="G175" s="4">
        <v>-1</v>
      </c>
      <c r="H175">
        <f t="shared" si="19"/>
        <v>109</v>
      </c>
      <c r="I175" s="5" t="s">
        <v>60</v>
      </c>
      <c r="J175">
        <f t="shared" si="26"/>
        <v>-8</v>
      </c>
      <c r="K175">
        <f t="shared" si="27"/>
        <v>0</v>
      </c>
      <c r="L175">
        <f t="shared" si="28"/>
        <v>0</v>
      </c>
      <c r="M175">
        <f t="shared" si="29"/>
        <v>0</v>
      </c>
      <c r="N175">
        <f t="shared" si="30"/>
        <v>0</v>
      </c>
    </row>
    <row r="176" spans="1:14" x14ac:dyDescent="0.2">
      <c r="A176">
        <f t="shared" si="20"/>
        <v>174</v>
      </c>
      <c r="B176" s="1" t="s">
        <v>75</v>
      </c>
      <c r="C176" s="2">
        <v>4</v>
      </c>
      <c r="D176" s="2">
        <v>0</v>
      </c>
      <c r="E176" s="2">
        <v>-5</v>
      </c>
      <c r="F176" s="2">
        <v>0</v>
      </c>
      <c r="G176" s="2">
        <v>-1</v>
      </c>
      <c r="H176">
        <f t="shared" si="19"/>
        <v>65535</v>
      </c>
      <c r="I176" s="2"/>
      <c r="J176">
        <f t="shared" si="26"/>
        <v>-8</v>
      </c>
      <c r="K176">
        <f t="shared" si="27"/>
        <v>0</v>
      </c>
      <c r="L176">
        <f t="shared" si="28"/>
        <v>0</v>
      </c>
      <c r="M176">
        <f t="shared" si="29"/>
        <v>0</v>
      </c>
      <c r="N176">
        <f t="shared" si="30"/>
        <v>0</v>
      </c>
    </row>
    <row r="177" spans="1:14" x14ac:dyDescent="0.2">
      <c r="A177">
        <f t="shared" si="20"/>
        <v>175</v>
      </c>
      <c r="B177" s="1" t="s">
        <v>76</v>
      </c>
      <c r="C177">
        <v>4</v>
      </c>
      <c r="D177">
        <v>4</v>
      </c>
      <c r="E177">
        <v>-5</v>
      </c>
      <c r="F177">
        <v>-2</v>
      </c>
      <c r="G177">
        <v>0</v>
      </c>
      <c r="H177">
        <f t="shared" si="19"/>
        <v>65535</v>
      </c>
      <c r="J177">
        <f t="shared" si="26"/>
        <v>-8</v>
      </c>
      <c r="K177">
        <f t="shared" si="27"/>
        <v>0</v>
      </c>
      <c r="L177">
        <f t="shared" si="28"/>
        <v>0</v>
      </c>
      <c r="M177">
        <f t="shared" si="29"/>
        <v>0</v>
      </c>
      <c r="N177">
        <f t="shared" si="30"/>
        <v>0</v>
      </c>
    </row>
    <row r="178" spans="1:14" x14ac:dyDescent="0.2">
      <c r="A178">
        <f t="shared" si="20"/>
        <v>176</v>
      </c>
      <c r="B178" s="1" t="s">
        <v>77</v>
      </c>
      <c r="C178">
        <v>4</v>
      </c>
      <c r="D178">
        <v>3</v>
      </c>
      <c r="E178">
        <v>-5</v>
      </c>
      <c r="F178">
        <v>-1</v>
      </c>
      <c r="G178">
        <v>-1</v>
      </c>
      <c r="H178">
        <f t="shared" si="19"/>
        <v>65535</v>
      </c>
      <c r="J178">
        <f t="shared" si="26"/>
        <v>-8</v>
      </c>
      <c r="K178">
        <f t="shared" si="27"/>
        <v>0</v>
      </c>
      <c r="L178">
        <f t="shared" si="28"/>
        <v>0</v>
      </c>
      <c r="M178">
        <f t="shared" si="29"/>
        <v>0</v>
      </c>
      <c r="N178">
        <f t="shared" si="30"/>
        <v>0</v>
      </c>
    </row>
    <row r="179" spans="1:14" x14ac:dyDescent="0.2">
      <c r="A179">
        <f t="shared" si="20"/>
        <v>177</v>
      </c>
      <c r="B179" s="1" t="s">
        <v>78</v>
      </c>
      <c r="C179">
        <v>4</v>
      </c>
      <c r="D179">
        <v>2</v>
      </c>
      <c r="E179">
        <v>0</v>
      </c>
      <c r="F179">
        <v>0</v>
      </c>
      <c r="G179">
        <v>0</v>
      </c>
      <c r="H179">
        <f t="shared" si="19"/>
        <v>65535</v>
      </c>
      <c r="J179">
        <f t="shared" si="26"/>
        <v>-8</v>
      </c>
      <c r="K179">
        <f t="shared" si="27"/>
        <v>0</v>
      </c>
      <c r="L179">
        <f t="shared" si="28"/>
        <v>0</v>
      </c>
      <c r="M179">
        <f t="shared" si="29"/>
        <v>0</v>
      </c>
      <c r="N179">
        <f t="shared" si="30"/>
        <v>0</v>
      </c>
    </row>
    <row r="180" spans="1:14" x14ac:dyDescent="0.2">
      <c r="A180">
        <f t="shared" si="20"/>
        <v>178</v>
      </c>
      <c r="B180" s="1" t="s">
        <v>79</v>
      </c>
      <c r="C180">
        <v>4</v>
      </c>
      <c r="D180">
        <v>0</v>
      </c>
      <c r="E180">
        <v>-5</v>
      </c>
      <c r="F180">
        <v>-1</v>
      </c>
      <c r="G180">
        <v>-1</v>
      </c>
      <c r="H180">
        <f t="shared" si="19"/>
        <v>65535</v>
      </c>
      <c r="J180">
        <f t="shared" si="26"/>
        <v>-8</v>
      </c>
      <c r="K180">
        <f t="shared" si="27"/>
        <v>0</v>
      </c>
      <c r="L180">
        <f t="shared" si="28"/>
        <v>0</v>
      </c>
      <c r="M180">
        <f t="shared" si="29"/>
        <v>0</v>
      </c>
      <c r="N180">
        <f t="shared" si="30"/>
        <v>0</v>
      </c>
    </row>
    <row r="181" spans="1:14" x14ac:dyDescent="0.2">
      <c r="A181">
        <f t="shared" si="20"/>
        <v>179</v>
      </c>
      <c r="B181" s="1" t="s">
        <v>80</v>
      </c>
      <c r="C181">
        <v>4</v>
      </c>
      <c r="D181">
        <v>-2</v>
      </c>
      <c r="E181">
        <v>-5</v>
      </c>
      <c r="F181">
        <v>-1</v>
      </c>
      <c r="G181">
        <v>0</v>
      </c>
      <c r="H181">
        <f t="shared" si="19"/>
        <v>65535</v>
      </c>
      <c r="J181">
        <f t="shared" si="26"/>
        <v>-8</v>
      </c>
      <c r="K181">
        <f t="shared" si="27"/>
        <v>0</v>
      </c>
      <c r="L181">
        <f t="shared" si="28"/>
        <v>0</v>
      </c>
      <c r="M181">
        <f t="shared" si="29"/>
        <v>0</v>
      </c>
      <c r="N181">
        <f t="shared" si="30"/>
        <v>0</v>
      </c>
    </row>
    <row r="182" spans="1:14" x14ac:dyDescent="0.2">
      <c r="A182">
        <f t="shared" si="20"/>
        <v>180</v>
      </c>
      <c r="B182" s="1" t="s">
        <v>81</v>
      </c>
      <c r="C182">
        <v>6</v>
      </c>
      <c r="D182">
        <v>-3</v>
      </c>
      <c r="E182">
        <v>-5</v>
      </c>
      <c r="F182">
        <v>-1</v>
      </c>
      <c r="G182">
        <v>-1</v>
      </c>
      <c r="H182">
        <f t="shared" si="19"/>
        <v>65535</v>
      </c>
      <c r="J182">
        <f t="shared" si="26"/>
        <v>-8</v>
      </c>
      <c r="K182">
        <f t="shared" si="27"/>
        <v>0</v>
      </c>
      <c r="L182">
        <f t="shared" si="28"/>
        <v>0</v>
      </c>
      <c r="M182">
        <f t="shared" si="29"/>
        <v>0</v>
      </c>
      <c r="N182">
        <f t="shared" si="30"/>
        <v>0</v>
      </c>
    </row>
    <row r="183" spans="1:14" x14ac:dyDescent="0.2">
      <c r="A183">
        <f t="shared" si="20"/>
        <v>181</v>
      </c>
      <c r="B183" s="1" t="s">
        <v>82</v>
      </c>
      <c r="C183">
        <v>5</v>
      </c>
      <c r="D183">
        <v>-4</v>
      </c>
      <c r="E183">
        <v>0</v>
      </c>
      <c r="F183">
        <v>0</v>
      </c>
      <c r="G183">
        <v>0</v>
      </c>
      <c r="H183">
        <f t="shared" si="19"/>
        <v>65535</v>
      </c>
      <c r="J183">
        <f t="shared" si="26"/>
        <v>-8</v>
      </c>
      <c r="K183">
        <f t="shared" si="27"/>
        <v>0</v>
      </c>
      <c r="L183">
        <f t="shared" si="28"/>
        <v>0</v>
      </c>
      <c r="M183">
        <f t="shared" si="29"/>
        <v>0</v>
      </c>
      <c r="N183">
        <f t="shared" si="30"/>
        <v>0</v>
      </c>
    </row>
    <row r="184" spans="1:14" s="7" customFormat="1" x14ac:dyDescent="0.2">
      <c r="A184">
        <f t="shared" si="20"/>
        <v>182</v>
      </c>
      <c r="B184" s="5" t="s">
        <v>83</v>
      </c>
      <c r="C184" s="7">
        <v>4</v>
      </c>
      <c r="D184" s="7">
        <v>0</v>
      </c>
      <c r="E184" s="7">
        <v>-5</v>
      </c>
      <c r="F184" s="7">
        <v>0</v>
      </c>
      <c r="G184" s="7">
        <v>-1</v>
      </c>
      <c r="H184">
        <f t="shared" si="19"/>
        <v>65535</v>
      </c>
      <c r="J184">
        <f t="shared" si="26"/>
        <v>-8</v>
      </c>
      <c r="K184">
        <f t="shared" si="27"/>
        <v>0</v>
      </c>
      <c r="L184">
        <f t="shared" si="28"/>
        <v>0</v>
      </c>
      <c r="M184">
        <f t="shared" si="29"/>
        <v>0</v>
      </c>
      <c r="N184">
        <f t="shared" si="30"/>
        <v>0</v>
      </c>
    </row>
    <row r="185" spans="1:14" s="4" customFormat="1" x14ac:dyDescent="0.2">
      <c r="A185">
        <f t="shared" si="20"/>
        <v>183</v>
      </c>
      <c r="B185" s="5" t="s">
        <v>84</v>
      </c>
      <c r="C185" s="4">
        <v>4</v>
      </c>
      <c r="D185" s="4">
        <v>4</v>
      </c>
      <c r="E185" s="4">
        <v>-5</v>
      </c>
      <c r="F185" s="7">
        <v>-2</v>
      </c>
      <c r="G185" s="4">
        <v>0</v>
      </c>
      <c r="H185">
        <f t="shared" si="19"/>
        <v>65535</v>
      </c>
      <c r="J185">
        <f t="shared" si="26"/>
        <v>-8</v>
      </c>
      <c r="K185">
        <f t="shared" si="27"/>
        <v>0</v>
      </c>
      <c r="L185">
        <f t="shared" si="28"/>
        <v>0</v>
      </c>
      <c r="M185">
        <f t="shared" si="29"/>
        <v>0</v>
      </c>
      <c r="N185">
        <f t="shared" si="30"/>
        <v>0</v>
      </c>
    </row>
    <row r="186" spans="1:14" s="4" customFormat="1" x14ac:dyDescent="0.2">
      <c r="A186">
        <f t="shared" si="20"/>
        <v>184</v>
      </c>
      <c r="B186" s="5" t="s">
        <v>85</v>
      </c>
      <c r="C186" s="4">
        <v>4</v>
      </c>
      <c r="D186" s="4">
        <v>3</v>
      </c>
      <c r="E186" s="4">
        <v>-5</v>
      </c>
      <c r="F186" s="7">
        <v>-2</v>
      </c>
      <c r="G186" s="4">
        <v>-1</v>
      </c>
      <c r="H186">
        <f t="shared" si="19"/>
        <v>65535</v>
      </c>
      <c r="J186">
        <f t="shared" si="26"/>
        <v>-8</v>
      </c>
      <c r="K186">
        <f t="shared" si="27"/>
        <v>0</v>
      </c>
      <c r="L186">
        <f t="shared" si="28"/>
        <v>0</v>
      </c>
      <c r="M186">
        <f t="shared" si="29"/>
        <v>0</v>
      </c>
      <c r="N186">
        <f t="shared" si="30"/>
        <v>0</v>
      </c>
    </row>
    <row r="187" spans="1:14" s="4" customFormat="1" x14ac:dyDescent="0.2">
      <c r="A187">
        <f t="shared" si="20"/>
        <v>185</v>
      </c>
      <c r="B187" s="5" t="s">
        <v>86</v>
      </c>
      <c r="C187" s="4">
        <v>4</v>
      </c>
      <c r="D187" s="4">
        <v>2</v>
      </c>
      <c r="E187" s="7">
        <v>-5</v>
      </c>
      <c r="F187" s="7">
        <v>-2</v>
      </c>
      <c r="G187" s="4">
        <v>0</v>
      </c>
      <c r="H187">
        <f t="shared" si="19"/>
        <v>65535</v>
      </c>
      <c r="J187">
        <f t="shared" si="26"/>
        <v>-8</v>
      </c>
      <c r="K187">
        <f t="shared" si="27"/>
        <v>0</v>
      </c>
      <c r="L187">
        <f t="shared" si="28"/>
        <v>0</v>
      </c>
      <c r="M187">
        <f t="shared" si="29"/>
        <v>0</v>
      </c>
      <c r="N187">
        <f t="shared" si="30"/>
        <v>0</v>
      </c>
    </row>
    <row r="188" spans="1:14" s="4" customFormat="1" x14ac:dyDescent="0.2">
      <c r="A188">
        <f t="shared" si="20"/>
        <v>186</v>
      </c>
      <c r="B188" s="5" t="s">
        <v>87</v>
      </c>
      <c r="C188" s="4">
        <v>4</v>
      </c>
      <c r="D188" s="4">
        <v>0</v>
      </c>
      <c r="E188" s="4">
        <v>-5</v>
      </c>
      <c r="F188" s="7">
        <v>-2</v>
      </c>
      <c r="G188" s="4">
        <v>-1</v>
      </c>
      <c r="H188">
        <f t="shared" si="19"/>
        <v>65535</v>
      </c>
      <c r="J188">
        <f t="shared" si="26"/>
        <v>-8</v>
      </c>
      <c r="K188">
        <f t="shared" si="27"/>
        <v>0</v>
      </c>
      <c r="L188">
        <f t="shared" si="28"/>
        <v>0</v>
      </c>
      <c r="M188">
        <f t="shared" si="29"/>
        <v>0</v>
      </c>
      <c r="N188">
        <f t="shared" si="30"/>
        <v>0</v>
      </c>
    </row>
    <row r="189" spans="1:14" s="4" customFormat="1" x14ac:dyDescent="0.2">
      <c r="A189">
        <f t="shared" si="20"/>
        <v>187</v>
      </c>
      <c r="B189" s="5" t="s">
        <v>88</v>
      </c>
      <c r="C189" s="4">
        <v>4</v>
      </c>
      <c r="D189" s="4">
        <v>-2</v>
      </c>
      <c r="E189" s="4">
        <v>-5</v>
      </c>
      <c r="F189" s="7">
        <v>-2</v>
      </c>
      <c r="G189" s="4">
        <v>0</v>
      </c>
      <c r="H189">
        <f t="shared" si="19"/>
        <v>65535</v>
      </c>
      <c r="J189">
        <f t="shared" si="26"/>
        <v>-8</v>
      </c>
      <c r="K189">
        <f t="shared" si="27"/>
        <v>0</v>
      </c>
      <c r="L189">
        <f t="shared" si="28"/>
        <v>0</v>
      </c>
      <c r="M189">
        <f t="shared" si="29"/>
        <v>0</v>
      </c>
      <c r="N189">
        <f t="shared" si="30"/>
        <v>0</v>
      </c>
    </row>
    <row r="190" spans="1:14" s="4" customFormat="1" x14ac:dyDescent="0.2">
      <c r="A190">
        <f t="shared" si="20"/>
        <v>188</v>
      </c>
      <c r="B190" s="5" t="s">
        <v>89</v>
      </c>
      <c r="C190" s="4">
        <v>6</v>
      </c>
      <c r="D190" s="4">
        <v>-3</v>
      </c>
      <c r="E190" s="4">
        <v>-5</v>
      </c>
      <c r="F190" s="7">
        <v>-2</v>
      </c>
      <c r="G190" s="4">
        <v>-1</v>
      </c>
      <c r="H190">
        <f t="shared" si="19"/>
        <v>65535</v>
      </c>
      <c r="J190">
        <f t="shared" si="26"/>
        <v>-8</v>
      </c>
      <c r="K190">
        <f t="shared" si="27"/>
        <v>0</v>
      </c>
      <c r="L190">
        <f t="shared" si="28"/>
        <v>0</v>
      </c>
      <c r="M190">
        <f t="shared" si="29"/>
        <v>0</v>
      </c>
      <c r="N190">
        <f t="shared" si="30"/>
        <v>0</v>
      </c>
    </row>
    <row r="191" spans="1:14" s="4" customFormat="1" x14ac:dyDescent="0.2">
      <c r="A191">
        <f t="shared" si="20"/>
        <v>189</v>
      </c>
      <c r="B191" s="5" t="s">
        <v>90</v>
      </c>
      <c r="C191" s="4">
        <v>5</v>
      </c>
      <c r="D191" s="4">
        <v>-4</v>
      </c>
      <c r="E191" s="7">
        <v>-5</v>
      </c>
      <c r="F191" s="7">
        <v>-2</v>
      </c>
      <c r="G191" s="4">
        <v>0</v>
      </c>
      <c r="H191">
        <f t="shared" si="19"/>
        <v>65535</v>
      </c>
      <c r="J191">
        <f t="shared" si="26"/>
        <v>-8</v>
      </c>
      <c r="K191">
        <f t="shared" si="27"/>
        <v>0</v>
      </c>
      <c r="L191">
        <f t="shared" si="28"/>
        <v>0</v>
      </c>
      <c r="M191">
        <f t="shared" si="29"/>
        <v>0</v>
      </c>
      <c r="N191">
        <f t="shared" si="30"/>
        <v>0</v>
      </c>
    </row>
    <row r="192" spans="1:14" s="2" customFormat="1" x14ac:dyDescent="0.2">
      <c r="A192">
        <f t="shared" si="20"/>
        <v>190</v>
      </c>
      <c r="B192" s="1" t="s">
        <v>256</v>
      </c>
      <c r="C192" s="2">
        <v>4</v>
      </c>
      <c r="D192" s="2">
        <v>0</v>
      </c>
      <c r="E192" s="2">
        <v>-5</v>
      </c>
      <c r="F192" s="2">
        <v>-2</v>
      </c>
      <c r="G192" s="2">
        <v>-1</v>
      </c>
      <c r="H192">
        <f t="shared" si="19"/>
        <v>65535</v>
      </c>
      <c r="J192">
        <f t="shared" si="26"/>
        <v>-8</v>
      </c>
      <c r="K192">
        <f t="shared" si="27"/>
        <v>0</v>
      </c>
      <c r="L192">
        <f t="shared" si="28"/>
        <v>0</v>
      </c>
      <c r="M192">
        <f t="shared" si="29"/>
        <v>0</v>
      </c>
      <c r="N192">
        <f t="shared" si="30"/>
        <v>0</v>
      </c>
    </row>
    <row r="193" spans="1:14" x14ac:dyDescent="0.2">
      <c r="A193">
        <f t="shared" si="20"/>
        <v>191</v>
      </c>
      <c r="B193" s="1" t="s">
        <v>257</v>
      </c>
      <c r="C193">
        <v>4</v>
      </c>
      <c r="D193">
        <v>2</v>
      </c>
      <c r="E193">
        <v>-5</v>
      </c>
      <c r="F193" s="2">
        <v>-2</v>
      </c>
      <c r="G193">
        <v>0</v>
      </c>
      <c r="H193">
        <f t="shared" si="19"/>
        <v>65535</v>
      </c>
      <c r="J193">
        <f t="shared" si="26"/>
        <v>-8</v>
      </c>
      <c r="K193">
        <f t="shared" si="27"/>
        <v>0</v>
      </c>
      <c r="L193">
        <f t="shared" si="28"/>
        <v>0</v>
      </c>
      <c r="M193">
        <f t="shared" si="29"/>
        <v>0</v>
      </c>
      <c r="N193">
        <f t="shared" si="30"/>
        <v>0</v>
      </c>
    </row>
    <row r="194" spans="1:14" x14ac:dyDescent="0.2">
      <c r="A194">
        <f t="shared" si="20"/>
        <v>192</v>
      </c>
      <c r="B194" s="1" t="s">
        <v>258</v>
      </c>
      <c r="C194">
        <v>4</v>
      </c>
      <c r="D194">
        <v>2</v>
      </c>
      <c r="E194">
        <v>-5</v>
      </c>
      <c r="F194" s="2">
        <v>-2</v>
      </c>
      <c r="G194">
        <v>-1</v>
      </c>
      <c r="H194">
        <f t="shared" ref="H194:H257" si="31">_xlfn.XLOOKUP(I194,$B$2:$B$982,$A$2:$A$982,65535)</f>
        <v>65535</v>
      </c>
      <c r="J194">
        <f t="shared" si="26"/>
        <v>-8</v>
      </c>
      <c r="K194">
        <f t="shared" si="27"/>
        <v>0</v>
      </c>
      <c r="L194">
        <f t="shared" si="28"/>
        <v>0</v>
      </c>
      <c r="M194">
        <f t="shared" si="29"/>
        <v>0</v>
      </c>
      <c r="N194">
        <f t="shared" si="30"/>
        <v>0</v>
      </c>
    </row>
    <row r="195" spans="1:14" x14ac:dyDescent="0.2">
      <c r="A195">
        <f t="shared" si="20"/>
        <v>193</v>
      </c>
      <c r="B195" s="1" t="s">
        <v>259</v>
      </c>
      <c r="C195">
        <v>4</v>
      </c>
      <c r="D195">
        <v>1</v>
      </c>
      <c r="E195" s="2">
        <v>-5</v>
      </c>
      <c r="F195" s="2">
        <v>-2</v>
      </c>
      <c r="G195">
        <v>0</v>
      </c>
      <c r="H195">
        <f t="shared" si="31"/>
        <v>65535</v>
      </c>
      <c r="J195">
        <f t="shared" si="26"/>
        <v>-8</v>
      </c>
      <c r="K195">
        <f t="shared" si="27"/>
        <v>0</v>
      </c>
      <c r="L195">
        <f t="shared" si="28"/>
        <v>0</v>
      </c>
      <c r="M195">
        <f t="shared" si="29"/>
        <v>0</v>
      </c>
      <c r="N195">
        <f t="shared" si="30"/>
        <v>0</v>
      </c>
    </row>
    <row r="196" spans="1:14" x14ac:dyDescent="0.2">
      <c r="A196">
        <f t="shared" ref="A196:A259" si="32">A195+1</f>
        <v>194</v>
      </c>
      <c r="B196" s="1" t="s">
        <v>260</v>
      </c>
      <c r="C196">
        <v>4</v>
      </c>
      <c r="D196">
        <v>1</v>
      </c>
      <c r="E196">
        <v>-5</v>
      </c>
      <c r="F196" s="2">
        <v>-3</v>
      </c>
      <c r="G196">
        <v>-1</v>
      </c>
      <c r="H196">
        <f t="shared" si="31"/>
        <v>65535</v>
      </c>
      <c r="J196">
        <f t="shared" si="26"/>
        <v>-8</v>
      </c>
      <c r="K196">
        <f t="shared" si="27"/>
        <v>0</v>
      </c>
      <c r="L196">
        <f t="shared" si="28"/>
        <v>0</v>
      </c>
      <c r="M196">
        <f t="shared" si="29"/>
        <v>0</v>
      </c>
      <c r="N196">
        <f t="shared" si="30"/>
        <v>0</v>
      </c>
    </row>
    <row r="197" spans="1:14" x14ac:dyDescent="0.2">
      <c r="A197">
        <f t="shared" si="32"/>
        <v>195</v>
      </c>
      <c r="B197" s="1" t="s">
        <v>261</v>
      </c>
      <c r="C197">
        <v>4</v>
      </c>
      <c r="D197">
        <v>0</v>
      </c>
      <c r="E197">
        <v>-5</v>
      </c>
      <c r="F197" s="2">
        <v>-3</v>
      </c>
      <c r="G197">
        <v>0</v>
      </c>
      <c r="H197">
        <f t="shared" si="31"/>
        <v>65535</v>
      </c>
      <c r="J197">
        <f t="shared" si="26"/>
        <v>-8</v>
      </c>
      <c r="K197">
        <f t="shared" si="27"/>
        <v>0</v>
      </c>
      <c r="L197">
        <f t="shared" si="28"/>
        <v>0</v>
      </c>
      <c r="M197">
        <f t="shared" si="29"/>
        <v>0</v>
      </c>
      <c r="N197">
        <f t="shared" si="30"/>
        <v>0</v>
      </c>
    </row>
    <row r="198" spans="1:14" x14ac:dyDescent="0.2">
      <c r="A198">
        <f t="shared" si="32"/>
        <v>196</v>
      </c>
      <c r="B198" s="1" t="s">
        <v>262</v>
      </c>
      <c r="C198">
        <v>4</v>
      </c>
      <c r="D198">
        <v>0</v>
      </c>
      <c r="E198">
        <v>-5</v>
      </c>
      <c r="F198" s="2">
        <v>-2</v>
      </c>
      <c r="G198">
        <v>-1</v>
      </c>
      <c r="H198">
        <f t="shared" si="31"/>
        <v>65535</v>
      </c>
      <c r="J198">
        <f t="shared" si="26"/>
        <v>-8</v>
      </c>
      <c r="K198">
        <f t="shared" si="27"/>
        <v>0</v>
      </c>
      <c r="L198">
        <f t="shared" si="28"/>
        <v>0</v>
      </c>
      <c r="M198">
        <f t="shared" si="29"/>
        <v>0</v>
      </c>
      <c r="N198">
        <f t="shared" si="30"/>
        <v>0</v>
      </c>
    </row>
    <row r="199" spans="1:14" x14ac:dyDescent="0.2">
      <c r="A199">
        <f t="shared" si="32"/>
        <v>197</v>
      </c>
      <c r="B199" s="1" t="s">
        <v>263</v>
      </c>
      <c r="C199">
        <v>4</v>
      </c>
      <c r="D199">
        <v>-1</v>
      </c>
      <c r="E199">
        <v>-5</v>
      </c>
      <c r="F199" s="2">
        <v>-2</v>
      </c>
      <c r="G199">
        <v>0</v>
      </c>
      <c r="H199">
        <f t="shared" si="31"/>
        <v>65535</v>
      </c>
      <c r="J199">
        <f t="shared" si="26"/>
        <v>-8</v>
      </c>
      <c r="K199">
        <f t="shared" si="27"/>
        <v>0</v>
      </c>
      <c r="L199">
        <f t="shared" si="28"/>
        <v>0</v>
      </c>
      <c r="M199">
        <f t="shared" si="29"/>
        <v>0</v>
      </c>
      <c r="N199">
        <f t="shared" si="30"/>
        <v>0</v>
      </c>
    </row>
    <row r="200" spans="1:14" x14ac:dyDescent="0.2">
      <c r="A200">
        <f t="shared" si="32"/>
        <v>198</v>
      </c>
      <c r="B200" s="1" t="s">
        <v>264</v>
      </c>
      <c r="C200">
        <v>4</v>
      </c>
      <c r="D200">
        <v>-1</v>
      </c>
      <c r="E200">
        <v>-5</v>
      </c>
      <c r="F200" s="2">
        <v>-2</v>
      </c>
      <c r="G200">
        <v>-1</v>
      </c>
      <c r="H200">
        <f t="shared" si="31"/>
        <v>65535</v>
      </c>
      <c r="J200">
        <f t="shared" si="26"/>
        <v>-8</v>
      </c>
      <c r="K200">
        <f t="shared" si="27"/>
        <v>0</v>
      </c>
      <c r="L200">
        <f t="shared" si="28"/>
        <v>0</v>
      </c>
      <c r="M200">
        <f t="shared" si="29"/>
        <v>0</v>
      </c>
      <c r="N200">
        <f t="shared" si="30"/>
        <v>0</v>
      </c>
    </row>
    <row r="201" spans="1:14" x14ac:dyDescent="0.2">
      <c r="A201">
        <f t="shared" si="32"/>
        <v>199</v>
      </c>
      <c r="B201" s="1" t="s">
        <v>265</v>
      </c>
      <c r="C201">
        <v>6</v>
      </c>
      <c r="D201">
        <v>-2</v>
      </c>
      <c r="E201">
        <v>-5</v>
      </c>
      <c r="F201" s="2">
        <v>-2</v>
      </c>
      <c r="G201">
        <v>0</v>
      </c>
      <c r="H201">
        <f t="shared" si="31"/>
        <v>65535</v>
      </c>
      <c r="J201">
        <f t="shared" si="26"/>
        <v>-8</v>
      </c>
      <c r="K201">
        <f t="shared" si="27"/>
        <v>0</v>
      </c>
      <c r="L201">
        <f t="shared" si="28"/>
        <v>0</v>
      </c>
      <c r="M201">
        <f t="shared" si="29"/>
        <v>0</v>
      </c>
      <c r="N201">
        <f t="shared" si="30"/>
        <v>0</v>
      </c>
    </row>
    <row r="202" spans="1:14" x14ac:dyDescent="0.2">
      <c r="A202">
        <f t="shared" si="32"/>
        <v>200</v>
      </c>
      <c r="B202" s="1" t="s">
        <v>266</v>
      </c>
      <c r="C202">
        <v>5</v>
      </c>
      <c r="D202">
        <v>-2</v>
      </c>
      <c r="E202" s="2">
        <v>-5</v>
      </c>
      <c r="F202" s="2">
        <v>-2</v>
      </c>
      <c r="G202">
        <v>-1</v>
      </c>
      <c r="H202">
        <f t="shared" si="31"/>
        <v>65535</v>
      </c>
      <c r="I202" s="1"/>
      <c r="J202">
        <f t="shared" si="26"/>
        <v>-8</v>
      </c>
      <c r="K202">
        <f t="shared" si="27"/>
        <v>0</v>
      </c>
      <c r="L202">
        <f t="shared" si="28"/>
        <v>0</v>
      </c>
      <c r="M202">
        <f t="shared" si="29"/>
        <v>0</v>
      </c>
      <c r="N202">
        <f t="shared" si="30"/>
        <v>0</v>
      </c>
    </row>
    <row r="203" spans="1:14" s="2" customFormat="1" x14ac:dyDescent="0.2">
      <c r="A203">
        <f t="shared" si="32"/>
        <v>201</v>
      </c>
      <c r="B203" s="8" t="s">
        <v>267</v>
      </c>
      <c r="C203" s="9">
        <v>4</v>
      </c>
      <c r="D203" s="9">
        <v>0</v>
      </c>
      <c r="E203" s="9">
        <v>-5</v>
      </c>
      <c r="F203" s="9">
        <v>-2</v>
      </c>
      <c r="G203" s="9">
        <v>-1</v>
      </c>
      <c r="H203">
        <f t="shared" si="31"/>
        <v>65535</v>
      </c>
      <c r="I203" s="9"/>
      <c r="J203">
        <f t="shared" si="26"/>
        <v>-8</v>
      </c>
      <c r="K203">
        <f t="shared" si="27"/>
        <v>0</v>
      </c>
      <c r="L203">
        <f t="shared" si="28"/>
        <v>0</v>
      </c>
      <c r="M203">
        <f t="shared" si="29"/>
        <v>0</v>
      </c>
      <c r="N203">
        <f t="shared" si="30"/>
        <v>0</v>
      </c>
    </row>
    <row r="204" spans="1:14" x14ac:dyDescent="0.2">
      <c r="A204">
        <f t="shared" si="32"/>
        <v>202</v>
      </c>
      <c r="B204" s="8" t="s">
        <v>268</v>
      </c>
      <c r="C204" s="10">
        <v>4</v>
      </c>
      <c r="D204" s="10">
        <v>2</v>
      </c>
      <c r="E204" s="10">
        <v>-5</v>
      </c>
      <c r="F204" s="9">
        <v>-2</v>
      </c>
      <c r="G204" s="10">
        <v>0</v>
      </c>
      <c r="H204">
        <f t="shared" si="31"/>
        <v>65535</v>
      </c>
      <c r="I204" s="10"/>
      <c r="J204">
        <f t="shared" si="26"/>
        <v>-8</v>
      </c>
      <c r="K204">
        <f t="shared" si="27"/>
        <v>0</v>
      </c>
      <c r="L204">
        <f t="shared" si="28"/>
        <v>0</v>
      </c>
      <c r="M204">
        <f t="shared" si="29"/>
        <v>0</v>
      </c>
      <c r="N204">
        <f t="shared" si="30"/>
        <v>0</v>
      </c>
    </row>
    <row r="205" spans="1:14" x14ac:dyDescent="0.2">
      <c r="A205">
        <f t="shared" si="32"/>
        <v>203</v>
      </c>
      <c r="B205" s="8" t="s">
        <v>269</v>
      </c>
      <c r="C205" s="10">
        <v>4</v>
      </c>
      <c r="D205" s="10">
        <v>1</v>
      </c>
      <c r="E205" s="10">
        <v>-5</v>
      </c>
      <c r="F205" s="9">
        <v>-2</v>
      </c>
      <c r="G205" s="10">
        <v>-1</v>
      </c>
      <c r="H205">
        <f t="shared" si="31"/>
        <v>65535</v>
      </c>
      <c r="I205" s="10"/>
      <c r="J205">
        <f t="shared" ref="J205:J236" si="33">C205-C589</f>
        <v>-8</v>
      </c>
      <c r="K205">
        <f t="shared" ref="K205:K236" si="34">D205-D589</f>
        <v>0</v>
      </c>
      <c r="L205">
        <f t="shared" ref="L205:L236" si="35">E205+E589</f>
        <v>0</v>
      </c>
      <c r="M205">
        <f t="shared" ref="M205:M236" si="36">F205+F589</f>
        <v>0</v>
      </c>
      <c r="N205">
        <f t="shared" ref="N205:N236" si="37">G205+G589</f>
        <v>0</v>
      </c>
    </row>
    <row r="206" spans="1:14" x14ac:dyDescent="0.2">
      <c r="A206">
        <f t="shared" si="32"/>
        <v>204</v>
      </c>
      <c r="B206" s="8" t="s">
        <v>270</v>
      </c>
      <c r="C206" s="10">
        <v>4</v>
      </c>
      <c r="D206" s="10">
        <v>0</v>
      </c>
      <c r="E206" s="9">
        <v>-5</v>
      </c>
      <c r="F206" s="9">
        <v>-2</v>
      </c>
      <c r="G206" s="10">
        <v>0</v>
      </c>
      <c r="H206">
        <f t="shared" si="31"/>
        <v>65535</v>
      </c>
      <c r="I206" s="10"/>
      <c r="J206">
        <f t="shared" si="33"/>
        <v>-8</v>
      </c>
      <c r="K206">
        <f t="shared" si="34"/>
        <v>0</v>
      </c>
      <c r="L206">
        <f t="shared" si="35"/>
        <v>0</v>
      </c>
      <c r="M206">
        <f t="shared" si="36"/>
        <v>0</v>
      </c>
      <c r="N206">
        <f t="shared" si="37"/>
        <v>0</v>
      </c>
    </row>
    <row r="207" spans="1:14" x14ac:dyDescent="0.2">
      <c r="A207">
        <f t="shared" si="32"/>
        <v>205</v>
      </c>
      <c r="B207" s="8" t="s">
        <v>271</v>
      </c>
      <c r="C207" s="10">
        <v>4</v>
      </c>
      <c r="D207" s="10">
        <v>-1</v>
      </c>
      <c r="E207" s="10">
        <v>-5</v>
      </c>
      <c r="F207" s="9">
        <v>-3</v>
      </c>
      <c r="G207" s="10">
        <v>-1</v>
      </c>
      <c r="H207">
        <f t="shared" si="31"/>
        <v>65535</v>
      </c>
      <c r="I207" s="10"/>
      <c r="J207">
        <f t="shared" si="33"/>
        <v>-8</v>
      </c>
      <c r="K207">
        <f t="shared" si="34"/>
        <v>0</v>
      </c>
      <c r="L207">
        <f t="shared" si="35"/>
        <v>0</v>
      </c>
      <c r="M207">
        <f t="shared" si="36"/>
        <v>0</v>
      </c>
      <c r="N207">
        <f t="shared" si="37"/>
        <v>0</v>
      </c>
    </row>
    <row r="208" spans="1:14" x14ac:dyDescent="0.2">
      <c r="A208">
        <f t="shared" si="32"/>
        <v>206</v>
      </c>
      <c r="B208" s="8" t="s">
        <v>272</v>
      </c>
      <c r="C208" s="10">
        <v>4</v>
      </c>
      <c r="D208" s="10">
        <v>-1</v>
      </c>
      <c r="E208" s="10">
        <v>-5</v>
      </c>
      <c r="F208" s="9">
        <v>-3</v>
      </c>
      <c r="G208" s="10">
        <v>0</v>
      </c>
      <c r="H208">
        <f t="shared" si="31"/>
        <v>65535</v>
      </c>
      <c r="I208" s="10"/>
      <c r="J208">
        <f t="shared" si="33"/>
        <v>-8</v>
      </c>
      <c r="K208">
        <f t="shared" si="34"/>
        <v>0</v>
      </c>
      <c r="L208">
        <f t="shared" si="35"/>
        <v>0</v>
      </c>
      <c r="M208">
        <f t="shared" si="36"/>
        <v>0</v>
      </c>
      <c r="N208">
        <f t="shared" si="37"/>
        <v>0</v>
      </c>
    </row>
    <row r="209" spans="1:14" x14ac:dyDescent="0.2">
      <c r="A209">
        <f t="shared" si="32"/>
        <v>207</v>
      </c>
      <c r="B209" s="8" t="s">
        <v>273</v>
      </c>
      <c r="C209" s="10">
        <v>4</v>
      </c>
      <c r="D209" s="10">
        <v>-2</v>
      </c>
      <c r="E209" s="10">
        <v>-5</v>
      </c>
      <c r="F209" s="9">
        <v>-2</v>
      </c>
      <c r="G209" s="10">
        <v>-1</v>
      </c>
      <c r="H209">
        <f t="shared" si="31"/>
        <v>65535</v>
      </c>
      <c r="I209" s="10"/>
      <c r="J209">
        <f t="shared" si="33"/>
        <v>-8</v>
      </c>
      <c r="K209">
        <f t="shared" si="34"/>
        <v>0</v>
      </c>
      <c r="L209">
        <f t="shared" si="35"/>
        <v>0</v>
      </c>
      <c r="M209">
        <f t="shared" si="36"/>
        <v>0</v>
      </c>
      <c r="N209">
        <f t="shared" si="37"/>
        <v>0</v>
      </c>
    </row>
    <row r="210" spans="1:14" x14ac:dyDescent="0.2">
      <c r="A210">
        <f t="shared" si="32"/>
        <v>208</v>
      </c>
      <c r="B210" s="8" t="s">
        <v>274</v>
      </c>
      <c r="C210" s="10">
        <v>4</v>
      </c>
      <c r="D210" s="10">
        <v>-3</v>
      </c>
      <c r="E210" s="10">
        <v>-5</v>
      </c>
      <c r="F210" s="9">
        <v>-2</v>
      </c>
      <c r="G210" s="10">
        <v>0</v>
      </c>
      <c r="H210">
        <f t="shared" si="31"/>
        <v>65535</v>
      </c>
      <c r="I210" s="10"/>
      <c r="J210">
        <f t="shared" si="33"/>
        <v>-8</v>
      </c>
      <c r="K210">
        <f t="shared" si="34"/>
        <v>0</v>
      </c>
      <c r="L210">
        <f t="shared" si="35"/>
        <v>0</v>
      </c>
      <c r="M210">
        <f t="shared" si="36"/>
        <v>0</v>
      </c>
      <c r="N210">
        <f t="shared" si="37"/>
        <v>0</v>
      </c>
    </row>
    <row r="211" spans="1:14" x14ac:dyDescent="0.2">
      <c r="A211">
        <f t="shared" si="32"/>
        <v>209</v>
      </c>
      <c r="B211" s="8" t="s">
        <v>275</v>
      </c>
      <c r="C211" s="10">
        <v>5</v>
      </c>
      <c r="D211" s="10">
        <v>-4</v>
      </c>
      <c r="E211" s="10">
        <v>-5</v>
      </c>
      <c r="F211" s="9">
        <v>-2</v>
      </c>
      <c r="G211" s="10">
        <v>-1</v>
      </c>
      <c r="H211">
        <f t="shared" si="31"/>
        <v>65535</v>
      </c>
      <c r="I211" s="10"/>
      <c r="J211">
        <f t="shared" si="33"/>
        <v>-8</v>
      </c>
      <c r="K211">
        <f t="shared" si="34"/>
        <v>0</v>
      </c>
      <c r="L211">
        <f t="shared" si="35"/>
        <v>0</v>
      </c>
      <c r="M211">
        <f t="shared" si="36"/>
        <v>0</v>
      </c>
      <c r="N211">
        <f t="shared" si="37"/>
        <v>0</v>
      </c>
    </row>
    <row r="212" spans="1:14" x14ac:dyDescent="0.2">
      <c r="A212">
        <f t="shared" si="32"/>
        <v>210</v>
      </c>
      <c r="B212" s="8" t="s">
        <v>276</v>
      </c>
      <c r="C212" s="10">
        <v>6</v>
      </c>
      <c r="D212" s="10">
        <v>0</v>
      </c>
      <c r="E212" s="10">
        <v>-5</v>
      </c>
      <c r="F212" s="9">
        <v>-2</v>
      </c>
      <c r="G212" s="10">
        <v>0</v>
      </c>
      <c r="H212">
        <f t="shared" si="31"/>
        <v>65535</v>
      </c>
      <c r="I212" s="10"/>
      <c r="J212">
        <f t="shared" si="33"/>
        <v>-8</v>
      </c>
      <c r="K212">
        <f t="shared" si="34"/>
        <v>0</v>
      </c>
      <c r="L212">
        <f t="shared" si="35"/>
        <v>0</v>
      </c>
      <c r="M212">
        <f t="shared" si="36"/>
        <v>0</v>
      </c>
      <c r="N212">
        <f t="shared" si="37"/>
        <v>0</v>
      </c>
    </row>
    <row r="213" spans="1:14" x14ac:dyDescent="0.2">
      <c r="A213">
        <f t="shared" si="32"/>
        <v>211</v>
      </c>
      <c r="B213" s="8" t="s">
        <v>277</v>
      </c>
      <c r="C213" s="10">
        <v>4</v>
      </c>
      <c r="D213" s="10">
        <v>0</v>
      </c>
      <c r="E213" s="9">
        <v>-5</v>
      </c>
      <c r="F213" s="9">
        <v>-2</v>
      </c>
      <c r="G213" s="10">
        <v>-1</v>
      </c>
      <c r="H213">
        <f t="shared" si="31"/>
        <v>65535</v>
      </c>
      <c r="I213" s="10"/>
      <c r="J213">
        <f t="shared" si="33"/>
        <v>-8</v>
      </c>
      <c r="K213">
        <f t="shared" si="34"/>
        <v>0</v>
      </c>
      <c r="L213">
        <f t="shared" si="35"/>
        <v>0</v>
      </c>
      <c r="M213">
        <f t="shared" si="36"/>
        <v>0</v>
      </c>
      <c r="N213">
        <f t="shared" si="37"/>
        <v>0</v>
      </c>
    </row>
    <row r="214" spans="1:14" s="2" customFormat="1" x14ac:dyDescent="0.2">
      <c r="A214">
        <f t="shared" si="32"/>
        <v>212</v>
      </c>
      <c r="B214" s="8" t="s">
        <v>562</v>
      </c>
      <c r="C214" s="9">
        <v>4</v>
      </c>
      <c r="D214" s="9">
        <v>0</v>
      </c>
      <c r="E214" s="9">
        <v>-5</v>
      </c>
      <c r="F214" s="9">
        <v>-2</v>
      </c>
      <c r="G214" s="9">
        <v>-1</v>
      </c>
      <c r="H214">
        <f t="shared" si="31"/>
        <v>65535</v>
      </c>
      <c r="I214" s="9"/>
      <c r="J214">
        <f t="shared" si="33"/>
        <v>-8</v>
      </c>
      <c r="K214">
        <f t="shared" si="34"/>
        <v>0</v>
      </c>
      <c r="L214">
        <f t="shared" si="35"/>
        <v>0</v>
      </c>
      <c r="M214">
        <f t="shared" si="36"/>
        <v>0</v>
      </c>
      <c r="N214">
        <f t="shared" si="37"/>
        <v>0</v>
      </c>
    </row>
    <row r="215" spans="1:14" x14ac:dyDescent="0.2">
      <c r="A215">
        <f t="shared" si="32"/>
        <v>213</v>
      </c>
      <c r="B215" s="8" t="s">
        <v>563</v>
      </c>
      <c r="C215" s="10">
        <v>4</v>
      </c>
      <c r="D215" s="10">
        <v>2</v>
      </c>
      <c r="E215" s="10">
        <v>-5</v>
      </c>
      <c r="F215" s="9">
        <v>-2</v>
      </c>
      <c r="G215" s="10">
        <v>0</v>
      </c>
      <c r="H215">
        <f t="shared" si="31"/>
        <v>65535</v>
      </c>
      <c r="I215" s="10"/>
      <c r="J215">
        <f t="shared" si="33"/>
        <v>-8</v>
      </c>
      <c r="K215">
        <f t="shared" si="34"/>
        <v>0</v>
      </c>
      <c r="L215">
        <f t="shared" si="35"/>
        <v>0</v>
      </c>
      <c r="M215">
        <f t="shared" si="36"/>
        <v>0</v>
      </c>
      <c r="N215">
        <f t="shared" si="37"/>
        <v>0</v>
      </c>
    </row>
    <row r="216" spans="1:14" x14ac:dyDescent="0.2">
      <c r="A216">
        <f t="shared" si="32"/>
        <v>214</v>
      </c>
      <c r="B216" s="8" t="s">
        <v>564</v>
      </c>
      <c r="C216" s="10">
        <v>4</v>
      </c>
      <c r="D216" s="10">
        <v>1</v>
      </c>
      <c r="E216" s="10">
        <v>-5</v>
      </c>
      <c r="F216" s="9">
        <v>-2</v>
      </c>
      <c r="G216" s="10">
        <v>-1</v>
      </c>
      <c r="H216">
        <f t="shared" si="31"/>
        <v>65535</v>
      </c>
      <c r="I216" s="10"/>
      <c r="J216">
        <f t="shared" si="33"/>
        <v>-8</v>
      </c>
      <c r="K216">
        <f t="shared" si="34"/>
        <v>0</v>
      </c>
      <c r="L216">
        <f t="shared" si="35"/>
        <v>0</v>
      </c>
      <c r="M216">
        <f t="shared" si="36"/>
        <v>0</v>
      </c>
      <c r="N216">
        <f t="shared" si="37"/>
        <v>0</v>
      </c>
    </row>
    <row r="217" spans="1:14" x14ac:dyDescent="0.2">
      <c r="A217">
        <f t="shared" si="32"/>
        <v>215</v>
      </c>
      <c r="B217" s="8" t="s">
        <v>565</v>
      </c>
      <c r="C217" s="10">
        <v>4</v>
      </c>
      <c r="D217" s="10">
        <v>0</v>
      </c>
      <c r="E217" s="9">
        <v>-5</v>
      </c>
      <c r="F217" s="9">
        <v>-2</v>
      </c>
      <c r="G217" s="10">
        <v>0</v>
      </c>
      <c r="H217">
        <f t="shared" si="31"/>
        <v>65535</v>
      </c>
      <c r="I217" s="10"/>
      <c r="J217">
        <f t="shared" si="33"/>
        <v>-8</v>
      </c>
      <c r="K217">
        <f t="shared" si="34"/>
        <v>0</v>
      </c>
      <c r="L217">
        <f t="shared" si="35"/>
        <v>0</v>
      </c>
      <c r="M217">
        <f t="shared" si="36"/>
        <v>0</v>
      </c>
      <c r="N217">
        <f t="shared" si="37"/>
        <v>0</v>
      </c>
    </row>
    <row r="218" spans="1:14" x14ac:dyDescent="0.2">
      <c r="A218">
        <f t="shared" si="32"/>
        <v>216</v>
      </c>
      <c r="B218" s="8" t="s">
        <v>566</v>
      </c>
      <c r="C218" s="10">
        <v>4</v>
      </c>
      <c r="D218" s="10">
        <v>-1</v>
      </c>
      <c r="E218" s="10">
        <v>-5</v>
      </c>
      <c r="F218" s="9">
        <v>-3</v>
      </c>
      <c r="G218" s="10">
        <v>-1</v>
      </c>
      <c r="H218">
        <f t="shared" si="31"/>
        <v>65535</v>
      </c>
      <c r="I218" s="10"/>
      <c r="J218">
        <f t="shared" si="33"/>
        <v>-8</v>
      </c>
      <c r="K218">
        <f t="shared" si="34"/>
        <v>0</v>
      </c>
      <c r="L218">
        <f t="shared" si="35"/>
        <v>0</v>
      </c>
      <c r="M218">
        <f t="shared" si="36"/>
        <v>0</v>
      </c>
      <c r="N218">
        <f t="shared" si="37"/>
        <v>0</v>
      </c>
    </row>
    <row r="219" spans="1:14" x14ac:dyDescent="0.2">
      <c r="A219">
        <f t="shared" si="32"/>
        <v>217</v>
      </c>
      <c r="B219" s="8" t="s">
        <v>567</v>
      </c>
      <c r="C219" s="10">
        <v>4</v>
      </c>
      <c r="D219" s="10">
        <v>-1</v>
      </c>
      <c r="E219" s="10">
        <v>-5</v>
      </c>
      <c r="F219" s="9">
        <v>-3</v>
      </c>
      <c r="G219" s="10">
        <v>0</v>
      </c>
      <c r="H219">
        <f t="shared" si="31"/>
        <v>65535</v>
      </c>
      <c r="I219" s="10"/>
      <c r="J219">
        <f t="shared" si="33"/>
        <v>-8</v>
      </c>
      <c r="K219">
        <f t="shared" si="34"/>
        <v>0</v>
      </c>
      <c r="L219">
        <f t="shared" si="35"/>
        <v>0</v>
      </c>
      <c r="M219">
        <f t="shared" si="36"/>
        <v>0</v>
      </c>
      <c r="N219">
        <f t="shared" si="37"/>
        <v>0</v>
      </c>
    </row>
    <row r="220" spans="1:14" x14ac:dyDescent="0.2">
      <c r="A220">
        <f t="shared" si="32"/>
        <v>218</v>
      </c>
      <c r="B220" s="8" t="s">
        <v>568</v>
      </c>
      <c r="C220" s="10">
        <v>4</v>
      </c>
      <c r="D220" s="10">
        <v>-2</v>
      </c>
      <c r="E220" s="10">
        <v>-5</v>
      </c>
      <c r="F220" s="9">
        <v>-2</v>
      </c>
      <c r="G220" s="10">
        <v>-1</v>
      </c>
      <c r="H220">
        <f t="shared" si="31"/>
        <v>65535</v>
      </c>
      <c r="I220" s="10"/>
      <c r="J220">
        <f t="shared" si="33"/>
        <v>-8</v>
      </c>
      <c r="K220">
        <f t="shared" si="34"/>
        <v>0</v>
      </c>
      <c r="L220">
        <f t="shared" si="35"/>
        <v>0</v>
      </c>
      <c r="M220">
        <f t="shared" si="36"/>
        <v>0</v>
      </c>
      <c r="N220">
        <f t="shared" si="37"/>
        <v>0</v>
      </c>
    </row>
    <row r="221" spans="1:14" x14ac:dyDescent="0.2">
      <c r="A221">
        <f t="shared" si="32"/>
        <v>219</v>
      </c>
      <c r="B221" s="8" t="s">
        <v>569</v>
      </c>
      <c r="C221" s="10">
        <v>4</v>
      </c>
      <c r="D221" s="10">
        <v>-3</v>
      </c>
      <c r="E221" s="10">
        <v>-5</v>
      </c>
      <c r="F221" s="9">
        <v>-2</v>
      </c>
      <c r="G221" s="10">
        <v>0</v>
      </c>
      <c r="H221">
        <f t="shared" si="31"/>
        <v>65535</v>
      </c>
      <c r="I221" s="10"/>
      <c r="J221">
        <f t="shared" si="33"/>
        <v>-8</v>
      </c>
      <c r="K221">
        <f t="shared" si="34"/>
        <v>0</v>
      </c>
      <c r="L221">
        <f t="shared" si="35"/>
        <v>0</v>
      </c>
      <c r="M221">
        <f t="shared" si="36"/>
        <v>0</v>
      </c>
      <c r="N221">
        <f t="shared" si="37"/>
        <v>0</v>
      </c>
    </row>
    <row r="222" spans="1:14" x14ac:dyDescent="0.2">
      <c r="A222">
        <f t="shared" si="32"/>
        <v>220</v>
      </c>
      <c r="B222" s="8" t="s">
        <v>570</v>
      </c>
      <c r="C222" s="10">
        <v>4</v>
      </c>
      <c r="D222" s="10">
        <v>-4</v>
      </c>
      <c r="E222" s="10">
        <v>-5</v>
      </c>
      <c r="F222" s="9">
        <v>-2</v>
      </c>
      <c r="G222" s="10">
        <v>-1</v>
      </c>
      <c r="H222">
        <f t="shared" si="31"/>
        <v>65535</v>
      </c>
      <c r="I222" s="10"/>
      <c r="J222">
        <f t="shared" si="33"/>
        <v>-8</v>
      </c>
      <c r="K222">
        <f t="shared" si="34"/>
        <v>0</v>
      </c>
      <c r="L222">
        <f t="shared" si="35"/>
        <v>0</v>
      </c>
      <c r="M222">
        <f t="shared" si="36"/>
        <v>0</v>
      </c>
      <c r="N222">
        <f t="shared" si="37"/>
        <v>0</v>
      </c>
    </row>
    <row r="223" spans="1:14" x14ac:dyDescent="0.2">
      <c r="A223">
        <f t="shared" si="32"/>
        <v>221</v>
      </c>
      <c r="B223" s="8" t="s">
        <v>571</v>
      </c>
      <c r="C223" s="10">
        <v>6</v>
      </c>
      <c r="D223" s="10">
        <v>-4</v>
      </c>
      <c r="E223" s="10">
        <v>-5</v>
      </c>
      <c r="F223" s="9">
        <v>-2</v>
      </c>
      <c r="G223" s="10">
        <v>0</v>
      </c>
      <c r="H223">
        <f t="shared" si="31"/>
        <v>65535</v>
      </c>
      <c r="I223" s="10"/>
      <c r="J223">
        <f t="shared" si="33"/>
        <v>-8</v>
      </c>
      <c r="K223">
        <f t="shared" si="34"/>
        <v>0</v>
      </c>
      <c r="L223">
        <f t="shared" si="35"/>
        <v>0</v>
      </c>
      <c r="M223">
        <f t="shared" si="36"/>
        <v>0</v>
      </c>
      <c r="N223">
        <f t="shared" si="37"/>
        <v>0</v>
      </c>
    </row>
    <row r="224" spans="1:14" x14ac:dyDescent="0.2">
      <c r="A224">
        <f t="shared" si="32"/>
        <v>222</v>
      </c>
      <c r="B224" s="8" t="s">
        <v>572</v>
      </c>
      <c r="C224" s="10">
        <v>5</v>
      </c>
      <c r="D224" s="10">
        <v>-4</v>
      </c>
      <c r="E224" s="9">
        <v>-5</v>
      </c>
      <c r="F224" s="9">
        <v>-2</v>
      </c>
      <c r="G224" s="10">
        <v>-1</v>
      </c>
      <c r="H224">
        <f t="shared" si="31"/>
        <v>65535</v>
      </c>
      <c r="I224" s="10"/>
      <c r="J224">
        <f t="shared" si="33"/>
        <v>-8</v>
      </c>
      <c r="K224">
        <f t="shared" si="34"/>
        <v>0</v>
      </c>
      <c r="L224">
        <f t="shared" si="35"/>
        <v>0</v>
      </c>
      <c r="M224">
        <f t="shared" si="36"/>
        <v>0</v>
      </c>
      <c r="N224">
        <f t="shared" si="37"/>
        <v>0</v>
      </c>
    </row>
    <row r="225" spans="1:14" s="4" customFormat="1" x14ac:dyDescent="0.2">
      <c r="A225">
        <f t="shared" si="32"/>
        <v>223</v>
      </c>
      <c r="B225" s="5" t="s">
        <v>91</v>
      </c>
      <c r="C225" s="4">
        <v>4</v>
      </c>
      <c r="D225" s="4">
        <v>0</v>
      </c>
      <c r="E225" s="4">
        <v>-5</v>
      </c>
      <c r="F225" s="4">
        <v>-2</v>
      </c>
      <c r="G225" s="4">
        <v>0</v>
      </c>
      <c r="H225">
        <f t="shared" si="31"/>
        <v>65535</v>
      </c>
      <c r="J225">
        <f t="shared" si="33"/>
        <v>-8</v>
      </c>
      <c r="K225">
        <f t="shared" si="34"/>
        <v>0</v>
      </c>
      <c r="L225">
        <f t="shared" si="35"/>
        <v>0</v>
      </c>
      <c r="M225">
        <f t="shared" si="36"/>
        <v>0</v>
      </c>
      <c r="N225">
        <f t="shared" si="37"/>
        <v>0</v>
      </c>
    </row>
    <row r="226" spans="1:14" s="4" customFormat="1" x14ac:dyDescent="0.2">
      <c r="A226">
        <f t="shared" si="32"/>
        <v>224</v>
      </c>
      <c r="B226" s="5" t="s">
        <v>92</v>
      </c>
      <c r="C226" s="4">
        <v>4</v>
      </c>
      <c r="D226" s="4">
        <v>4</v>
      </c>
      <c r="E226" s="4">
        <v>-5</v>
      </c>
      <c r="F226" s="4">
        <v>-2</v>
      </c>
      <c r="G226" s="4">
        <v>0</v>
      </c>
      <c r="H226">
        <f t="shared" si="31"/>
        <v>65535</v>
      </c>
      <c r="J226">
        <f t="shared" si="33"/>
        <v>-8</v>
      </c>
      <c r="K226">
        <f t="shared" si="34"/>
        <v>0</v>
      </c>
      <c r="L226">
        <f t="shared" si="35"/>
        <v>0</v>
      </c>
      <c r="M226">
        <f t="shared" si="36"/>
        <v>0</v>
      </c>
      <c r="N226">
        <f t="shared" si="37"/>
        <v>0</v>
      </c>
    </row>
    <row r="227" spans="1:14" s="4" customFormat="1" x14ac:dyDescent="0.2">
      <c r="A227">
        <f t="shared" si="32"/>
        <v>225</v>
      </c>
      <c r="B227" s="5" t="s">
        <v>93</v>
      </c>
      <c r="C227" s="4">
        <v>4</v>
      </c>
      <c r="D227" s="4">
        <v>3</v>
      </c>
      <c r="E227" s="4">
        <v>-5</v>
      </c>
      <c r="F227" s="4">
        <v>-1</v>
      </c>
      <c r="G227" s="4">
        <v>-1</v>
      </c>
      <c r="H227">
        <f t="shared" si="31"/>
        <v>65535</v>
      </c>
      <c r="J227">
        <f t="shared" si="33"/>
        <v>-8</v>
      </c>
      <c r="K227">
        <f t="shared" si="34"/>
        <v>0</v>
      </c>
      <c r="L227">
        <f t="shared" si="35"/>
        <v>0</v>
      </c>
      <c r="M227">
        <f t="shared" si="36"/>
        <v>0</v>
      </c>
      <c r="N227">
        <f t="shared" si="37"/>
        <v>0</v>
      </c>
    </row>
    <row r="228" spans="1:14" s="4" customFormat="1" x14ac:dyDescent="0.2">
      <c r="A228">
        <f t="shared" si="32"/>
        <v>226</v>
      </c>
      <c r="B228" s="5" t="s">
        <v>94</v>
      </c>
      <c r="C228" s="4">
        <v>6</v>
      </c>
      <c r="D228" s="4">
        <v>2</v>
      </c>
      <c r="E228" s="4">
        <v>-5</v>
      </c>
      <c r="F228" s="4">
        <v>-1</v>
      </c>
      <c r="G228" s="4">
        <v>0</v>
      </c>
      <c r="H228">
        <f t="shared" si="31"/>
        <v>65535</v>
      </c>
      <c r="J228">
        <f t="shared" si="33"/>
        <v>-8</v>
      </c>
      <c r="K228">
        <f t="shared" si="34"/>
        <v>0</v>
      </c>
      <c r="L228">
        <f t="shared" si="35"/>
        <v>0</v>
      </c>
      <c r="M228">
        <f t="shared" si="36"/>
        <v>0</v>
      </c>
      <c r="N228">
        <f t="shared" si="37"/>
        <v>0</v>
      </c>
    </row>
    <row r="229" spans="1:14" s="4" customFormat="1" x14ac:dyDescent="0.2">
      <c r="A229">
        <f t="shared" si="32"/>
        <v>227</v>
      </c>
      <c r="B229" s="5" t="s">
        <v>95</v>
      </c>
      <c r="C229" s="4">
        <v>5</v>
      </c>
      <c r="D229" s="4">
        <v>-1</v>
      </c>
      <c r="E229" s="4">
        <v>0</v>
      </c>
      <c r="F229" s="4">
        <v>0</v>
      </c>
      <c r="G229" s="4">
        <v>0</v>
      </c>
      <c r="H229">
        <f t="shared" si="31"/>
        <v>109</v>
      </c>
      <c r="I229" s="5" t="s">
        <v>60</v>
      </c>
      <c r="J229">
        <f t="shared" si="33"/>
        <v>-8</v>
      </c>
      <c r="K229">
        <f t="shared" si="34"/>
        <v>0</v>
      </c>
      <c r="L229">
        <f t="shared" si="35"/>
        <v>0</v>
      </c>
      <c r="M229">
        <f t="shared" si="36"/>
        <v>0</v>
      </c>
      <c r="N229">
        <f t="shared" si="37"/>
        <v>0</v>
      </c>
    </row>
    <row r="230" spans="1:14" s="2" customFormat="1" x14ac:dyDescent="0.2">
      <c r="A230">
        <f t="shared" si="32"/>
        <v>228</v>
      </c>
      <c r="B230" s="8" t="s">
        <v>300</v>
      </c>
      <c r="C230" s="9">
        <v>0</v>
      </c>
      <c r="D230" s="9">
        <v>0</v>
      </c>
      <c r="E230" s="9">
        <v>0</v>
      </c>
      <c r="F230" s="9">
        <v>0</v>
      </c>
      <c r="G230" s="9">
        <v>0</v>
      </c>
      <c r="H230">
        <f t="shared" si="31"/>
        <v>65535</v>
      </c>
      <c r="I230" s="9"/>
      <c r="J230">
        <f t="shared" si="33"/>
        <v>0</v>
      </c>
      <c r="K230">
        <f t="shared" si="34"/>
        <v>0</v>
      </c>
      <c r="L230">
        <f t="shared" si="35"/>
        <v>0</v>
      </c>
      <c r="M230">
        <f t="shared" si="36"/>
        <v>0</v>
      </c>
      <c r="N230">
        <f t="shared" si="37"/>
        <v>0</v>
      </c>
    </row>
    <row r="231" spans="1:14" x14ac:dyDescent="0.2">
      <c r="A231">
        <f t="shared" si="32"/>
        <v>229</v>
      </c>
      <c r="B231" s="8" t="s">
        <v>301</v>
      </c>
      <c r="C231" s="10">
        <v>32</v>
      </c>
      <c r="D231" s="10">
        <v>2</v>
      </c>
      <c r="E231" s="10">
        <v>0</v>
      </c>
      <c r="F231" s="9">
        <v>0</v>
      </c>
      <c r="G231" s="10">
        <v>0</v>
      </c>
      <c r="H231">
        <f t="shared" si="31"/>
        <v>65535</v>
      </c>
      <c r="I231" s="10"/>
      <c r="J231">
        <f t="shared" si="33"/>
        <v>-1</v>
      </c>
      <c r="K231">
        <f t="shared" si="34"/>
        <v>0</v>
      </c>
      <c r="L231">
        <f t="shared" si="35"/>
        <v>0</v>
      </c>
      <c r="M231">
        <f t="shared" si="36"/>
        <v>0</v>
      </c>
      <c r="N231">
        <f t="shared" si="37"/>
        <v>0</v>
      </c>
    </row>
    <row r="232" spans="1:14" x14ac:dyDescent="0.2">
      <c r="A232">
        <f t="shared" si="32"/>
        <v>230</v>
      </c>
      <c r="B232" s="8" t="s">
        <v>302</v>
      </c>
      <c r="C232" s="10">
        <v>33</v>
      </c>
      <c r="D232" s="10">
        <v>2</v>
      </c>
      <c r="E232" s="10">
        <v>0</v>
      </c>
      <c r="F232" s="9">
        <v>0</v>
      </c>
      <c r="G232" s="10">
        <v>0</v>
      </c>
      <c r="H232">
        <f t="shared" si="31"/>
        <v>65535</v>
      </c>
      <c r="I232" s="10"/>
      <c r="J232">
        <f t="shared" si="33"/>
        <v>1</v>
      </c>
      <c r="K232">
        <f t="shared" si="34"/>
        <v>0</v>
      </c>
      <c r="L232">
        <f t="shared" si="35"/>
        <v>0</v>
      </c>
      <c r="M232">
        <f t="shared" si="36"/>
        <v>0</v>
      </c>
      <c r="N232">
        <f t="shared" si="37"/>
        <v>0</v>
      </c>
    </row>
    <row r="233" spans="1:14" x14ac:dyDescent="0.2">
      <c r="A233">
        <f t="shared" si="32"/>
        <v>231</v>
      </c>
      <c r="B233" s="8" t="s">
        <v>303</v>
      </c>
      <c r="C233" s="10">
        <v>34</v>
      </c>
      <c r="D233" s="10">
        <v>0</v>
      </c>
      <c r="E233" s="9">
        <v>-5</v>
      </c>
      <c r="F233" s="9">
        <v>-2</v>
      </c>
      <c r="G233" s="10">
        <v>0</v>
      </c>
      <c r="H233">
        <f t="shared" si="31"/>
        <v>65535</v>
      </c>
      <c r="I233" s="10"/>
      <c r="J233">
        <f t="shared" si="33"/>
        <v>0</v>
      </c>
      <c r="K233">
        <f t="shared" si="34"/>
        <v>0</v>
      </c>
      <c r="L233">
        <f t="shared" si="35"/>
        <v>0</v>
      </c>
      <c r="M233">
        <f t="shared" si="36"/>
        <v>0</v>
      </c>
      <c r="N233">
        <f t="shared" si="37"/>
        <v>0</v>
      </c>
    </row>
    <row r="234" spans="1:14" x14ac:dyDescent="0.2">
      <c r="A234">
        <f t="shared" si="32"/>
        <v>232</v>
      </c>
      <c r="B234" s="8" t="s">
        <v>304</v>
      </c>
      <c r="C234" s="10">
        <v>32</v>
      </c>
      <c r="D234" s="10">
        <v>0</v>
      </c>
      <c r="E234" s="10">
        <v>-5</v>
      </c>
      <c r="F234" s="9">
        <v>-2</v>
      </c>
      <c r="G234" s="10">
        <v>-1</v>
      </c>
      <c r="H234">
        <f t="shared" si="31"/>
        <v>65535</v>
      </c>
      <c r="I234" s="10"/>
      <c r="J234">
        <f t="shared" si="33"/>
        <v>-1</v>
      </c>
      <c r="K234">
        <f t="shared" si="34"/>
        <v>0</v>
      </c>
      <c r="L234">
        <f t="shared" si="35"/>
        <v>0</v>
      </c>
      <c r="M234">
        <f t="shared" si="36"/>
        <v>0</v>
      </c>
      <c r="N234">
        <f t="shared" si="37"/>
        <v>0</v>
      </c>
    </row>
    <row r="235" spans="1:14" x14ac:dyDescent="0.2">
      <c r="A235">
        <f t="shared" si="32"/>
        <v>233</v>
      </c>
      <c r="B235" s="8" t="s">
        <v>305</v>
      </c>
      <c r="C235" s="10">
        <v>33</v>
      </c>
      <c r="D235" s="10">
        <v>0</v>
      </c>
      <c r="E235" s="10">
        <v>-5</v>
      </c>
      <c r="F235" s="9">
        <v>-2</v>
      </c>
      <c r="G235" s="10">
        <v>0</v>
      </c>
      <c r="H235">
        <f t="shared" si="31"/>
        <v>65535</v>
      </c>
      <c r="I235" s="10"/>
      <c r="J235">
        <f t="shared" si="33"/>
        <v>1</v>
      </c>
      <c r="K235">
        <f t="shared" si="34"/>
        <v>0</v>
      </c>
      <c r="L235">
        <f t="shared" si="35"/>
        <v>0</v>
      </c>
      <c r="M235">
        <f t="shared" si="36"/>
        <v>0</v>
      </c>
      <c r="N235">
        <f t="shared" si="37"/>
        <v>0</v>
      </c>
    </row>
    <row r="236" spans="1:14" x14ac:dyDescent="0.2">
      <c r="A236">
        <f t="shared" si="32"/>
        <v>234</v>
      </c>
      <c r="B236" s="8" t="s">
        <v>306</v>
      </c>
      <c r="C236" s="10">
        <v>34</v>
      </c>
      <c r="D236" s="10">
        <v>0</v>
      </c>
      <c r="E236" s="10">
        <v>-5</v>
      </c>
      <c r="F236" s="9">
        <v>-2</v>
      </c>
      <c r="G236" s="10">
        <v>-1</v>
      </c>
      <c r="H236">
        <f t="shared" si="31"/>
        <v>65535</v>
      </c>
      <c r="I236" s="10"/>
      <c r="J236">
        <f t="shared" si="33"/>
        <v>0</v>
      </c>
      <c r="K236">
        <f t="shared" si="34"/>
        <v>0</v>
      </c>
      <c r="L236">
        <f t="shared" si="35"/>
        <v>0</v>
      </c>
      <c r="M236">
        <f t="shared" si="36"/>
        <v>0</v>
      </c>
      <c r="N236">
        <f t="shared" si="37"/>
        <v>0</v>
      </c>
    </row>
    <row r="237" spans="1:14" s="2" customFormat="1" x14ac:dyDescent="0.2">
      <c r="A237">
        <f t="shared" si="32"/>
        <v>235</v>
      </c>
      <c r="B237" s="8" t="s">
        <v>307</v>
      </c>
      <c r="C237" s="9">
        <v>32</v>
      </c>
      <c r="D237" s="9">
        <v>0</v>
      </c>
      <c r="E237" s="9">
        <v>-5</v>
      </c>
      <c r="F237" s="9">
        <v>-2</v>
      </c>
      <c r="G237" s="9">
        <v>-1</v>
      </c>
      <c r="H237">
        <f t="shared" si="31"/>
        <v>65535</v>
      </c>
      <c r="I237" s="9"/>
      <c r="J237">
        <f t="shared" ref="J237:J268" si="38">C237-C621</f>
        <v>-1</v>
      </c>
      <c r="K237">
        <f t="shared" ref="K237:K268" si="39">D237-D621</f>
        <v>0</v>
      </c>
      <c r="L237">
        <f t="shared" ref="L237:L268" si="40">E237+E621</f>
        <v>0</v>
      </c>
      <c r="M237">
        <f t="shared" ref="M237:M268" si="41">F237+F621</f>
        <v>0</v>
      </c>
      <c r="N237">
        <f t="shared" ref="N237:N268" si="42">G237+G621</f>
        <v>0</v>
      </c>
    </row>
    <row r="238" spans="1:14" x14ac:dyDescent="0.2">
      <c r="A238">
        <f t="shared" si="32"/>
        <v>236</v>
      </c>
      <c r="B238" s="8" t="s">
        <v>308</v>
      </c>
      <c r="C238" s="10">
        <v>33</v>
      </c>
      <c r="D238" s="10">
        <v>0</v>
      </c>
      <c r="E238" s="10">
        <v>-5</v>
      </c>
      <c r="F238" s="9">
        <v>-2</v>
      </c>
      <c r="G238" s="10">
        <v>0</v>
      </c>
      <c r="H238">
        <f t="shared" si="31"/>
        <v>65535</v>
      </c>
      <c r="I238" s="10"/>
      <c r="J238">
        <f t="shared" si="38"/>
        <v>1</v>
      </c>
      <c r="K238">
        <f t="shared" si="39"/>
        <v>0</v>
      </c>
      <c r="L238">
        <f t="shared" si="40"/>
        <v>0</v>
      </c>
      <c r="M238">
        <f t="shared" si="41"/>
        <v>0</v>
      </c>
      <c r="N238">
        <f t="shared" si="42"/>
        <v>0</v>
      </c>
    </row>
    <row r="239" spans="1:14" x14ac:dyDescent="0.2">
      <c r="A239">
        <f t="shared" si="32"/>
        <v>237</v>
      </c>
      <c r="B239" s="8" t="s">
        <v>309</v>
      </c>
      <c r="C239" s="10">
        <v>34</v>
      </c>
      <c r="D239" s="10">
        <v>0</v>
      </c>
      <c r="E239" s="10">
        <v>-5</v>
      </c>
      <c r="F239" s="9">
        <v>-2</v>
      </c>
      <c r="G239" s="10">
        <v>-1</v>
      </c>
      <c r="H239">
        <f t="shared" si="31"/>
        <v>65535</v>
      </c>
      <c r="I239" s="10"/>
      <c r="J239">
        <f t="shared" si="38"/>
        <v>0</v>
      </c>
      <c r="K239">
        <f t="shared" si="39"/>
        <v>0</v>
      </c>
      <c r="L239">
        <f t="shared" si="40"/>
        <v>0</v>
      </c>
      <c r="M239">
        <f t="shared" si="41"/>
        <v>0</v>
      </c>
      <c r="N239">
        <f t="shared" si="42"/>
        <v>0</v>
      </c>
    </row>
    <row r="240" spans="1:14" x14ac:dyDescent="0.2">
      <c r="A240">
        <f t="shared" si="32"/>
        <v>238</v>
      </c>
      <c r="B240" s="8" t="s">
        <v>310</v>
      </c>
      <c r="C240" s="10">
        <v>34</v>
      </c>
      <c r="D240" s="10">
        <v>-2</v>
      </c>
      <c r="E240" s="9">
        <v>-5</v>
      </c>
      <c r="F240" s="9">
        <v>-2</v>
      </c>
      <c r="G240" s="10">
        <v>0</v>
      </c>
      <c r="H240">
        <f t="shared" si="31"/>
        <v>65535</v>
      </c>
      <c r="I240" s="10"/>
      <c r="J240">
        <f t="shared" si="38"/>
        <v>0</v>
      </c>
      <c r="K240">
        <f t="shared" si="39"/>
        <v>0</v>
      </c>
      <c r="L240">
        <f t="shared" si="40"/>
        <v>0</v>
      </c>
      <c r="M240">
        <f t="shared" si="41"/>
        <v>0</v>
      </c>
      <c r="N240">
        <f t="shared" si="42"/>
        <v>0</v>
      </c>
    </row>
    <row r="241" spans="1:14" x14ac:dyDescent="0.2">
      <c r="A241">
        <f t="shared" si="32"/>
        <v>239</v>
      </c>
      <c r="B241" s="8" t="s">
        <v>311</v>
      </c>
      <c r="C241" s="10">
        <v>33</v>
      </c>
      <c r="D241" s="10">
        <v>-2</v>
      </c>
      <c r="E241" s="10">
        <v>0</v>
      </c>
      <c r="F241" s="9">
        <v>0</v>
      </c>
      <c r="G241" s="10">
        <v>0</v>
      </c>
      <c r="H241">
        <f t="shared" si="31"/>
        <v>65535</v>
      </c>
      <c r="I241" s="10"/>
      <c r="J241">
        <f t="shared" si="38"/>
        <v>1</v>
      </c>
      <c r="K241">
        <f t="shared" si="39"/>
        <v>0</v>
      </c>
      <c r="L241">
        <f t="shared" si="40"/>
        <v>0</v>
      </c>
      <c r="M241">
        <f t="shared" si="41"/>
        <v>0</v>
      </c>
      <c r="N241">
        <f t="shared" si="42"/>
        <v>0</v>
      </c>
    </row>
    <row r="242" spans="1:14" x14ac:dyDescent="0.2">
      <c r="A242">
        <f t="shared" si="32"/>
        <v>240</v>
      </c>
      <c r="B242" s="8" t="s">
        <v>312</v>
      </c>
      <c r="C242" s="10">
        <v>0</v>
      </c>
      <c r="D242" s="10">
        <v>0</v>
      </c>
      <c r="E242" s="10">
        <v>0</v>
      </c>
      <c r="F242" s="9">
        <v>0</v>
      </c>
      <c r="G242" s="10">
        <v>0</v>
      </c>
      <c r="H242">
        <f t="shared" si="31"/>
        <v>109</v>
      </c>
      <c r="I242" s="5" t="s">
        <v>60</v>
      </c>
      <c r="J242">
        <f t="shared" si="38"/>
        <v>0</v>
      </c>
      <c r="K242">
        <f t="shared" si="39"/>
        <v>0</v>
      </c>
      <c r="L242">
        <f t="shared" si="40"/>
        <v>0</v>
      </c>
      <c r="M242">
        <f t="shared" si="41"/>
        <v>0</v>
      </c>
      <c r="N242">
        <f t="shared" si="42"/>
        <v>0</v>
      </c>
    </row>
    <row r="243" spans="1:14" x14ac:dyDescent="0.2">
      <c r="A243">
        <f t="shared" si="32"/>
        <v>241</v>
      </c>
      <c r="B243" s="1" t="s">
        <v>332</v>
      </c>
      <c r="C243" s="2">
        <v>4</v>
      </c>
      <c r="D243" s="2">
        <v>0</v>
      </c>
      <c r="E243" s="2">
        <v>0</v>
      </c>
      <c r="F243" s="2">
        <v>0</v>
      </c>
      <c r="G243" s="2">
        <v>0</v>
      </c>
      <c r="H243">
        <f t="shared" si="31"/>
        <v>65535</v>
      </c>
      <c r="I243" s="2"/>
      <c r="J243">
        <f t="shared" si="38"/>
        <v>-8</v>
      </c>
      <c r="K243">
        <f t="shared" si="39"/>
        <v>0</v>
      </c>
      <c r="L243">
        <f t="shared" si="40"/>
        <v>0</v>
      </c>
      <c r="M243">
        <f t="shared" si="41"/>
        <v>0</v>
      </c>
      <c r="N243">
        <f t="shared" si="42"/>
        <v>0</v>
      </c>
    </row>
    <row r="244" spans="1:14" x14ac:dyDescent="0.2">
      <c r="A244">
        <f t="shared" si="32"/>
        <v>242</v>
      </c>
      <c r="B244" s="1" t="s">
        <v>333</v>
      </c>
      <c r="C244">
        <v>4</v>
      </c>
      <c r="D244">
        <v>4</v>
      </c>
      <c r="E244">
        <v>0</v>
      </c>
      <c r="F244">
        <v>0</v>
      </c>
      <c r="G244">
        <v>0</v>
      </c>
      <c r="H244">
        <f t="shared" si="31"/>
        <v>65535</v>
      </c>
      <c r="J244">
        <f t="shared" si="38"/>
        <v>-8</v>
      </c>
      <c r="K244">
        <f t="shared" si="39"/>
        <v>0</v>
      </c>
      <c r="L244">
        <f t="shared" si="40"/>
        <v>0</v>
      </c>
      <c r="M244">
        <f t="shared" si="41"/>
        <v>0</v>
      </c>
      <c r="N244">
        <f t="shared" si="42"/>
        <v>0</v>
      </c>
    </row>
    <row r="245" spans="1:14" x14ac:dyDescent="0.2">
      <c r="A245">
        <f t="shared" si="32"/>
        <v>243</v>
      </c>
      <c r="B245" s="1" t="s">
        <v>334</v>
      </c>
      <c r="C245">
        <v>34</v>
      </c>
      <c r="D245">
        <v>-1</v>
      </c>
      <c r="E245">
        <v>0</v>
      </c>
      <c r="F245">
        <v>0</v>
      </c>
      <c r="G245">
        <v>0</v>
      </c>
      <c r="H245">
        <f t="shared" si="31"/>
        <v>65535</v>
      </c>
      <c r="J245">
        <f t="shared" si="38"/>
        <v>0</v>
      </c>
      <c r="K245">
        <f t="shared" si="39"/>
        <v>0</v>
      </c>
      <c r="L245">
        <f t="shared" si="40"/>
        <v>0</v>
      </c>
      <c r="M245">
        <f t="shared" si="41"/>
        <v>0</v>
      </c>
      <c r="N245">
        <f t="shared" si="42"/>
        <v>0</v>
      </c>
    </row>
    <row r="246" spans="1:14" x14ac:dyDescent="0.2">
      <c r="A246">
        <f t="shared" si="32"/>
        <v>244</v>
      </c>
      <c r="B246" s="1" t="s">
        <v>335</v>
      </c>
      <c r="C246">
        <v>34</v>
      </c>
      <c r="D246">
        <v>1</v>
      </c>
      <c r="E246">
        <v>0</v>
      </c>
      <c r="F246">
        <v>0</v>
      </c>
      <c r="G246">
        <v>0</v>
      </c>
      <c r="H246">
        <f t="shared" si="31"/>
        <v>65535</v>
      </c>
      <c r="J246">
        <f t="shared" si="38"/>
        <v>0</v>
      </c>
      <c r="K246">
        <f t="shared" si="39"/>
        <v>0</v>
      </c>
      <c r="L246">
        <f t="shared" si="40"/>
        <v>0</v>
      </c>
      <c r="M246">
        <f t="shared" si="41"/>
        <v>0</v>
      </c>
      <c r="N246">
        <f t="shared" si="42"/>
        <v>0</v>
      </c>
    </row>
    <row r="247" spans="1:14" x14ac:dyDescent="0.2">
      <c r="A247">
        <f t="shared" si="32"/>
        <v>245</v>
      </c>
      <c r="B247" s="1" t="s">
        <v>336</v>
      </c>
      <c r="C247">
        <v>34</v>
      </c>
      <c r="D247">
        <v>2</v>
      </c>
      <c r="E247">
        <v>0</v>
      </c>
      <c r="F247">
        <v>0</v>
      </c>
      <c r="G247">
        <v>0</v>
      </c>
      <c r="H247">
        <f t="shared" si="31"/>
        <v>65535</v>
      </c>
      <c r="J247">
        <f t="shared" si="38"/>
        <v>0</v>
      </c>
      <c r="K247">
        <f t="shared" si="39"/>
        <v>0</v>
      </c>
      <c r="L247">
        <f t="shared" si="40"/>
        <v>0</v>
      </c>
      <c r="M247">
        <f t="shared" si="41"/>
        <v>0</v>
      </c>
      <c r="N247">
        <f t="shared" si="42"/>
        <v>0</v>
      </c>
    </row>
    <row r="248" spans="1:14" x14ac:dyDescent="0.2">
      <c r="A248">
        <f t="shared" si="32"/>
        <v>246</v>
      </c>
      <c r="B248" s="1" t="s">
        <v>337</v>
      </c>
      <c r="C248">
        <v>34</v>
      </c>
      <c r="D248">
        <v>1</v>
      </c>
      <c r="E248">
        <v>0</v>
      </c>
      <c r="F248">
        <v>0</v>
      </c>
      <c r="G248">
        <v>0</v>
      </c>
      <c r="H248">
        <f t="shared" si="31"/>
        <v>65535</v>
      </c>
      <c r="J248">
        <f t="shared" si="38"/>
        <v>0</v>
      </c>
      <c r="K248">
        <f t="shared" si="39"/>
        <v>0</v>
      </c>
      <c r="L248">
        <f t="shared" si="40"/>
        <v>0</v>
      </c>
      <c r="M248">
        <f t="shared" si="41"/>
        <v>0</v>
      </c>
      <c r="N248">
        <f t="shared" si="42"/>
        <v>0</v>
      </c>
    </row>
    <row r="249" spans="1:14" x14ac:dyDescent="0.2">
      <c r="A249">
        <f t="shared" si="32"/>
        <v>247</v>
      </c>
      <c r="B249" s="1" t="s">
        <v>338</v>
      </c>
      <c r="C249">
        <v>34</v>
      </c>
      <c r="D249">
        <v>0</v>
      </c>
      <c r="E249">
        <v>0</v>
      </c>
      <c r="F249">
        <v>0</v>
      </c>
      <c r="G249">
        <v>0</v>
      </c>
      <c r="H249">
        <f t="shared" si="31"/>
        <v>65535</v>
      </c>
      <c r="J249">
        <f t="shared" si="38"/>
        <v>0</v>
      </c>
      <c r="K249">
        <f t="shared" si="39"/>
        <v>0</v>
      </c>
      <c r="L249">
        <f t="shared" si="40"/>
        <v>0</v>
      </c>
      <c r="M249">
        <f t="shared" si="41"/>
        <v>0</v>
      </c>
      <c r="N249">
        <f t="shared" si="42"/>
        <v>0</v>
      </c>
    </row>
    <row r="250" spans="1:14" x14ac:dyDescent="0.2">
      <c r="A250">
        <f t="shared" si="32"/>
        <v>248</v>
      </c>
      <c r="B250" s="1" t="s">
        <v>339</v>
      </c>
      <c r="C250">
        <v>0</v>
      </c>
      <c r="D250">
        <v>-1</v>
      </c>
      <c r="E250">
        <v>0</v>
      </c>
      <c r="F250">
        <v>0</v>
      </c>
      <c r="G250">
        <v>0</v>
      </c>
      <c r="H250">
        <f t="shared" si="31"/>
        <v>65535</v>
      </c>
      <c r="J250">
        <f t="shared" si="38"/>
        <v>0</v>
      </c>
      <c r="K250">
        <f t="shared" si="39"/>
        <v>0</v>
      </c>
      <c r="L250">
        <f t="shared" si="40"/>
        <v>0</v>
      </c>
      <c r="M250">
        <f t="shared" si="41"/>
        <v>0</v>
      </c>
      <c r="N250">
        <f t="shared" si="42"/>
        <v>0</v>
      </c>
    </row>
    <row r="251" spans="1:14" x14ac:dyDescent="0.2">
      <c r="A251">
        <f t="shared" si="32"/>
        <v>249</v>
      </c>
      <c r="B251" s="1" t="s">
        <v>340</v>
      </c>
      <c r="C251">
        <v>0</v>
      </c>
      <c r="D251">
        <v>-2</v>
      </c>
      <c r="E251">
        <v>0</v>
      </c>
      <c r="F251">
        <v>0</v>
      </c>
      <c r="G251">
        <v>0</v>
      </c>
      <c r="H251">
        <f t="shared" si="31"/>
        <v>65535</v>
      </c>
      <c r="J251">
        <f t="shared" si="38"/>
        <v>0</v>
      </c>
      <c r="K251">
        <f t="shared" si="39"/>
        <v>0</v>
      </c>
      <c r="L251">
        <f t="shared" si="40"/>
        <v>0</v>
      </c>
      <c r="M251">
        <f t="shared" si="41"/>
        <v>0</v>
      </c>
      <c r="N251">
        <f t="shared" si="42"/>
        <v>0</v>
      </c>
    </row>
    <row r="252" spans="1:14" x14ac:dyDescent="0.2">
      <c r="A252">
        <f t="shared" si="32"/>
        <v>250</v>
      </c>
      <c r="B252" s="1" t="s">
        <v>341</v>
      </c>
      <c r="C252">
        <v>0</v>
      </c>
      <c r="D252">
        <v>-1</v>
      </c>
      <c r="E252">
        <v>0</v>
      </c>
      <c r="F252">
        <v>0</v>
      </c>
      <c r="G252">
        <v>0</v>
      </c>
      <c r="H252">
        <f t="shared" si="31"/>
        <v>65535</v>
      </c>
      <c r="J252">
        <f t="shared" si="38"/>
        <v>0</v>
      </c>
      <c r="K252">
        <f t="shared" si="39"/>
        <v>0</v>
      </c>
      <c r="L252">
        <f t="shared" si="40"/>
        <v>0</v>
      </c>
      <c r="M252">
        <f t="shared" si="41"/>
        <v>0</v>
      </c>
      <c r="N252">
        <f t="shared" si="42"/>
        <v>0</v>
      </c>
    </row>
    <row r="253" spans="1:14" x14ac:dyDescent="0.2">
      <c r="A253">
        <f t="shared" si="32"/>
        <v>251</v>
      </c>
      <c r="B253" s="1" t="s">
        <v>342</v>
      </c>
      <c r="C253">
        <v>0</v>
      </c>
      <c r="D253" s="2">
        <v>0</v>
      </c>
      <c r="E253" s="2">
        <v>0</v>
      </c>
      <c r="F253" s="2">
        <v>0</v>
      </c>
      <c r="G253" s="2">
        <v>0</v>
      </c>
      <c r="H253">
        <f t="shared" si="31"/>
        <v>65535</v>
      </c>
      <c r="I253" s="2"/>
      <c r="J253">
        <f t="shared" si="38"/>
        <v>0</v>
      </c>
      <c r="K253">
        <f t="shared" si="39"/>
        <v>0</v>
      </c>
      <c r="L253">
        <f t="shared" si="40"/>
        <v>0</v>
      </c>
      <c r="M253">
        <f t="shared" si="41"/>
        <v>0</v>
      </c>
      <c r="N253">
        <f t="shared" si="42"/>
        <v>0</v>
      </c>
    </row>
    <row r="254" spans="1:14" x14ac:dyDescent="0.2">
      <c r="A254">
        <f t="shared" si="32"/>
        <v>252</v>
      </c>
      <c r="B254" s="1" t="s">
        <v>343</v>
      </c>
      <c r="C254">
        <v>34</v>
      </c>
      <c r="D254">
        <v>1</v>
      </c>
      <c r="E254">
        <v>0</v>
      </c>
      <c r="F254">
        <v>0</v>
      </c>
      <c r="G254">
        <v>0</v>
      </c>
      <c r="H254">
        <f t="shared" si="31"/>
        <v>65535</v>
      </c>
      <c r="J254">
        <f t="shared" si="38"/>
        <v>0</v>
      </c>
      <c r="K254">
        <f t="shared" si="39"/>
        <v>0</v>
      </c>
      <c r="L254">
        <f t="shared" si="40"/>
        <v>0</v>
      </c>
      <c r="M254">
        <f t="shared" si="41"/>
        <v>0</v>
      </c>
      <c r="N254">
        <f t="shared" si="42"/>
        <v>0</v>
      </c>
    </row>
    <row r="255" spans="1:14" x14ac:dyDescent="0.2">
      <c r="A255">
        <f t="shared" si="32"/>
        <v>253</v>
      </c>
      <c r="B255" s="1" t="s">
        <v>344</v>
      </c>
      <c r="C255">
        <v>34</v>
      </c>
      <c r="D255">
        <v>2</v>
      </c>
      <c r="E255">
        <v>0</v>
      </c>
      <c r="F255">
        <v>0</v>
      </c>
      <c r="G255">
        <v>0</v>
      </c>
      <c r="H255">
        <f t="shared" si="31"/>
        <v>65535</v>
      </c>
      <c r="J255">
        <f t="shared" si="38"/>
        <v>0</v>
      </c>
      <c r="K255">
        <f t="shared" si="39"/>
        <v>0</v>
      </c>
      <c r="L255">
        <f t="shared" si="40"/>
        <v>0</v>
      </c>
      <c r="M255">
        <f t="shared" si="41"/>
        <v>0</v>
      </c>
      <c r="N255">
        <f t="shared" si="42"/>
        <v>0</v>
      </c>
    </row>
    <row r="256" spans="1:14" x14ac:dyDescent="0.2">
      <c r="A256">
        <f t="shared" si="32"/>
        <v>254</v>
      </c>
      <c r="B256" s="1" t="s">
        <v>345</v>
      </c>
      <c r="C256">
        <v>34</v>
      </c>
      <c r="D256">
        <v>3</v>
      </c>
      <c r="E256">
        <v>0</v>
      </c>
      <c r="F256">
        <v>0</v>
      </c>
      <c r="G256">
        <v>0</v>
      </c>
      <c r="H256">
        <f t="shared" si="31"/>
        <v>65535</v>
      </c>
      <c r="J256">
        <f t="shared" si="38"/>
        <v>0</v>
      </c>
      <c r="K256">
        <f t="shared" si="39"/>
        <v>0</v>
      </c>
      <c r="L256">
        <f t="shared" si="40"/>
        <v>0</v>
      </c>
      <c r="M256">
        <f t="shared" si="41"/>
        <v>0</v>
      </c>
      <c r="N256">
        <f t="shared" si="42"/>
        <v>0</v>
      </c>
    </row>
    <row r="257" spans="1:14" x14ac:dyDescent="0.2">
      <c r="A257">
        <f t="shared" si="32"/>
        <v>255</v>
      </c>
      <c r="B257" s="1" t="s">
        <v>346</v>
      </c>
      <c r="C257">
        <v>34</v>
      </c>
      <c r="D257">
        <v>3</v>
      </c>
      <c r="E257">
        <v>0</v>
      </c>
      <c r="F257">
        <v>0</v>
      </c>
      <c r="G257">
        <v>0</v>
      </c>
      <c r="H257">
        <f t="shared" si="31"/>
        <v>65535</v>
      </c>
      <c r="J257">
        <f t="shared" si="38"/>
        <v>0</v>
      </c>
      <c r="K257">
        <f t="shared" si="39"/>
        <v>0</v>
      </c>
      <c r="L257">
        <f t="shared" si="40"/>
        <v>0</v>
      </c>
      <c r="M257">
        <f t="shared" si="41"/>
        <v>0</v>
      </c>
      <c r="N257">
        <f t="shared" si="42"/>
        <v>0</v>
      </c>
    </row>
    <row r="258" spans="1:14" x14ac:dyDescent="0.2">
      <c r="A258">
        <f t="shared" si="32"/>
        <v>256</v>
      </c>
      <c r="B258" s="1" t="s">
        <v>347</v>
      </c>
      <c r="C258">
        <v>34</v>
      </c>
      <c r="D258">
        <v>2</v>
      </c>
      <c r="E258">
        <v>0</v>
      </c>
      <c r="F258">
        <v>0</v>
      </c>
      <c r="G258">
        <v>0</v>
      </c>
      <c r="H258">
        <f t="shared" ref="H258:H321" si="43">_xlfn.XLOOKUP(I258,$B$2:$B$982,$A$2:$A$982,65535)</f>
        <v>65535</v>
      </c>
      <c r="J258">
        <f t="shared" si="38"/>
        <v>0</v>
      </c>
      <c r="K258">
        <f t="shared" si="39"/>
        <v>0</v>
      </c>
      <c r="L258">
        <f t="shared" si="40"/>
        <v>0</v>
      </c>
      <c r="M258">
        <f t="shared" si="41"/>
        <v>0</v>
      </c>
      <c r="N258">
        <f t="shared" si="42"/>
        <v>0</v>
      </c>
    </row>
    <row r="259" spans="1:14" x14ac:dyDescent="0.2">
      <c r="A259">
        <f t="shared" si="32"/>
        <v>257</v>
      </c>
      <c r="B259" s="1" t="s">
        <v>348</v>
      </c>
      <c r="C259">
        <v>34</v>
      </c>
      <c r="D259">
        <v>1</v>
      </c>
      <c r="E259">
        <v>0</v>
      </c>
      <c r="F259">
        <v>0</v>
      </c>
      <c r="G259">
        <v>0</v>
      </c>
      <c r="H259">
        <f t="shared" si="43"/>
        <v>65535</v>
      </c>
      <c r="J259">
        <f t="shared" si="38"/>
        <v>0</v>
      </c>
      <c r="K259">
        <f t="shared" si="39"/>
        <v>0</v>
      </c>
      <c r="L259">
        <f t="shared" si="40"/>
        <v>0</v>
      </c>
      <c r="M259">
        <f t="shared" si="41"/>
        <v>0</v>
      </c>
      <c r="N259">
        <f t="shared" si="42"/>
        <v>0</v>
      </c>
    </row>
    <row r="260" spans="1:14" x14ac:dyDescent="0.2">
      <c r="A260">
        <f t="shared" ref="A260:A344" si="44">A259+1</f>
        <v>258</v>
      </c>
      <c r="B260" s="1" t="s">
        <v>349</v>
      </c>
      <c r="C260">
        <v>34</v>
      </c>
      <c r="D260">
        <v>0</v>
      </c>
      <c r="E260">
        <v>0</v>
      </c>
      <c r="F260">
        <v>0</v>
      </c>
      <c r="G260">
        <v>0</v>
      </c>
      <c r="H260">
        <f t="shared" si="43"/>
        <v>65535</v>
      </c>
      <c r="J260">
        <f t="shared" si="38"/>
        <v>0</v>
      </c>
      <c r="K260">
        <f t="shared" si="39"/>
        <v>0</v>
      </c>
      <c r="L260">
        <f t="shared" si="40"/>
        <v>0</v>
      </c>
      <c r="M260">
        <f t="shared" si="41"/>
        <v>0</v>
      </c>
      <c r="N260">
        <f t="shared" si="42"/>
        <v>0</v>
      </c>
    </row>
    <row r="261" spans="1:14" x14ac:dyDescent="0.2">
      <c r="A261">
        <f t="shared" si="44"/>
        <v>259</v>
      </c>
      <c r="B261" s="1" t="s">
        <v>350</v>
      </c>
      <c r="C261">
        <v>0</v>
      </c>
      <c r="D261">
        <v>-1</v>
      </c>
      <c r="E261">
        <v>0</v>
      </c>
      <c r="F261">
        <v>0</v>
      </c>
      <c r="G261">
        <v>0</v>
      </c>
      <c r="H261">
        <f t="shared" si="43"/>
        <v>65535</v>
      </c>
      <c r="J261">
        <f t="shared" si="38"/>
        <v>0</v>
      </c>
      <c r="K261">
        <f t="shared" si="39"/>
        <v>0</v>
      </c>
      <c r="L261">
        <f t="shared" si="40"/>
        <v>0</v>
      </c>
      <c r="M261">
        <f t="shared" si="41"/>
        <v>0</v>
      </c>
      <c r="N261">
        <f t="shared" si="42"/>
        <v>0</v>
      </c>
    </row>
    <row r="262" spans="1:14" x14ac:dyDescent="0.2">
      <c r="A262">
        <f t="shared" si="44"/>
        <v>260</v>
      </c>
      <c r="B262" s="1" t="s">
        <v>351</v>
      </c>
      <c r="C262">
        <v>0</v>
      </c>
      <c r="D262">
        <v>-2</v>
      </c>
      <c r="E262">
        <v>0</v>
      </c>
      <c r="F262">
        <v>0</v>
      </c>
      <c r="G262">
        <v>0</v>
      </c>
      <c r="H262">
        <f t="shared" si="43"/>
        <v>65535</v>
      </c>
      <c r="J262">
        <f t="shared" si="38"/>
        <v>0</v>
      </c>
      <c r="K262">
        <f t="shared" si="39"/>
        <v>0</v>
      </c>
      <c r="L262">
        <f t="shared" si="40"/>
        <v>0</v>
      </c>
      <c r="M262">
        <f t="shared" si="41"/>
        <v>0</v>
      </c>
      <c r="N262">
        <f t="shared" si="42"/>
        <v>0</v>
      </c>
    </row>
    <row r="263" spans="1:14" x14ac:dyDescent="0.2">
      <c r="A263">
        <f t="shared" si="44"/>
        <v>261</v>
      </c>
      <c r="B263" s="1" t="s">
        <v>352</v>
      </c>
      <c r="C263">
        <v>0</v>
      </c>
      <c r="D263">
        <v>-3</v>
      </c>
      <c r="E263">
        <v>0</v>
      </c>
      <c r="F263">
        <v>0</v>
      </c>
      <c r="G263">
        <v>0</v>
      </c>
      <c r="H263">
        <f t="shared" si="43"/>
        <v>65535</v>
      </c>
      <c r="J263">
        <f t="shared" si="38"/>
        <v>0</v>
      </c>
      <c r="K263">
        <f t="shared" si="39"/>
        <v>0</v>
      </c>
      <c r="L263">
        <f t="shared" si="40"/>
        <v>0</v>
      </c>
      <c r="M263">
        <f t="shared" si="41"/>
        <v>0</v>
      </c>
      <c r="N263">
        <f t="shared" si="42"/>
        <v>0</v>
      </c>
    </row>
    <row r="264" spans="1:14" x14ac:dyDescent="0.2">
      <c r="A264">
        <f t="shared" si="44"/>
        <v>262</v>
      </c>
      <c r="B264" s="1" t="s">
        <v>353</v>
      </c>
      <c r="C264">
        <v>0</v>
      </c>
      <c r="D264">
        <v>-3</v>
      </c>
      <c r="E264">
        <v>0</v>
      </c>
      <c r="F264">
        <v>0</v>
      </c>
      <c r="G264">
        <v>0</v>
      </c>
      <c r="H264">
        <f t="shared" si="43"/>
        <v>65535</v>
      </c>
      <c r="J264">
        <f t="shared" si="38"/>
        <v>0</v>
      </c>
      <c r="K264">
        <f t="shared" si="39"/>
        <v>0</v>
      </c>
      <c r="L264">
        <f t="shared" si="40"/>
        <v>0</v>
      </c>
      <c r="M264">
        <f t="shared" si="41"/>
        <v>0</v>
      </c>
      <c r="N264">
        <f t="shared" si="42"/>
        <v>0</v>
      </c>
    </row>
    <row r="265" spans="1:14" x14ac:dyDescent="0.2">
      <c r="A265">
        <f t="shared" si="44"/>
        <v>263</v>
      </c>
      <c r="B265" s="1" t="s">
        <v>354</v>
      </c>
      <c r="C265">
        <v>0</v>
      </c>
      <c r="D265">
        <v>-2</v>
      </c>
      <c r="E265">
        <v>0</v>
      </c>
      <c r="F265">
        <v>0</v>
      </c>
      <c r="G265">
        <v>0</v>
      </c>
      <c r="H265">
        <f t="shared" si="43"/>
        <v>65535</v>
      </c>
      <c r="J265">
        <f t="shared" si="38"/>
        <v>0</v>
      </c>
      <c r="K265">
        <f t="shared" si="39"/>
        <v>0</v>
      </c>
      <c r="L265">
        <f t="shared" si="40"/>
        <v>0</v>
      </c>
      <c r="M265">
        <f t="shared" si="41"/>
        <v>0</v>
      </c>
      <c r="N265">
        <f t="shared" si="42"/>
        <v>0</v>
      </c>
    </row>
    <row r="266" spans="1:14" x14ac:dyDescent="0.2">
      <c r="A266">
        <f t="shared" si="44"/>
        <v>264</v>
      </c>
      <c r="B266" s="1" t="s">
        <v>355</v>
      </c>
      <c r="C266">
        <v>0</v>
      </c>
      <c r="D266">
        <v>-1</v>
      </c>
      <c r="E266">
        <v>0</v>
      </c>
      <c r="F266">
        <v>0</v>
      </c>
      <c r="G266">
        <v>0</v>
      </c>
      <c r="H266">
        <f t="shared" si="43"/>
        <v>65535</v>
      </c>
      <c r="J266">
        <f t="shared" si="38"/>
        <v>0</v>
      </c>
      <c r="K266">
        <f t="shared" si="39"/>
        <v>0</v>
      </c>
      <c r="L266">
        <f t="shared" si="40"/>
        <v>0</v>
      </c>
      <c r="M266">
        <f t="shared" si="41"/>
        <v>0</v>
      </c>
      <c r="N266">
        <f t="shared" si="42"/>
        <v>0</v>
      </c>
    </row>
    <row r="267" spans="1:14" x14ac:dyDescent="0.2">
      <c r="A267">
        <f t="shared" si="44"/>
        <v>265</v>
      </c>
      <c r="B267" s="1" t="s">
        <v>356</v>
      </c>
      <c r="C267">
        <v>0</v>
      </c>
      <c r="D267">
        <v>0</v>
      </c>
      <c r="E267">
        <v>0</v>
      </c>
      <c r="F267">
        <v>0</v>
      </c>
      <c r="G267">
        <v>0</v>
      </c>
      <c r="H267">
        <f t="shared" si="43"/>
        <v>65535</v>
      </c>
      <c r="J267">
        <f t="shared" si="38"/>
        <v>0</v>
      </c>
      <c r="K267">
        <f t="shared" si="39"/>
        <v>0</v>
      </c>
      <c r="L267">
        <f t="shared" si="40"/>
        <v>0</v>
      </c>
      <c r="M267">
        <f t="shared" si="41"/>
        <v>0</v>
      </c>
      <c r="N267">
        <f t="shared" si="42"/>
        <v>0</v>
      </c>
    </row>
    <row r="268" spans="1:14" x14ac:dyDescent="0.2">
      <c r="A268">
        <f t="shared" si="44"/>
        <v>266</v>
      </c>
      <c r="B268" s="1" t="s">
        <v>357</v>
      </c>
      <c r="C268">
        <v>34</v>
      </c>
      <c r="D268">
        <v>1</v>
      </c>
      <c r="E268">
        <v>0</v>
      </c>
      <c r="F268">
        <v>0</v>
      </c>
      <c r="G268">
        <v>0</v>
      </c>
      <c r="H268">
        <f t="shared" si="43"/>
        <v>65535</v>
      </c>
      <c r="J268">
        <f t="shared" si="38"/>
        <v>0</v>
      </c>
      <c r="K268">
        <f t="shared" si="39"/>
        <v>0</v>
      </c>
      <c r="L268">
        <f t="shared" si="40"/>
        <v>0</v>
      </c>
      <c r="M268">
        <f t="shared" si="41"/>
        <v>0</v>
      </c>
      <c r="N268">
        <f t="shared" si="42"/>
        <v>0</v>
      </c>
    </row>
    <row r="269" spans="1:14" x14ac:dyDescent="0.2">
      <c r="A269">
        <f t="shared" si="44"/>
        <v>267</v>
      </c>
      <c r="B269" s="1" t="s">
        <v>358</v>
      </c>
      <c r="C269">
        <v>34</v>
      </c>
      <c r="D269">
        <v>2</v>
      </c>
      <c r="E269">
        <v>0</v>
      </c>
      <c r="F269">
        <v>0</v>
      </c>
      <c r="G269">
        <v>0</v>
      </c>
      <c r="H269">
        <f t="shared" si="43"/>
        <v>65535</v>
      </c>
      <c r="J269">
        <f t="shared" ref="J269:J297" si="45">C269-C653</f>
        <v>0</v>
      </c>
      <c r="K269">
        <f t="shared" ref="K269:K297" si="46">D269-D653</f>
        <v>0</v>
      </c>
      <c r="L269">
        <f t="shared" ref="L269:L297" si="47">E269+E653</f>
        <v>0</v>
      </c>
      <c r="M269">
        <f t="shared" ref="M269:M297" si="48">F269+F653</f>
        <v>0</v>
      </c>
      <c r="N269">
        <f t="shared" ref="N269:N297" si="49">G269+G653</f>
        <v>0</v>
      </c>
    </row>
    <row r="270" spans="1:14" x14ac:dyDescent="0.2">
      <c r="A270">
        <f t="shared" si="44"/>
        <v>268</v>
      </c>
      <c r="B270" s="1" t="s">
        <v>359</v>
      </c>
      <c r="C270">
        <v>34</v>
      </c>
      <c r="D270">
        <v>3</v>
      </c>
      <c r="E270">
        <v>0</v>
      </c>
      <c r="F270">
        <v>0</v>
      </c>
      <c r="G270">
        <v>0</v>
      </c>
      <c r="H270">
        <f t="shared" si="43"/>
        <v>65535</v>
      </c>
      <c r="J270">
        <f t="shared" si="45"/>
        <v>0</v>
      </c>
      <c r="K270">
        <f t="shared" si="46"/>
        <v>0</v>
      </c>
      <c r="L270">
        <f t="shared" si="47"/>
        <v>0</v>
      </c>
      <c r="M270">
        <f t="shared" si="48"/>
        <v>0</v>
      </c>
      <c r="N270">
        <f t="shared" si="49"/>
        <v>0</v>
      </c>
    </row>
    <row r="271" spans="1:14" x14ac:dyDescent="0.2">
      <c r="A271">
        <f t="shared" si="44"/>
        <v>269</v>
      </c>
      <c r="B271" s="1" t="s">
        <v>360</v>
      </c>
      <c r="C271">
        <v>34</v>
      </c>
      <c r="D271">
        <v>3</v>
      </c>
      <c r="E271">
        <v>0</v>
      </c>
      <c r="F271">
        <v>0</v>
      </c>
      <c r="G271">
        <v>0</v>
      </c>
      <c r="H271">
        <f t="shared" si="43"/>
        <v>65535</v>
      </c>
      <c r="J271">
        <f t="shared" si="45"/>
        <v>0</v>
      </c>
      <c r="K271">
        <f t="shared" si="46"/>
        <v>0</v>
      </c>
      <c r="L271">
        <f t="shared" si="47"/>
        <v>0</v>
      </c>
      <c r="M271">
        <f t="shared" si="48"/>
        <v>0</v>
      </c>
      <c r="N271">
        <f t="shared" si="49"/>
        <v>0</v>
      </c>
    </row>
    <row r="272" spans="1:14" x14ac:dyDescent="0.2">
      <c r="A272">
        <f t="shared" si="44"/>
        <v>270</v>
      </c>
      <c r="B272" s="1" t="s">
        <v>361</v>
      </c>
      <c r="C272">
        <v>34</v>
      </c>
      <c r="D272">
        <v>4</v>
      </c>
      <c r="E272">
        <v>0</v>
      </c>
      <c r="F272">
        <v>0</v>
      </c>
      <c r="G272">
        <v>0</v>
      </c>
      <c r="H272">
        <f t="shared" si="43"/>
        <v>65535</v>
      </c>
      <c r="J272">
        <f t="shared" si="45"/>
        <v>0</v>
      </c>
      <c r="K272">
        <f t="shared" si="46"/>
        <v>0</v>
      </c>
      <c r="L272">
        <f t="shared" si="47"/>
        <v>0</v>
      </c>
      <c r="M272">
        <f t="shared" si="48"/>
        <v>0</v>
      </c>
      <c r="N272">
        <f t="shared" si="49"/>
        <v>0</v>
      </c>
    </row>
    <row r="273" spans="1:14" x14ac:dyDescent="0.2">
      <c r="A273">
        <f t="shared" si="44"/>
        <v>271</v>
      </c>
      <c r="B273" s="1" t="s">
        <v>362</v>
      </c>
      <c r="C273">
        <v>34</v>
      </c>
      <c r="D273">
        <v>4</v>
      </c>
      <c r="E273">
        <v>0</v>
      </c>
      <c r="F273">
        <v>0</v>
      </c>
      <c r="G273">
        <v>0</v>
      </c>
      <c r="H273">
        <f t="shared" si="43"/>
        <v>65535</v>
      </c>
      <c r="J273">
        <f t="shared" si="45"/>
        <v>0</v>
      </c>
      <c r="K273">
        <f t="shared" si="46"/>
        <v>0</v>
      </c>
      <c r="L273">
        <f t="shared" si="47"/>
        <v>0</v>
      </c>
      <c r="M273">
        <f t="shared" si="48"/>
        <v>0</v>
      </c>
      <c r="N273">
        <f t="shared" si="49"/>
        <v>0</v>
      </c>
    </row>
    <row r="274" spans="1:14" x14ac:dyDescent="0.2">
      <c r="A274">
        <f t="shared" si="44"/>
        <v>272</v>
      </c>
      <c r="B274" s="1" t="s">
        <v>363</v>
      </c>
      <c r="C274">
        <v>34</v>
      </c>
      <c r="D274">
        <v>4</v>
      </c>
      <c r="E274">
        <v>0</v>
      </c>
      <c r="F274">
        <v>0</v>
      </c>
      <c r="G274">
        <v>0</v>
      </c>
      <c r="H274">
        <f t="shared" si="43"/>
        <v>65535</v>
      </c>
      <c r="J274">
        <f t="shared" si="45"/>
        <v>0</v>
      </c>
      <c r="K274">
        <f t="shared" si="46"/>
        <v>0</v>
      </c>
      <c r="L274">
        <f t="shared" si="47"/>
        <v>0</v>
      </c>
      <c r="M274">
        <f t="shared" si="48"/>
        <v>0</v>
      </c>
      <c r="N274">
        <f t="shared" si="49"/>
        <v>0</v>
      </c>
    </row>
    <row r="275" spans="1:14" x14ac:dyDescent="0.2">
      <c r="A275">
        <f t="shared" si="44"/>
        <v>273</v>
      </c>
      <c r="B275" s="1" t="s">
        <v>396</v>
      </c>
      <c r="C275">
        <v>34</v>
      </c>
      <c r="D275">
        <v>4</v>
      </c>
      <c r="E275">
        <v>0</v>
      </c>
      <c r="F275">
        <v>0</v>
      </c>
      <c r="G275">
        <v>0</v>
      </c>
      <c r="H275">
        <f t="shared" si="43"/>
        <v>65535</v>
      </c>
      <c r="J275">
        <f t="shared" si="45"/>
        <v>0</v>
      </c>
      <c r="K275">
        <f t="shared" si="46"/>
        <v>0</v>
      </c>
      <c r="L275">
        <f t="shared" si="47"/>
        <v>0</v>
      </c>
      <c r="M275">
        <f t="shared" si="48"/>
        <v>0</v>
      </c>
      <c r="N275">
        <f t="shared" si="49"/>
        <v>0</v>
      </c>
    </row>
    <row r="276" spans="1:14" x14ac:dyDescent="0.2">
      <c r="A276">
        <f t="shared" si="44"/>
        <v>274</v>
      </c>
      <c r="B276" s="1" t="s">
        <v>397</v>
      </c>
      <c r="C276">
        <v>34</v>
      </c>
      <c r="D276">
        <v>0</v>
      </c>
      <c r="E276">
        <v>0</v>
      </c>
      <c r="F276">
        <v>0</v>
      </c>
      <c r="G276">
        <v>0</v>
      </c>
      <c r="H276">
        <f t="shared" si="43"/>
        <v>234</v>
      </c>
      <c r="I276" s="8" t="s">
        <v>306</v>
      </c>
      <c r="J276">
        <f t="shared" si="45"/>
        <v>0</v>
      </c>
      <c r="K276">
        <f t="shared" si="46"/>
        <v>0</v>
      </c>
      <c r="L276">
        <f t="shared" si="47"/>
        <v>0</v>
      </c>
      <c r="M276">
        <f t="shared" si="48"/>
        <v>0</v>
      </c>
      <c r="N276">
        <f t="shared" si="49"/>
        <v>0</v>
      </c>
    </row>
    <row r="277" spans="1:14" x14ac:dyDescent="0.2">
      <c r="A277">
        <f t="shared" si="44"/>
        <v>275</v>
      </c>
      <c r="B277" s="1" t="s">
        <v>444</v>
      </c>
      <c r="C277">
        <v>5</v>
      </c>
      <c r="D277">
        <v>0</v>
      </c>
      <c r="E277">
        <v>-5</v>
      </c>
      <c r="F277">
        <v>-2</v>
      </c>
      <c r="G277">
        <v>-1</v>
      </c>
      <c r="H277">
        <f t="shared" si="43"/>
        <v>65535</v>
      </c>
      <c r="J277">
        <f t="shared" si="45"/>
        <v>-8</v>
      </c>
      <c r="K277">
        <f t="shared" si="46"/>
        <v>0</v>
      </c>
      <c r="L277">
        <f t="shared" si="47"/>
        <v>0</v>
      </c>
      <c r="M277">
        <f t="shared" si="48"/>
        <v>0</v>
      </c>
      <c r="N277">
        <f t="shared" si="49"/>
        <v>0</v>
      </c>
    </row>
    <row r="278" spans="1:14" x14ac:dyDescent="0.2">
      <c r="A278">
        <f t="shared" si="44"/>
        <v>276</v>
      </c>
      <c r="B278" s="1" t="s">
        <v>445</v>
      </c>
      <c r="C278">
        <v>4</v>
      </c>
      <c r="D278">
        <v>0</v>
      </c>
      <c r="E278">
        <v>-5</v>
      </c>
      <c r="F278">
        <v>-2</v>
      </c>
      <c r="G278">
        <v>-1</v>
      </c>
      <c r="H278">
        <f t="shared" si="43"/>
        <v>65535</v>
      </c>
      <c r="J278">
        <f t="shared" si="45"/>
        <v>-8</v>
      </c>
      <c r="K278">
        <f t="shared" si="46"/>
        <v>0</v>
      </c>
      <c r="L278">
        <f t="shared" si="47"/>
        <v>0</v>
      </c>
      <c r="M278">
        <f t="shared" si="48"/>
        <v>0</v>
      </c>
      <c r="N278">
        <f t="shared" si="49"/>
        <v>0</v>
      </c>
    </row>
    <row r="279" spans="1:14" x14ac:dyDescent="0.2">
      <c r="A279">
        <f t="shared" si="44"/>
        <v>277</v>
      </c>
      <c r="B279" s="1" t="s">
        <v>446</v>
      </c>
      <c r="C279">
        <v>5</v>
      </c>
      <c r="D279">
        <v>0</v>
      </c>
      <c r="E279">
        <v>-5</v>
      </c>
      <c r="F279">
        <v>-2</v>
      </c>
      <c r="G279">
        <v>-1</v>
      </c>
      <c r="H279">
        <f t="shared" si="43"/>
        <v>65535</v>
      </c>
      <c r="J279">
        <f t="shared" si="45"/>
        <v>-8</v>
      </c>
      <c r="K279">
        <f t="shared" si="46"/>
        <v>0</v>
      </c>
      <c r="L279">
        <f t="shared" si="47"/>
        <v>0</v>
      </c>
      <c r="M279">
        <f t="shared" si="48"/>
        <v>0</v>
      </c>
      <c r="N279">
        <f t="shared" si="49"/>
        <v>0</v>
      </c>
    </row>
    <row r="280" spans="1:14" x14ac:dyDescent="0.2">
      <c r="A280">
        <f t="shared" si="44"/>
        <v>278</v>
      </c>
      <c r="B280" s="1" t="s">
        <v>447</v>
      </c>
      <c r="C280">
        <v>6</v>
      </c>
      <c r="D280">
        <v>0</v>
      </c>
      <c r="E280">
        <v>-5</v>
      </c>
      <c r="F280">
        <v>-2</v>
      </c>
      <c r="G280">
        <v>-1</v>
      </c>
      <c r="H280">
        <f t="shared" si="43"/>
        <v>65535</v>
      </c>
      <c r="J280">
        <f t="shared" si="45"/>
        <v>-8</v>
      </c>
      <c r="K280">
        <f t="shared" si="46"/>
        <v>0</v>
      </c>
      <c r="L280">
        <f t="shared" si="47"/>
        <v>0</v>
      </c>
      <c r="M280">
        <f t="shared" si="48"/>
        <v>0</v>
      </c>
      <c r="N280">
        <f t="shared" si="49"/>
        <v>0</v>
      </c>
    </row>
    <row r="281" spans="1:14" x14ac:dyDescent="0.2">
      <c r="A281">
        <f t="shared" si="44"/>
        <v>279</v>
      </c>
      <c r="B281" s="1" t="s">
        <v>448</v>
      </c>
      <c r="C281">
        <v>5</v>
      </c>
      <c r="D281">
        <v>-3</v>
      </c>
      <c r="E281">
        <v>0</v>
      </c>
      <c r="F281">
        <v>0</v>
      </c>
      <c r="G281">
        <v>0</v>
      </c>
      <c r="H281">
        <f t="shared" si="43"/>
        <v>65535</v>
      </c>
      <c r="J281">
        <f t="shared" si="45"/>
        <v>-8</v>
      </c>
      <c r="K281">
        <f t="shared" si="46"/>
        <v>0</v>
      </c>
      <c r="L281">
        <f t="shared" si="47"/>
        <v>0</v>
      </c>
      <c r="M281">
        <f t="shared" si="48"/>
        <v>0</v>
      </c>
      <c r="N281">
        <f t="shared" si="49"/>
        <v>0</v>
      </c>
    </row>
    <row r="282" spans="1:14" x14ac:dyDescent="0.2">
      <c r="A282">
        <f t="shared" si="44"/>
        <v>280</v>
      </c>
      <c r="B282" s="1" t="s">
        <v>449</v>
      </c>
      <c r="C282">
        <v>36</v>
      </c>
      <c r="D282">
        <v>-2</v>
      </c>
      <c r="E282">
        <v>-5</v>
      </c>
      <c r="F282">
        <v>-2</v>
      </c>
      <c r="G282">
        <v>-1</v>
      </c>
      <c r="H282">
        <f t="shared" si="43"/>
        <v>65535</v>
      </c>
      <c r="J282">
        <f t="shared" si="45"/>
        <v>-8</v>
      </c>
      <c r="K282">
        <f t="shared" si="46"/>
        <v>0</v>
      </c>
      <c r="L282">
        <f t="shared" si="47"/>
        <v>0</v>
      </c>
      <c r="M282">
        <f t="shared" si="48"/>
        <v>0</v>
      </c>
      <c r="N282">
        <f t="shared" si="49"/>
        <v>0</v>
      </c>
    </row>
    <row r="283" spans="1:14" x14ac:dyDescent="0.2">
      <c r="A283">
        <f t="shared" si="44"/>
        <v>281</v>
      </c>
      <c r="B283" s="1" t="s">
        <v>450</v>
      </c>
      <c r="C283">
        <v>36</v>
      </c>
      <c r="D283">
        <v>-2</v>
      </c>
      <c r="E283">
        <v>-5</v>
      </c>
      <c r="F283">
        <v>-2</v>
      </c>
      <c r="G283">
        <v>-1</v>
      </c>
      <c r="H283">
        <f t="shared" si="43"/>
        <v>65535</v>
      </c>
      <c r="J283">
        <f t="shared" si="45"/>
        <v>-8</v>
      </c>
      <c r="K283">
        <f t="shared" si="46"/>
        <v>0</v>
      </c>
      <c r="L283">
        <f t="shared" si="47"/>
        <v>0</v>
      </c>
      <c r="M283">
        <f t="shared" si="48"/>
        <v>0</v>
      </c>
      <c r="N283">
        <f t="shared" si="49"/>
        <v>0</v>
      </c>
    </row>
    <row r="284" spans="1:14" x14ac:dyDescent="0.2">
      <c r="A284">
        <f t="shared" si="44"/>
        <v>282</v>
      </c>
      <c r="B284" s="1" t="s">
        <v>451</v>
      </c>
      <c r="C284">
        <v>36</v>
      </c>
      <c r="D284">
        <v>-2</v>
      </c>
      <c r="E284">
        <v>-5</v>
      </c>
      <c r="F284">
        <v>-2</v>
      </c>
      <c r="G284">
        <v>-1</v>
      </c>
      <c r="H284">
        <f t="shared" si="43"/>
        <v>65535</v>
      </c>
      <c r="J284">
        <f t="shared" si="45"/>
        <v>-8</v>
      </c>
      <c r="K284">
        <f t="shared" si="46"/>
        <v>0</v>
      </c>
      <c r="L284">
        <f t="shared" si="47"/>
        <v>0</v>
      </c>
      <c r="M284">
        <f t="shared" si="48"/>
        <v>0</v>
      </c>
      <c r="N284">
        <f t="shared" si="49"/>
        <v>0</v>
      </c>
    </row>
    <row r="285" spans="1:14" x14ac:dyDescent="0.2">
      <c r="A285">
        <f t="shared" si="44"/>
        <v>283</v>
      </c>
      <c r="B285" s="1" t="s">
        <v>452</v>
      </c>
      <c r="C285">
        <v>36</v>
      </c>
      <c r="D285">
        <v>-2</v>
      </c>
      <c r="E285">
        <v>-5</v>
      </c>
      <c r="F285">
        <v>-2</v>
      </c>
      <c r="G285">
        <v>-1</v>
      </c>
      <c r="H285">
        <f t="shared" si="43"/>
        <v>65535</v>
      </c>
      <c r="J285">
        <f t="shared" si="45"/>
        <v>-8</v>
      </c>
      <c r="K285">
        <f t="shared" si="46"/>
        <v>0</v>
      </c>
      <c r="L285">
        <f t="shared" si="47"/>
        <v>0</v>
      </c>
      <c r="M285">
        <f t="shared" si="48"/>
        <v>0</v>
      </c>
      <c r="N285">
        <f t="shared" si="49"/>
        <v>0</v>
      </c>
    </row>
    <row r="286" spans="1:14" x14ac:dyDescent="0.2">
      <c r="A286">
        <f t="shared" si="44"/>
        <v>284</v>
      </c>
      <c r="B286" s="1" t="s">
        <v>453</v>
      </c>
      <c r="C286">
        <v>5</v>
      </c>
      <c r="D286">
        <v>-1</v>
      </c>
      <c r="E286">
        <v>0</v>
      </c>
      <c r="F286">
        <v>0</v>
      </c>
      <c r="G286">
        <v>0</v>
      </c>
      <c r="H286">
        <f t="shared" si="43"/>
        <v>65535</v>
      </c>
      <c r="J286">
        <f t="shared" si="45"/>
        <v>-8</v>
      </c>
      <c r="K286">
        <f t="shared" si="46"/>
        <v>0</v>
      </c>
      <c r="L286">
        <f t="shared" si="47"/>
        <v>0</v>
      </c>
      <c r="M286">
        <f t="shared" si="48"/>
        <v>0</v>
      </c>
      <c r="N286">
        <f t="shared" si="49"/>
        <v>0</v>
      </c>
    </row>
    <row r="287" spans="1:14" x14ac:dyDescent="0.2">
      <c r="A287">
        <f t="shared" si="44"/>
        <v>285</v>
      </c>
      <c r="B287" s="1" t="s">
        <v>454</v>
      </c>
      <c r="C287">
        <v>5</v>
      </c>
      <c r="D287">
        <v>-4</v>
      </c>
      <c r="E287">
        <v>0</v>
      </c>
      <c r="F287">
        <v>0</v>
      </c>
      <c r="G287">
        <v>0</v>
      </c>
      <c r="H287">
        <f t="shared" si="43"/>
        <v>65535</v>
      </c>
      <c r="J287">
        <f t="shared" si="45"/>
        <v>-8</v>
      </c>
      <c r="K287">
        <f t="shared" si="46"/>
        <v>0</v>
      </c>
      <c r="L287">
        <f t="shared" si="47"/>
        <v>0</v>
      </c>
      <c r="M287">
        <f t="shared" si="48"/>
        <v>0</v>
      </c>
      <c r="N287">
        <f t="shared" si="49"/>
        <v>0</v>
      </c>
    </row>
    <row r="288" spans="1:14" x14ac:dyDescent="0.2">
      <c r="A288">
        <f t="shared" si="44"/>
        <v>286</v>
      </c>
      <c r="B288" s="1" t="s">
        <v>455</v>
      </c>
      <c r="C288">
        <v>5</v>
      </c>
      <c r="D288">
        <v>0</v>
      </c>
      <c r="E288">
        <v>-5</v>
      </c>
      <c r="F288">
        <v>-2</v>
      </c>
      <c r="G288">
        <v>-1</v>
      </c>
      <c r="H288">
        <f t="shared" si="43"/>
        <v>65535</v>
      </c>
      <c r="J288">
        <f t="shared" si="45"/>
        <v>-8</v>
      </c>
      <c r="K288">
        <f t="shared" si="46"/>
        <v>0</v>
      </c>
      <c r="L288">
        <f t="shared" si="47"/>
        <v>0</v>
      </c>
      <c r="M288">
        <f t="shared" si="48"/>
        <v>0</v>
      </c>
      <c r="N288">
        <f t="shared" si="49"/>
        <v>0</v>
      </c>
    </row>
    <row r="289" spans="1:14" x14ac:dyDescent="0.2">
      <c r="A289">
        <f t="shared" si="44"/>
        <v>287</v>
      </c>
      <c r="B289" s="1" t="s">
        <v>456</v>
      </c>
      <c r="C289">
        <v>4</v>
      </c>
      <c r="D289">
        <v>0</v>
      </c>
      <c r="E289">
        <v>-5</v>
      </c>
      <c r="F289">
        <v>-2</v>
      </c>
      <c r="G289">
        <v>-1</v>
      </c>
      <c r="H289">
        <f t="shared" si="43"/>
        <v>65535</v>
      </c>
      <c r="I289" s="1"/>
      <c r="J289">
        <f t="shared" si="45"/>
        <v>-8</v>
      </c>
      <c r="K289">
        <f t="shared" si="46"/>
        <v>0</v>
      </c>
      <c r="L289">
        <f t="shared" si="47"/>
        <v>0</v>
      </c>
      <c r="M289">
        <f t="shared" si="48"/>
        <v>0</v>
      </c>
      <c r="N289">
        <f t="shared" si="49"/>
        <v>0</v>
      </c>
    </row>
    <row r="290" spans="1:14" x14ac:dyDescent="0.2">
      <c r="A290">
        <f t="shared" si="44"/>
        <v>288</v>
      </c>
      <c r="B290" s="1" t="s">
        <v>457</v>
      </c>
      <c r="C290">
        <v>5</v>
      </c>
      <c r="D290">
        <v>0</v>
      </c>
      <c r="E290">
        <v>-5</v>
      </c>
      <c r="F290">
        <v>-2</v>
      </c>
      <c r="G290">
        <v>-1</v>
      </c>
      <c r="H290">
        <f t="shared" si="43"/>
        <v>65535</v>
      </c>
      <c r="J290">
        <f t="shared" si="45"/>
        <v>-8</v>
      </c>
      <c r="K290">
        <f t="shared" si="46"/>
        <v>0</v>
      </c>
      <c r="L290">
        <f t="shared" si="47"/>
        <v>0</v>
      </c>
      <c r="M290">
        <f t="shared" si="48"/>
        <v>0</v>
      </c>
      <c r="N290">
        <f t="shared" si="49"/>
        <v>0</v>
      </c>
    </row>
    <row r="291" spans="1:14" x14ac:dyDescent="0.2">
      <c r="A291">
        <f t="shared" si="44"/>
        <v>289</v>
      </c>
      <c r="B291" s="1" t="s">
        <v>458</v>
      </c>
      <c r="C291">
        <v>6</v>
      </c>
      <c r="D291">
        <v>0</v>
      </c>
      <c r="E291">
        <v>-5</v>
      </c>
      <c r="F291">
        <v>-2</v>
      </c>
      <c r="G291">
        <v>-1</v>
      </c>
      <c r="H291">
        <f t="shared" si="43"/>
        <v>65535</v>
      </c>
      <c r="J291">
        <f t="shared" si="45"/>
        <v>-8</v>
      </c>
      <c r="K291">
        <f t="shared" si="46"/>
        <v>0</v>
      </c>
      <c r="L291">
        <f t="shared" si="47"/>
        <v>0</v>
      </c>
      <c r="M291">
        <f t="shared" si="48"/>
        <v>0</v>
      </c>
      <c r="N291">
        <f t="shared" si="49"/>
        <v>0</v>
      </c>
    </row>
    <row r="292" spans="1:14" x14ac:dyDescent="0.2">
      <c r="A292">
        <f t="shared" si="44"/>
        <v>290</v>
      </c>
      <c r="B292" s="1" t="s">
        <v>459</v>
      </c>
      <c r="C292">
        <v>5</v>
      </c>
      <c r="D292">
        <v>-3</v>
      </c>
      <c r="E292">
        <v>0</v>
      </c>
      <c r="F292">
        <v>0</v>
      </c>
      <c r="G292">
        <v>0</v>
      </c>
      <c r="H292">
        <f t="shared" si="43"/>
        <v>65535</v>
      </c>
      <c r="J292">
        <f t="shared" si="45"/>
        <v>-8</v>
      </c>
      <c r="K292">
        <f t="shared" si="46"/>
        <v>0</v>
      </c>
      <c r="L292">
        <f t="shared" si="47"/>
        <v>0</v>
      </c>
      <c r="M292">
        <f t="shared" si="48"/>
        <v>0</v>
      </c>
      <c r="N292">
        <f t="shared" si="49"/>
        <v>0</v>
      </c>
    </row>
    <row r="293" spans="1:14" x14ac:dyDescent="0.2">
      <c r="A293">
        <f t="shared" si="44"/>
        <v>291</v>
      </c>
      <c r="B293" s="1" t="s">
        <v>460</v>
      </c>
      <c r="C293">
        <v>36</v>
      </c>
      <c r="D293">
        <v>-2</v>
      </c>
      <c r="E293">
        <v>-5</v>
      </c>
      <c r="F293">
        <v>-2</v>
      </c>
      <c r="G293">
        <v>-1</v>
      </c>
      <c r="H293">
        <f t="shared" si="43"/>
        <v>65535</v>
      </c>
      <c r="I293" s="1"/>
      <c r="J293">
        <f t="shared" si="45"/>
        <v>-8</v>
      </c>
      <c r="K293">
        <f t="shared" si="46"/>
        <v>0</v>
      </c>
      <c r="L293">
        <f t="shared" si="47"/>
        <v>0</v>
      </c>
      <c r="M293">
        <f t="shared" si="48"/>
        <v>0</v>
      </c>
      <c r="N293">
        <f t="shared" si="49"/>
        <v>0</v>
      </c>
    </row>
    <row r="294" spans="1:14" x14ac:dyDescent="0.2">
      <c r="A294">
        <f t="shared" si="44"/>
        <v>292</v>
      </c>
      <c r="B294" s="1" t="s">
        <v>461</v>
      </c>
      <c r="C294">
        <v>36</v>
      </c>
      <c r="D294">
        <v>-2</v>
      </c>
      <c r="E294">
        <v>-5</v>
      </c>
      <c r="F294">
        <v>-2</v>
      </c>
      <c r="G294">
        <v>-1</v>
      </c>
      <c r="H294">
        <f t="shared" si="43"/>
        <v>65535</v>
      </c>
      <c r="J294">
        <f t="shared" si="45"/>
        <v>-8</v>
      </c>
      <c r="K294">
        <f t="shared" si="46"/>
        <v>0</v>
      </c>
      <c r="L294">
        <f t="shared" si="47"/>
        <v>0</v>
      </c>
      <c r="M294">
        <f t="shared" si="48"/>
        <v>0</v>
      </c>
      <c r="N294">
        <f t="shared" si="49"/>
        <v>0</v>
      </c>
    </row>
    <row r="295" spans="1:14" x14ac:dyDescent="0.2">
      <c r="A295">
        <f t="shared" si="44"/>
        <v>293</v>
      </c>
      <c r="B295" s="1" t="s">
        <v>462</v>
      </c>
      <c r="C295">
        <v>36</v>
      </c>
      <c r="D295">
        <v>-2</v>
      </c>
      <c r="E295">
        <v>-5</v>
      </c>
      <c r="F295">
        <v>-2</v>
      </c>
      <c r="G295">
        <v>-1</v>
      </c>
      <c r="H295">
        <f t="shared" si="43"/>
        <v>65535</v>
      </c>
      <c r="J295">
        <f t="shared" si="45"/>
        <v>-8</v>
      </c>
      <c r="K295">
        <f t="shared" si="46"/>
        <v>0</v>
      </c>
      <c r="L295">
        <f t="shared" si="47"/>
        <v>0</v>
      </c>
      <c r="M295">
        <f t="shared" si="48"/>
        <v>0</v>
      </c>
      <c r="N295">
        <f t="shared" si="49"/>
        <v>0</v>
      </c>
    </row>
    <row r="296" spans="1:14" x14ac:dyDescent="0.2">
      <c r="A296">
        <f t="shared" si="44"/>
        <v>294</v>
      </c>
      <c r="B296" s="1" t="s">
        <v>463</v>
      </c>
      <c r="C296">
        <v>36</v>
      </c>
      <c r="D296">
        <v>-2</v>
      </c>
      <c r="E296">
        <v>-5</v>
      </c>
      <c r="F296">
        <v>-2</v>
      </c>
      <c r="G296">
        <v>-1</v>
      </c>
      <c r="H296">
        <f t="shared" si="43"/>
        <v>65535</v>
      </c>
      <c r="J296">
        <f t="shared" si="45"/>
        <v>-8</v>
      </c>
      <c r="K296">
        <f t="shared" si="46"/>
        <v>0</v>
      </c>
      <c r="L296">
        <f t="shared" si="47"/>
        <v>0</v>
      </c>
      <c r="M296">
        <f t="shared" si="48"/>
        <v>0</v>
      </c>
      <c r="N296">
        <f t="shared" si="49"/>
        <v>0</v>
      </c>
    </row>
    <row r="297" spans="1:14" x14ac:dyDescent="0.2">
      <c r="A297">
        <f t="shared" si="44"/>
        <v>295</v>
      </c>
      <c r="B297" s="1" t="s">
        <v>464</v>
      </c>
      <c r="C297">
        <v>36</v>
      </c>
      <c r="D297">
        <v>-2</v>
      </c>
      <c r="E297">
        <v>-5</v>
      </c>
      <c r="F297">
        <v>-2</v>
      </c>
      <c r="G297">
        <v>-1</v>
      </c>
      <c r="H297">
        <f t="shared" si="43"/>
        <v>65535</v>
      </c>
      <c r="I297" s="1"/>
      <c r="J297">
        <f t="shared" si="45"/>
        <v>-8</v>
      </c>
      <c r="K297">
        <f t="shared" si="46"/>
        <v>0</v>
      </c>
      <c r="L297">
        <f t="shared" si="47"/>
        <v>0</v>
      </c>
      <c r="M297">
        <f t="shared" si="48"/>
        <v>0</v>
      </c>
      <c r="N297">
        <f t="shared" si="49"/>
        <v>0</v>
      </c>
    </row>
    <row r="298" spans="1:14" x14ac:dyDescent="0.2">
      <c r="A298">
        <f t="shared" si="44"/>
        <v>296</v>
      </c>
      <c r="B298" s="1" t="s">
        <v>465</v>
      </c>
      <c r="C298">
        <v>36</v>
      </c>
      <c r="D298">
        <v>-2</v>
      </c>
      <c r="E298">
        <v>-5</v>
      </c>
      <c r="F298">
        <v>-2</v>
      </c>
      <c r="G298">
        <v>-1</v>
      </c>
      <c r="H298">
        <f t="shared" si="43"/>
        <v>65535</v>
      </c>
      <c r="J298">
        <f t="shared" ref="J298:K298" si="50">C298-C682</f>
        <v>-8</v>
      </c>
      <c r="K298">
        <f t="shared" si="50"/>
        <v>0</v>
      </c>
      <c r="L298">
        <f t="shared" ref="L298:N298" si="51">E298+E682</f>
        <v>0</v>
      </c>
      <c r="M298">
        <f t="shared" si="51"/>
        <v>0</v>
      </c>
      <c r="N298">
        <f t="shared" si="51"/>
        <v>0</v>
      </c>
    </row>
    <row r="299" spans="1:14" x14ac:dyDescent="0.2">
      <c r="A299">
        <f t="shared" si="44"/>
        <v>297</v>
      </c>
      <c r="B299" s="1" t="s">
        <v>466</v>
      </c>
      <c r="C299">
        <v>36</v>
      </c>
      <c r="D299">
        <v>-1</v>
      </c>
      <c r="E299">
        <v>-5</v>
      </c>
      <c r="F299">
        <v>-2</v>
      </c>
      <c r="G299">
        <v>-1</v>
      </c>
      <c r="H299">
        <f t="shared" si="43"/>
        <v>65535</v>
      </c>
      <c r="J299">
        <f t="shared" ref="J299:K299" si="52">C299-C683</f>
        <v>-8</v>
      </c>
      <c r="K299">
        <f t="shared" si="52"/>
        <v>0</v>
      </c>
      <c r="L299">
        <f t="shared" ref="L299:N299" si="53">E299+E683</f>
        <v>0</v>
      </c>
      <c r="M299">
        <f t="shared" si="53"/>
        <v>0</v>
      </c>
      <c r="N299">
        <f t="shared" si="53"/>
        <v>0</v>
      </c>
    </row>
    <row r="300" spans="1:14" x14ac:dyDescent="0.2">
      <c r="A300">
        <f t="shared" si="44"/>
        <v>298</v>
      </c>
      <c r="B300" s="1" t="s">
        <v>467</v>
      </c>
      <c r="C300">
        <v>5</v>
      </c>
      <c r="D300">
        <v>0</v>
      </c>
      <c r="E300">
        <v>-5</v>
      </c>
      <c r="F300">
        <v>-2</v>
      </c>
      <c r="G300">
        <v>-1</v>
      </c>
      <c r="H300">
        <f t="shared" si="43"/>
        <v>65535</v>
      </c>
      <c r="I300" s="1"/>
      <c r="J300">
        <f t="shared" ref="J300:K300" si="54">C300-C684</f>
        <v>-8</v>
      </c>
      <c r="K300">
        <f t="shared" si="54"/>
        <v>0</v>
      </c>
      <c r="L300">
        <f t="shared" ref="L300:N300" si="55">E300+E684</f>
        <v>0</v>
      </c>
      <c r="M300">
        <f t="shared" si="55"/>
        <v>0</v>
      </c>
      <c r="N300">
        <f t="shared" si="55"/>
        <v>0</v>
      </c>
    </row>
    <row r="301" spans="1:14" x14ac:dyDescent="0.2">
      <c r="A301">
        <f t="shared" si="44"/>
        <v>299</v>
      </c>
      <c r="B301" s="1" t="s">
        <v>1036</v>
      </c>
      <c r="C301">
        <v>5</v>
      </c>
      <c r="D301">
        <v>0</v>
      </c>
      <c r="E301">
        <v>-5</v>
      </c>
      <c r="F301">
        <v>-2</v>
      </c>
      <c r="G301">
        <v>-1</v>
      </c>
      <c r="H301">
        <f t="shared" si="43"/>
        <v>65535</v>
      </c>
      <c r="J301">
        <f t="shared" ref="J301:K301" si="56">C301-C685</f>
        <v>-8</v>
      </c>
      <c r="K301">
        <f t="shared" si="56"/>
        <v>0</v>
      </c>
      <c r="L301">
        <f t="shared" ref="L301:N301" si="57">E301+E685</f>
        <v>0</v>
      </c>
      <c r="M301">
        <f t="shared" si="57"/>
        <v>0</v>
      </c>
      <c r="N301">
        <f t="shared" si="57"/>
        <v>0</v>
      </c>
    </row>
    <row r="302" spans="1:14" x14ac:dyDescent="0.2">
      <c r="A302">
        <f t="shared" si="44"/>
        <v>300</v>
      </c>
      <c r="B302" s="1" t="s">
        <v>1037</v>
      </c>
      <c r="C302">
        <v>4</v>
      </c>
      <c r="D302">
        <v>0</v>
      </c>
      <c r="E302">
        <v>-5</v>
      </c>
      <c r="F302">
        <v>-2</v>
      </c>
      <c r="G302">
        <v>-1</v>
      </c>
      <c r="H302">
        <f t="shared" si="43"/>
        <v>65535</v>
      </c>
      <c r="I302" s="1"/>
      <c r="J302">
        <f t="shared" ref="J302:K302" si="58">C302-C686</f>
        <v>-8</v>
      </c>
      <c r="K302">
        <f t="shared" si="58"/>
        <v>0</v>
      </c>
      <c r="L302">
        <f t="shared" ref="L302:N302" si="59">E302+E686</f>
        <v>0</v>
      </c>
      <c r="M302">
        <f t="shared" si="59"/>
        <v>0</v>
      </c>
      <c r="N302">
        <f t="shared" si="59"/>
        <v>0</v>
      </c>
    </row>
    <row r="303" spans="1:14" x14ac:dyDescent="0.2">
      <c r="A303">
        <f t="shared" si="44"/>
        <v>301</v>
      </c>
      <c r="B303" s="1" t="s">
        <v>1038</v>
      </c>
      <c r="C303">
        <v>5</v>
      </c>
      <c r="D303">
        <v>0</v>
      </c>
      <c r="E303">
        <v>-5</v>
      </c>
      <c r="F303">
        <v>-2</v>
      </c>
      <c r="G303">
        <v>-1</v>
      </c>
      <c r="H303">
        <f t="shared" si="43"/>
        <v>65535</v>
      </c>
      <c r="J303">
        <f t="shared" ref="J303:K303" si="60">C303-C687</f>
        <v>-8</v>
      </c>
      <c r="K303">
        <f t="shared" si="60"/>
        <v>0</v>
      </c>
      <c r="L303">
        <f t="shared" ref="L303:N303" si="61">E303+E687</f>
        <v>0</v>
      </c>
      <c r="M303">
        <f t="shared" si="61"/>
        <v>0</v>
      </c>
      <c r="N303">
        <f t="shared" si="61"/>
        <v>0</v>
      </c>
    </row>
    <row r="304" spans="1:14" x14ac:dyDescent="0.2">
      <c r="A304">
        <f t="shared" si="44"/>
        <v>302</v>
      </c>
      <c r="B304" s="1" t="s">
        <v>1039</v>
      </c>
      <c r="C304">
        <v>6</v>
      </c>
      <c r="D304">
        <v>0</v>
      </c>
      <c r="E304">
        <v>-5</v>
      </c>
      <c r="F304">
        <v>-2</v>
      </c>
      <c r="G304">
        <v>-1</v>
      </c>
      <c r="H304">
        <f t="shared" si="43"/>
        <v>65535</v>
      </c>
      <c r="J304">
        <f t="shared" ref="J304:K304" si="62">C304-C688</f>
        <v>-8</v>
      </c>
      <c r="K304">
        <f t="shared" si="62"/>
        <v>0</v>
      </c>
      <c r="L304">
        <f t="shared" ref="L304:N304" si="63">E304+E688</f>
        <v>0</v>
      </c>
      <c r="M304">
        <f t="shared" si="63"/>
        <v>0</v>
      </c>
      <c r="N304">
        <f t="shared" si="63"/>
        <v>0</v>
      </c>
    </row>
    <row r="305" spans="1:14" x14ac:dyDescent="0.2">
      <c r="A305">
        <f t="shared" si="44"/>
        <v>303</v>
      </c>
      <c r="B305" s="1" t="s">
        <v>1040</v>
      </c>
      <c r="C305">
        <v>5</v>
      </c>
      <c r="D305">
        <v>-3</v>
      </c>
      <c r="E305">
        <v>-5</v>
      </c>
      <c r="F305">
        <v>-2</v>
      </c>
      <c r="G305">
        <v>-1</v>
      </c>
      <c r="H305">
        <f t="shared" si="43"/>
        <v>65535</v>
      </c>
      <c r="J305">
        <f t="shared" ref="J305:K305" si="64">C305-C689</f>
        <v>-8</v>
      </c>
      <c r="K305">
        <f t="shared" si="64"/>
        <v>0</v>
      </c>
      <c r="L305">
        <f t="shared" ref="L305:N305" si="65">E305+E689</f>
        <v>0</v>
      </c>
      <c r="M305">
        <f t="shared" si="65"/>
        <v>0</v>
      </c>
      <c r="N305">
        <f t="shared" si="65"/>
        <v>0</v>
      </c>
    </row>
    <row r="306" spans="1:14" x14ac:dyDescent="0.2">
      <c r="A306">
        <f t="shared" si="44"/>
        <v>304</v>
      </c>
      <c r="B306" s="1" t="s">
        <v>1041</v>
      </c>
      <c r="C306">
        <v>36</v>
      </c>
      <c r="D306">
        <v>-2</v>
      </c>
      <c r="E306">
        <v>-5</v>
      </c>
      <c r="F306">
        <v>-2</v>
      </c>
      <c r="G306">
        <v>-1</v>
      </c>
      <c r="H306">
        <f t="shared" si="43"/>
        <v>65535</v>
      </c>
      <c r="I306" s="1"/>
      <c r="J306">
        <f t="shared" ref="J306:K306" si="66">C306-C690</f>
        <v>-8</v>
      </c>
      <c r="K306">
        <f t="shared" si="66"/>
        <v>0</v>
      </c>
      <c r="L306">
        <f t="shared" ref="L306:N306" si="67">E306+E690</f>
        <v>0</v>
      </c>
      <c r="M306">
        <f t="shared" si="67"/>
        <v>0</v>
      </c>
      <c r="N306">
        <f t="shared" si="67"/>
        <v>0</v>
      </c>
    </row>
    <row r="307" spans="1:14" x14ac:dyDescent="0.2">
      <c r="A307">
        <f t="shared" si="44"/>
        <v>305</v>
      </c>
      <c r="B307" s="1" t="s">
        <v>1042</v>
      </c>
      <c r="C307">
        <v>36</v>
      </c>
      <c r="D307">
        <v>-2</v>
      </c>
      <c r="E307">
        <v>-5</v>
      </c>
      <c r="F307">
        <v>-2</v>
      </c>
      <c r="G307">
        <v>-1</v>
      </c>
      <c r="H307">
        <f t="shared" si="43"/>
        <v>65535</v>
      </c>
      <c r="J307">
        <f t="shared" ref="J307:K307" si="68">C307-C691</f>
        <v>-8</v>
      </c>
      <c r="K307">
        <f t="shared" si="68"/>
        <v>0</v>
      </c>
      <c r="L307">
        <f t="shared" ref="L307:N307" si="69">E307+E691</f>
        <v>0</v>
      </c>
      <c r="M307">
        <f t="shared" si="69"/>
        <v>0</v>
      </c>
      <c r="N307">
        <f t="shared" si="69"/>
        <v>0</v>
      </c>
    </row>
    <row r="308" spans="1:14" x14ac:dyDescent="0.2">
      <c r="A308">
        <f t="shared" si="44"/>
        <v>306</v>
      </c>
      <c r="B308" s="1" t="s">
        <v>1043</v>
      </c>
      <c r="C308">
        <v>36</v>
      </c>
      <c r="D308">
        <v>-2</v>
      </c>
      <c r="E308">
        <v>-5</v>
      </c>
      <c r="F308">
        <v>-2</v>
      </c>
      <c r="G308">
        <v>-1</v>
      </c>
      <c r="H308">
        <f t="shared" si="43"/>
        <v>65535</v>
      </c>
      <c r="J308">
        <f t="shared" ref="J308:K308" si="70">C308-C692</f>
        <v>-8</v>
      </c>
      <c r="K308">
        <f t="shared" si="70"/>
        <v>0</v>
      </c>
      <c r="L308">
        <f t="shared" ref="L308:N308" si="71">E308+E692</f>
        <v>0</v>
      </c>
      <c r="M308">
        <f t="shared" si="71"/>
        <v>0</v>
      </c>
      <c r="N308">
        <f t="shared" si="71"/>
        <v>0</v>
      </c>
    </row>
    <row r="309" spans="1:14" x14ac:dyDescent="0.2">
      <c r="A309">
        <f t="shared" si="44"/>
        <v>307</v>
      </c>
      <c r="B309" s="1" t="s">
        <v>1044</v>
      </c>
      <c r="C309">
        <v>36</v>
      </c>
      <c r="D309">
        <v>-2</v>
      </c>
      <c r="E309">
        <v>-5</v>
      </c>
      <c r="F309">
        <v>-2</v>
      </c>
      <c r="G309">
        <v>-1</v>
      </c>
      <c r="H309">
        <f t="shared" si="43"/>
        <v>65535</v>
      </c>
      <c r="J309">
        <f t="shared" ref="J309:K309" si="72">C309-C693</f>
        <v>-8</v>
      </c>
      <c r="K309">
        <f t="shared" si="72"/>
        <v>0</v>
      </c>
      <c r="L309">
        <f t="shared" ref="L309:N309" si="73">E309+E693</f>
        <v>0</v>
      </c>
      <c r="M309">
        <f t="shared" si="73"/>
        <v>0</v>
      </c>
      <c r="N309">
        <f t="shared" si="73"/>
        <v>0</v>
      </c>
    </row>
    <row r="310" spans="1:14" x14ac:dyDescent="0.2">
      <c r="A310">
        <f t="shared" si="44"/>
        <v>308</v>
      </c>
      <c r="B310" s="1" t="s">
        <v>1045</v>
      </c>
      <c r="C310">
        <v>36</v>
      </c>
      <c r="D310">
        <v>-2</v>
      </c>
      <c r="E310">
        <v>-5</v>
      </c>
      <c r="F310">
        <v>-2</v>
      </c>
      <c r="G310">
        <v>-1</v>
      </c>
      <c r="H310">
        <f t="shared" si="43"/>
        <v>65535</v>
      </c>
      <c r="I310" s="1"/>
      <c r="J310">
        <f t="shared" ref="J310:K310" si="74">C310-C694</f>
        <v>-8</v>
      </c>
      <c r="K310">
        <f t="shared" si="74"/>
        <v>0</v>
      </c>
      <c r="L310">
        <f t="shared" ref="L310:N310" si="75">E310+E694</f>
        <v>0</v>
      </c>
      <c r="M310">
        <f t="shared" si="75"/>
        <v>0</v>
      </c>
      <c r="N310">
        <f t="shared" si="75"/>
        <v>0</v>
      </c>
    </row>
    <row r="311" spans="1:14" x14ac:dyDescent="0.2">
      <c r="A311">
        <f t="shared" si="44"/>
        <v>309</v>
      </c>
      <c r="B311" s="1" t="s">
        <v>1046</v>
      </c>
      <c r="C311">
        <v>36</v>
      </c>
      <c r="D311">
        <v>-2</v>
      </c>
      <c r="E311">
        <v>-5</v>
      </c>
      <c r="F311">
        <v>-2</v>
      </c>
      <c r="G311">
        <v>-1</v>
      </c>
      <c r="H311">
        <f t="shared" si="43"/>
        <v>65535</v>
      </c>
      <c r="J311">
        <f t="shared" ref="J311:K311" si="76">C311-C695</f>
        <v>-8</v>
      </c>
      <c r="K311">
        <f t="shared" si="76"/>
        <v>0</v>
      </c>
      <c r="L311">
        <f t="shared" ref="L311:N311" si="77">E311+E695</f>
        <v>0</v>
      </c>
      <c r="M311">
        <f t="shared" si="77"/>
        <v>0</v>
      </c>
      <c r="N311">
        <f t="shared" si="77"/>
        <v>0</v>
      </c>
    </row>
    <row r="312" spans="1:14" x14ac:dyDescent="0.2">
      <c r="A312">
        <f t="shared" si="44"/>
        <v>310</v>
      </c>
      <c r="B312" s="1" t="s">
        <v>1047</v>
      </c>
      <c r="C312">
        <v>36</v>
      </c>
      <c r="D312">
        <v>-1</v>
      </c>
      <c r="E312">
        <v>-5</v>
      </c>
      <c r="F312">
        <v>-2</v>
      </c>
      <c r="G312">
        <v>-1</v>
      </c>
      <c r="H312">
        <f t="shared" si="43"/>
        <v>65535</v>
      </c>
      <c r="J312">
        <f t="shared" ref="J312:K312" si="78">C312-C696</f>
        <v>-8</v>
      </c>
      <c r="K312">
        <f t="shared" si="78"/>
        <v>0</v>
      </c>
      <c r="L312">
        <f t="shared" ref="L312:N312" si="79">E312+E696</f>
        <v>0</v>
      </c>
      <c r="M312">
        <f t="shared" si="79"/>
        <v>0</v>
      </c>
      <c r="N312">
        <f t="shared" si="79"/>
        <v>0</v>
      </c>
    </row>
    <row r="313" spans="1:14" x14ac:dyDescent="0.2">
      <c r="A313">
        <f t="shared" si="44"/>
        <v>311</v>
      </c>
      <c r="B313" s="1" t="s">
        <v>1048</v>
      </c>
      <c r="C313">
        <v>36</v>
      </c>
      <c r="D313">
        <v>0</v>
      </c>
      <c r="E313">
        <v>0</v>
      </c>
      <c r="F313">
        <v>0</v>
      </c>
      <c r="G313">
        <v>0</v>
      </c>
      <c r="H313">
        <f t="shared" si="43"/>
        <v>65535</v>
      </c>
      <c r="I313" s="1"/>
      <c r="J313">
        <f t="shared" ref="J313:K313" si="80">C313-C697</f>
        <v>-8</v>
      </c>
      <c r="K313">
        <f t="shared" si="80"/>
        <v>0</v>
      </c>
      <c r="L313">
        <f t="shared" ref="L313:N313" si="81">E313+E697</f>
        <v>0</v>
      </c>
      <c r="M313">
        <f t="shared" si="81"/>
        <v>0</v>
      </c>
      <c r="N313">
        <f t="shared" si="81"/>
        <v>0</v>
      </c>
    </row>
    <row r="314" spans="1:14" x14ac:dyDescent="0.2">
      <c r="A314">
        <f t="shared" si="44"/>
        <v>312</v>
      </c>
      <c r="B314" s="1" t="s">
        <v>1015</v>
      </c>
      <c r="C314">
        <v>36</v>
      </c>
      <c r="D314">
        <v>-2</v>
      </c>
      <c r="E314">
        <v>-5</v>
      </c>
      <c r="F314">
        <v>-2</v>
      </c>
      <c r="G314">
        <v>-1</v>
      </c>
      <c r="H314">
        <f t="shared" si="43"/>
        <v>65535</v>
      </c>
      <c r="J314">
        <f t="shared" ref="J314:K314" si="82">C314-C698</f>
        <v>-8</v>
      </c>
      <c r="K314">
        <f t="shared" si="82"/>
        <v>0</v>
      </c>
      <c r="L314">
        <f t="shared" ref="L314:N314" si="83">E314+E698</f>
        <v>0</v>
      </c>
      <c r="M314">
        <f t="shared" si="83"/>
        <v>0</v>
      </c>
      <c r="N314">
        <f t="shared" si="83"/>
        <v>0</v>
      </c>
    </row>
    <row r="315" spans="1:14" x14ac:dyDescent="0.2">
      <c r="A315">
        <f t="shared" si="44"/>
        <v>313</v>
      </c>
      <c r="B315" s="1" t="s">
        <v>1016</v>
      </c>
      <c r="C315">
        <v>36</v>
      </c>
      <c r="D315">
        <v>-2</v>
      </c>
      <c r="E315">
        <v>-5</v>
      </c>
      <c r="F315">
        <v>-2</v>
      </c>
      <c r="G315">
        <v>-1</v>
      </c>
      <c r="H315">
        <f t="shared" si="43"/>
        <v>65535</v>
      </c>
      <c r="I315" s="1"/>
      <c r="J315">
        <f t="shared" ref="J315:K315" si="84">C315-C699</f>
        <v>-8</v>
      </c>
      <c r="K315">
        <f t="shared" si="84"/>
        <v>0</v>
      </c>
      <c r="L315">
        <f t="shared" ref="L315:N315" si="85">E315+E699</f>
        <v>0</v>
      </c>
      <c r="M315">
        <f t="shared" si="85"/>
        <v>0</v>
      </c>
      <c r="N315">
        <f t="shared" si="85"/>
        <v>0</v>
      </c>
    </row>
    <row r="316" spans="1:14" x14ac:dyDescent="0.2">
      <c r="A316">
        <f t="shared" si="44"/>
        <v>314</v>
      </c>
      <c r="B316" s="1" t="s">
        <v>1017</v>
      </c>
      <c r="C316">
        <v>36</v>
      </c>
      <c r="D316">
        <v>-2</v>
      </c>
      <c r="E316">
        <v>-5</v>
      </c>
      <c r="F316">
        <v>-2</v>
      </c>
      <c r="G316">
        <v>-1</v>
      </c>
      <c r="H316">
        <f t="shared" si="43"/>
        <v>65535</v>
      </c>
      <c r="J316">
        <f t="shared" ref="J316:K316" si="86">C316-C700</f>
        <v>-8</v>
      </c>
      <c r="K316">
        <f t="shared" si="86"/>
        <v>0</v>
      </c>
      <c r="L316">
        <f t="shared" ref="L316:N316" si="87">E316+E700</f>
        <v>0</v>
      </c>
      <c r="M316">
        <f t="shared" si="87"/>
        <v>0</v>
      </c>
      <c r="N316">
        <f t="shared" si="87"/>
        <v>0</v>
      </c>
    </row>
    <row r="317" spans="1:14" x14ac:dyDescent="0.2">
      <c r="A317">
        <f t="shared" si="44"/>
        <v>315</v>
      </c>
      <c r="B317" s="1" t="s">
        <v>1018</v>
      </c>
      <c r="C317">
        <v>36</v>
      </c>
      <c r="D317">
        <v>-2</v>
      </c>
      <c r="E317">
        <v>-5</v>
      </c>
      <c r="F317">
        <v>-2</v>
      </c>
      <c r="G317">
        <v>-1</v>
      </c>
      <c r="H317">
        <f t="shared" si="43"/>
        <v>65535</v>
      </c>
      <c r="J317">
        <f t="shared" ref="J317:K317" si="88">C317-C701</f>
        <v>-8</v>
      </c>
      <c r="K317">
        <f t="shared" si="88"/>
        <v>0</v>
      </c>
      <c r="L317">
        <f t="shared" ref="L317:N317" si="89">E317+E701</f>
        <v>0</v>
      </c>
      <c r="M317">
        <f t="shared" si="89"/>
        <v>0</v>
      </c>
      <c r="N317">
        <f t="shared" si="89"/>
        <v>0</v>
      </c>
    </row>
    <row r="318" spans="1:14" x14ac:dyDescent="0.2">
      <c r="A318">
        <f t="shared" si="44"/>
        <v>316</v>
      </c>
      <c r="B318" s="1" t="s">
        <v>1019</v>
      </c>
      <c r="C318">
        <v>36</v>
      </c>
      <c r="D318">
        <v>-2</v>
      </c>
      <c r="E318">
        <v>-5</v>
      </c>
      <c r="F318">
        <v>-2</v>
      </c>
      <c r="G318">
        <v>-1</v>
      </c>
      <c r="H318">
        <f t="shared" si="43"/>
        <v>65535</v>
      </c>
      <c r="J318">
        <f t="shared" ref="J318:K318" si="90">C318-C702</f>
        <v>-8</v>
      </c>
      <c r="K318">
        <f t="shared" si="90"/>
        <v>0</v>
      </c>
      <c r="L318">
        <f t="shared" ref="L318:N318" si="91">E318+E702</f>
        <v>0</v>
      </c>
      <c r="M318">
        <f t="shared" si="91"/>
        <v>0</v>
      </c>
      <c r="N318">
        <f t="shared" si="91"/>
        <v>0</v>
      </c>
    </row>
    <row r="319" spans="1:14" x14ac:dyDescent="0.2">
      <c r="A319">
        <f t="shared" si="44"/>
        <v>317</v>
      </c>
      <c r="B319" s="1" t="s">
        <v>1020</v>
      </c>
      <c r="C319">
        <v>36</v>
      </c>
      <c r="D319">
        <v>-2</v>
      </c>
      <c r="E319">
        <v>-5</v>
      </c>
      <c r="F319">
        <v>-2</v>
      </c>
      <c r="G319">
        <v>-1</v>
      </c>
      <c r="H319">
        <f t="shared" si="43"/>
        <v>65535</v>
      </c>
      <c r="I319" s="1"/>
      <c r="J319">
        <f t="shared" ref="J319:K319" si="92">C319-C703</f>
        <v>-8</v>
      </c>
      <c r="K319">
        <f t="shared" si="92"/>
        <v>0</v>
      </c>
      <c r="L319">
        <f t="shared" ref="L319:N319" si="93">E319+E703</f>
        <v>0</v>
      </c>
      <c r="M319">
        <f t="shared" si="93"/>
        <v>0</v>
      </c>
      <c r="N319">
        <f t="shared" si="93"/>
        <v>0</v>
      </c>
    </row>
    <row r="320" spans="1:14" x14ac:dyDescent="0.2">
      <c r="A320">
        <f t="shared" si="44"/>
        <v>318</v>
      </c>
      <c r="B320" s="1" t="s">
        <v>1021</v>
      </c>
      <c r="C320">
        <v>36</v>
      </c>
      <c r="D320">
        <v>-2</v>
      </c>
      <c r="E320">
        <v>-5</v>
      </c>
      <c r="F320">
        <v>-2</v>
      </c>
      <c r="G320">
        <v>-1</v>
      </c>
      <c r="H320">
        <f t="shared" si="43"/>
        <v>65535</v>
      </c>
      <c r="J320">
        <f t="shared" ref="J320:K320" si="94">C320-C704</f>
        <v>-8</v>
      </c>
      <c r="K320">
        <f t="shared" si="94"/>
        <v>0</v>
      </c>
      <c r="L320">
        <f t="shared" ref="L320:N320" si="95">E320+E704</f>
        <v>0</v>
      </c>
      <c r="M320">
        <f t="shared" si="95"/>
        <v>0</v>
      </c>
      <c r="N320">
        <f t="shared" si="95"/>
        <v>0</v>
      </c>
    </row>
    <row r="321" spans="1:14" x14ac:dyDescent="0.2">
      <c r="A321">
        <f t="shared" si="44"/>
        <v>319</v>
      </c>
      <c r="B321" s="1" t="s">
        <v>1022</v>
      </c>
      <c r="C321">
        <v>36</v>
      </c>
      <c r="D321">
        <v>-2</v>
      </c>
      <c r="E321">
        <v>-5</v>
      </c>
      <c r="F321">
        <v>-2</v>
      </c>
      <c r="G321">
        <v>-1</v>
      </c>
      <c r="H321">
        <f t="shared" si="43"/>
        <v>65535</v>
      </c>
      <c r="J321">
        <f t="shared" ref="J321:K321" si="96">C321-C705</f>
        <v>-8</v>
      </c>
      <c r="K321">
        <f t="shared" si="96"/>
        <v>0</v>
      </c>
      <c r="L321">
        <f t="shared" ref="L321:N321" si="97">E321+E705</f>
        <v>0</v>
      </c>
      <c r="M321">
        <f t="shared" si="97"/>
        <v>0</v>
      </c>
      <c r="N321">
        <f t="shared" si="97"/>
        <v>0</v>
      </c>
    </row>
    <row r="322" spans="1:14" x14ac:dyDescent="0.2">
      <c r="A322">
        <f t="shared" si="44"/>
        <v>320</v>
      </c>
      <c r="B322" s="1" t="s">
        <v>468</v>
      </c>
      <c r="C322">
        <v>5</v>
      </c>
      <c r="D322">
        <v>0</v>
      </c>
      <c r="E322">
        <v>-5</v>
      </c>
      <c r="F322">
        <v>-2</v>
      </c>
      <c r="G322">
        <v>-1</v>
      </c>
      <c r="H322">
        <f t="shared" ref="H322:H385" si="98">_xlfn.XLOOKUP(I322,$B$2:$B$982,$A$2:$A$982,65535)</f>
        <v>65535</v>
      </c>
      <c r="J322">
        <f t="shared" ref="J322:K322" si="99">C322-C706</f>
        <v>-8</v>
      </c>
      <c r="K322">
        <f t="shared" si="99"/>
        <v>0</v>
      </c>
      <c r="L322">
        <f t="shared" ref="L322:N322" si="100">E322+E706</f>
        <v>0</v>
      </c>
      <c r="M322">
        <f t="shared" si="100"/>
        <v>0</v>
      </c>
      <c r="N322">
        <f t="shared" si="100"/>
        <v>0</v>
      </c>
    </row>
    <row r="323" spans="1:14" x14ac:dyDescent="0.2">
      <c r="A323">
        <f t="shared" si="44"/>
        <v>321</v>
      </c>
      <c r="B323" s="1" t="s">
        <v>469</v>
      </c>
      <c r="C323">
        <v>4</v>
      </c>
      <c r="D323">
        <v>0</v>
      </c>
      <c r="E323">
        <v>-5</v>
      </c>
      <c r="F323">
        <v>-2</v>
      </c>
      <c r="G323">
        <v>-1</v>
      </c>
      <c r="H323">
        <f t="shared" si="98"/>
        <v>65535</v>
      </c>
      <c r="I323" s="1"/>
      <c r="J323">
        <f t="shared" ref="J323:J354" si="101">C323-C707</f>
        <v>-8</v>
      </c>
      <c r="K323">
        <f t="shared" ref="K323:K354" si="102">D323-D707</f>
        <v>0</v>
      </c>
      <c r="L323">
        <f t="shared" ref="L323:L354" si="103">E323+E707</f>
        <v>0</v>
      </c>
      <c r="M323">
        <f t="shared" ref="M323:M354" si="104">F323+F707</f>
        <v>0</v>
      </c>
      <c r="N323">
        <f t="shared" ref="N323:N354" si="105">G323+G707</f>
        <v>0</v>
      </c>
    </row>
    <row r="324" spans="1:14" x14ac:dyDescent="0.2">
      <c r="A324">
        <f t="shared" si="44"/>
        <v>322</v>
      </c>
      <c r="B324" s="1" t="s">
        <v>470</v>
      </c>
      <c r="C324">
        <v>5</v>
      </c>
      <c r="D324">
        <v>0</v>
      </c>
      <c r="E324">
        <v>-5</v>
      </c>
      <c r="F324">
        <v>-2</v>
      </c>
      <c r="G324">
        <v>-1</v>
      </c>
      <c r="H324">
        <f t="shared" si="98"/>
        <v>65535</v>
      </c>
      <c r="J324">
        <f t="shared" si="101"/>
        <v>-8</v>
      </c>
      <c r="K324">
        <f t="shared" si="102"/>
        <v>0</v>
      </c>
      <c r="L324">
        <f t="shared" si="103"/>
        <v>0</v>
      </c>
      <c r="M324">
        <f t="shared" si="104"/>
        <v>0</v>
      </c>
      <c r="N324">
        <f t="shared" si="105"/>
        <v>0</v>
      </c>
    </row>
    <row r="325" spans="1:14" x14ac:dyDescent="0.2">
      <c r="A325">
        <f t="shared" si="44"/>
        <v>323</v>
      </c>
      <c r="B325" s="1" t="s">
        <v>471</v>
      </c>
      <c r="C325">
        <v>6</v>
      </c>
      <c r="D325">
        <v>0</v>
      </c>
      <c r="E325">
        <v>-5</v>
      </c>
      <c r="F325">
        <v>-2</v>
      </c>
      <c r="G325">
        <v>-1</v>
      </c>
      <c r="H325">
        <f t="shared" si="98"/>
        <v>65535</v>
      </c>
      <c r="J325">
        <f t="shared" si="101"/>
        <v>-8</v>
      </c>
      <c r="K325">
        <f t="shared" si="102"/>
        <v>0</v>
      </c>
      <c r="L325">
        <f t="shared" si="103"/>
        <v>0</v>
      </c>
      <c r="M325">
        <f t="shared" si="104"/>
        <v>0</v>
      </c>
      <c r="N325">
        <f t="shared" si="105"/>
        <v>0</v>
      </c>
    </row>
    <row r="326" spans="1:14" x14ac:dyDescent="0.2">
      <c r="A326">
        <f t="shared" si="44"/>
        <v>324</v>
      </c>
      <c r="B326" s="1" t="s">
        <v>472</v>
      </c>
      <c r="C326">
        <v>5</v>
      </c>
      <c r="D326">
        <v>-3</v>
      </c>
      <c r="E326">
        <v>0</v>
      </c>
      <c r="F326">
        <v>0</v>
      </c>
      <c r="G326">
        <v>0</v>
      </c>
      <c r="H326">
        <f t="shared" si="98"/>
        <v>65535</v>
      </c>
      <c r="J326">
        <f t="shared" si="101"/>
        <v>-8</v>
      </c>
      <c r="K326">
        <f t="shared" si="102"/>
        <v>0</v>
      </c>
      <c r="L326">
        <f t="shared" si="103"/>
        <v>0</v>
      </c>
      <c r="M326">
        <f t="shared" si="104"/>
        <v>0</v>
      </c>
      <c r="N326">
        <f t="shared" si="105"/>
        <v>0</v>
      </c>
    </row>
    <row r="327" spans="1:14" x14ac:dyDescent="0.2">
      <c r="A327">
        <f t="shared" si="44"/>
        <v>325</v>
      </c>
      <c r="B327" s="1" t="s">
        <v>473</v>
      </c>
      <c r="C327">
        <v>36</v>
      </c>
      <c r="D327">
        <v>-2</v>
      </c>
      <c r="E327">
        <v>-5</v>
      </c>
      <c r="F327">
        <v>-2</v>
      </c>
      <c r="G327">
        <v>-1</v>
      </c>
      <c r="H327">
        <f t="shared" si="98"/>
        <v>65535</v>
      </c>
      <c r="I327" s="1"/>
      <c r="J327">
        <f t="shared" si="101"/>
        <v>-8</v>
      </c>
      <c r="K327">
        <f t="shared" si="102"/>
        <v>0</v>
      </c>
      <c r="L327">
        <f t="shared" si="103"/>
        <v>0</v>
      </c>
      <c r="M327">
        <f t="shared" si="104"/>
        <v>0</v>
      </c>
      <c r="N327">
        <f t="shared" si="105"/>
        <v>0</v>
      </c>
    </row>
    <row r="328" spans="1:14" x14ac:dyDescent="0.2">
      <c r="A328">
        <f t="shared" si="44"/>
        <v>326</v>
      </c>
      <c r="B328" s="1" t="s">
        <v>474</v>
      </c>
      <c r="C328">
        <v>36</v>
      </c>
      <c r="D328">
        <v>-2</v>
      </c>
      <c r="E328">
        <v>-5</v>
      </c>
      <c r="F328">
        <v>-2</v>
      </c>
      <c r="G328">
        <v>-1</v>
      </c>
      <c r="H328">
        <f t="shared" si="98"/>
        <v>65535</v>
      </c>
      <c r="J328">
        <f t="shared" si="101"/>
        <v>-8</v>
      </c>
      <c r="K328">
        <f t="shared" si="102"/>
        <v>0</v>
      </c>
      <c r="L328">
        <f t="shared" si="103"/>
        <v>0</v>
      </c>
      <c r="M328">
        <f t="shared" si="104"/>
        <v>0</v>
      </c>
      <c r="N328">
        <f t="shared" si="105"/>
        <v>0</v>
      </c>
    </row>
    <row r="329" spans="1:14" x14ac:dyDescent="0.2">
      <c r="A329">
        <f t="shared" si="44"/>
        <v>327</v>
      </c>
      <c r="B329" s="1" t="s">
        <v>475</v>
      </c>
      <c r="C329">
        <v>36</v>
      </c>
      <c r="D329">
        <v>-2</v>
      </c>
      <c r="E329">
        <v>-5</v>
      </c>
      <c r="F329">
        <v>-2</v>
      </c>
      <c r="G329">
        <v>-1</v>
      </c>
      <c r="H329">
        <f t="shared" si="98"/>
        <v>65535</v>
      </c>
      <c r="J329">
        <f t="shared" si="101"/>
        <v>-8</v>
      </c>
      <c r="K329">
        <f t="shared" si="102"/>
        <v>0</v>
      </c>
      <c r="L329">
        <f t="shared" si="103"/>
        <v>0</v>
      </c>
      <c r="M329">
        <f t="shared" si="104"/>
        <v>0</v>
      </c>
      <c r="N329">
        <f t="shared" si="105"/>
        <v>0</v>
      </c>
    </row>
    <row r="330" spans="1:14" x14ac:dyDescent="0.2">
      <c r="A330">
        <f t="shared" si="44"/>
        <v>328</v>
      </c>
      <c r="B330" s="1" t="s">
        <v>476</v>
      </c>
      <c r="C330">
        <v>36</v>
      </c>
      <c r="D330">
        <v>-2</v>
      </c>
      <c r="E330">
        <v>-5</v>
      </c>
      <c r="F330">
        <v>-2</v>
      </c>
      <c r="G330">
        <v>-1</v>
      </c>
      <c r="H330">
        <f t="shared" si="98"/>
        <v>65535</v>
      </c>
      <c r="J330">
        <f t="shared" si="101"/>
        <v>-8</v>
      </c>
      <c r="K330">
        <f t="shared" si="102"/>
        <v>0</v>
      </c>
      <c r="L330">
        <f t="shared" si="103"/>
        <v>0</v>
      </c>
      <c r="M330">
        <f t="shared" si="104"/>
        <v>0</v>
      </c>
      <c r="N330">
        <f t="shared" si="105"/>
        <v>0</v>
      </c>
    </row>
    <row r="331" spans="1:14" x14ac:dyDescent="0.2">
      <c r="A331">
        <f t="shared" si="44"/>
        <v>329</v>
      </c>
      <c r="B331" s="1" t="s">
        <v>477</v>
      </c>
      <c r="C331">
        <v>36</v>
      </c>
      <c r="D331">
        <v>-2</v>
      </c>
      <c r="E331">
        <v>-5</v>
      </c>
      <c r="F331">
        <v>-2</v>
      </c>
      <c r="G331">
        <v>-1</v>
      </c>
      <c r="H331">
        <f t="shared" si="98"/>
        <v>65535</v>
      </c>
      <c r="I331" s="1"/>
      <c r="J331">
        <f t="shared" si="101"/>
        <v>-8</v>
      </c>
      <c r="K331">
        <f t="shared" si="102"/>
        <v>0</v>
      </c>
      <c r="L331">
        <f t="shared" si="103"/>
        <v>0</v>
      </c>
      <c r="M331">
        <f t="shared" si="104"/>
        <v>0</v>
      </c>
      <c r="N331">
        <f t="shared" si="105"/>
        <v>0</v>
      </c>
    </row>
    <row r="332" spans="1:14" x14ac:dyDescent="0.2">
      <c r="A332">
        <f t="shared" si="44"/>
        <v>330</v>
      </c>
      <c r="B332" s="1" t="s">
        <v>478</v>
      </c>
      <c r="C332">
        <v>36</v>
      </c>
      <c r="D332">
        <v>-2</v>
      </c>
      <c r="E332">
        <v>-5</v>
      </c>
      <c r="F332">
        <v>-2</v>
      </c>
      <c r="G332">
        <v>-1</v>
      </c>
      <c r="H332">
        <f t="shared" si="98"/>
        <v>65535</v>
      </c>
      <c r="J332">
        <f t="shared" si="101"/>
        <v>-8</v>
      </c>
      <c r="K332">
        <f t="shared" si="102"/>
        <v>0</v>
      </c>
      <c r="L332">
        <f t="shared" si="103"/>
        <v>0</v>
      </c>
      <c r="M332">
        <f t="shared" si="104"/>
        <v>0</v>
      </c>
      <c r="N332">
        <f t="shared" si="105"/>
        <v>0</v>
      </c>
    </row>
    <row r="333" spans="1:14" x14ac:dyDescent="0.2">
      <c r="A333">
        <f t="shared" si="44"/>
        <v>331</v>
      </c>
      <c r="B333" s="1" t="s">
        <v>479</v>
      </c>
      <c r="C333">
        <v>36</v>
      </c>
      <c r="D333">
        <v>-1</v>
      </c>
      <c r="E333">
        <v>-5</v>
      </c>
      <c r="F333">
        <v>-2</v>
      </c>
      <c r="G333">
        <v>-1</v>
      </c>
      <c r="H333">
        <f t="shared" si="98"/>
        <v>65535</v>
      </c>
      <c r="J333">
        <f t="shared" si="101"/>
        <v>-8</v>
      </c>
      <c r="K333">
        <f t="shared" si="102"/>
        <v>0</v>
      </c>
      <c r="L333">
        <f t="shared" si="103"/>
        <v>0</v>
      </c>
      <c r="M333">
        <f t="shared" si="104"/>
        <v>0</v>
      </c>
      <c r="N333">
        <f t="shared" si="105"/>
        <v>0</v>
      </c>
    </row>
    <row r="334" spans="1:14" x14ac:dyDescent="0.2">
      <c r="A334">
        <f t="shared" si="44"/>
        <v>332</v>
      </c>
      <c r="B334" s="1" t="s">
        <v>480</v>
      </c>
      <c r="C334">
        <v>5</v>
      </c>
      <c r="D334">
        <v>0</v>
      </c>
      <c r="E334">
        <v>-5</v>
      </c>
      <c r="F334">
        <v>-2</v>
      </c>
      <c r="G334">
        <v>-1</v>
      </c>
      <c r="H334">
        <f t="shared" si="98"/>
        <v>65535</v>
      </c>
      <c r="I334" s="1"/>
      <c r="J334">
        <f t="shared" si="101"/>
        <v>-8</v>
      </c>
      <c r="K334">
        <f t="shared" si="102"/>
        <v>0</v>
      </c>
      <c r="L334">
        <f t="shared" si="103"/>
        <v>0</v>
      </c>
      <c r="M334">
        <f t="shared" si="104"/>
        <v>0</v>
      </c>
      <c r="N334">
        <f t="shared" si="105"/>
        <v>0</v>
      </c>
    </row>
    <row r="335" spans="1:14" x14ac:dyDescent="0.2">
      <c r="A335">
        <f t="shared" si="44"/>
        <v>333</v>
      </c>
      <c r="B335" s="1" t="s">
        <v>518</v>
      </c>
      <c r="C335">
        <v>37</v>
      </c>
      <c r="D335">
        <v>0</v>
      </c>
      <c r="E335">
        <v>0</v>
      </c>
      <c r="F335">
        <v>0</v>
      </c>
      <c r="G335">
        <v>0</v>
      </c>
      <c r="H335">
        <f t="shared" si="98"/>
        <v>65535</v>
      </c>
      <c r="I335" s="1"/>
      <c r="J335">
        <f t="shared" si="101"/>
        <v>-8</v>
      </c>
      <c r="K335">
        <f t="shared" si="102"/>
        <v>0</v>
      </c>
      <c r="L335">
        <f t="shared" si="103"/>
        <v>0</v>
      </c>
      <c r="M335">
        <f t="shared" si="104"/>
        <v>0</v>
      </c>
      <c r="N335">
        <f t="shared" si="105"/>
        <v>0</v>
      </c>
    </row>
    <row r="336" spans="1:14" x14ac:dyDescent="0.2">
      <c r="A336">
        <f t="shared" si="44"/>
        <v>334</v>
      </c>
      <c r="B336" s="1" t="s">
        <v>519</v>
      </c>
      <c r="C336">
        <v>38</v>
      </c>
      <c r="D336">
        <v>0</v>
      </c>
      <c r="E336">
        <v>0</v>
      </c>
      <c r="F336">
        <v>0</v>
      </c>
      <c r="G336">
        <v>0</v>
      </c>
      <c r="H336">
        <f t="shared" si="98"/>
        <v>65535</v>
      </c>
      <c r="I336" s="1"/>
      <c r="J336">
        <f t="shared" si="101"/>
        <v>-8</v>
      </c>
      <c r="K336">
        <f t="shared" si="102"/>
        <v>0</v>
      </c>
      <c r="L336">
        <f t="shared" si="103"/>
        <v>0</v>
      </c>
      <c r="M336">
        <f t="shared" si="104"/>
        <v>0</v>
      </c>
      <c r="N336">
        <f t="shared" si="105"/>
        <v>0</v>
      </c>
    </row>
    <row r="337" spans="1:14" x14ac:dyDescent="0.2">
      <c r="A337">
        <f t="shared" si="44"/>
        <v>335</v>
      </c>
      <c r="B337" s="1" t="s">
        <v>520</v>
      </c>
      <c r="C337">
        <v>39</v>
      </c>
      <c r="D337">
        <v>0</v>
      </c>
      <c r="E337">
        <v>0</v>
      </c>
      <c r="F337">
        <v>0</v>
      </c>
      <c r="G337">
        <v>0</v>
      </c>
      <c r="H337">
        <f t="shared" si="98"/>
        <v>65535</v>
      </c>
      <c r="I337" s="1"/>
      <c r="J337">
        <f t="shared" si="101"/>
        <v>-8</v>
      </c>
      <c r="K337">
        <f t="shared" si="102"/>
        <v>0</v>
      </c>
      <c r="L337">
        <f t="shared" si="103"/>
        <v>0</v>
      </c>
      <c r="M337">
        <f t="shared" si="104"/>
        <v>0</v>
      </c>
      <c r="N337">
        <f t="shared" si="105"/>
        <v>0</v>
      </c>
    </row>
    <row r="338" spans="1:14" x14ac:dyDescent="0.2">
      <c r="A338">
        <f t="shared" si="44"/>
        <v>336</v>
      </c>
      <c r="B338" s="1" t="s">
        <v>521</v>
      </c>
      <c r="C338">
        <v>38</v>
      </c>
      <c r="D338">
        <v>0</v>
      </c>
      <c r="E338">
        <v>0</v>
      </c>
      <c r="F338">
        <v>0</v>
      </c>
      <c r="G338">
        <v>0</v>
      </c>
      <c r="H338">
        <f t="shared" si="98"/>
        <v>65535</v>
      </c>
      <c r="I338" s="1"/>
      <c r="J338">
        <f t="shared" si="101"/>
        <v>-8</v>
      </c>
      <c r="K338">
        <f t="shared" si="102"/>
        <v>0</v>
      </c>
      <c r="L338">
        <f t="shared" si="103"/>
        <v>0</v>
      </c>
      <c r="M338">
        <f t="shared" si="104"/>
        <v>0</v>
      </c>
      <c r="N338">
        <f t="shared" si="105"/>
        <v>0</v>
      </c>
    </row>
    <row r="339" spans="1:14" x14ac:dyDescent="0.2">
      <c r="A339">
        <f t="shared" si="44"/>
        <v>337</v>
      </c>
      <c r="B339" s="1" t="s">
        <v>522</v>
      </c>
      <c r="C339">
        <v>37</v>
      </c>
      <c r="D339">
        <v>0</v>
      </c>
      <c r="E339">
        <v>0</v>
      </c>
      <c r="F339">
        <v>0</v>
      </c>
      <c r="G339">
        <v>0</v>
      </c>
      <c r="H339">
        <f t="shared" si="98"/>
        <v>65535</v>
      </c>
      <c r="I339" s="1"/>
      <c r="J339">
        <f t="shared" si="101"/>
        <v>-8</v>
      </c>
      <c r="K339">
        <f t="shared" si="102"/>
        <v>0</v>
      </c>
      <c r="L339">
        <f t="shared" si="103"/>
        <v>0</v>
      </c>
      <c r="M339">
        <f t="shared" si="104"/>
        <v>0</v>
      </c>
      <c r="N339">
        <f t="shared" si="105"/>
        <v>0</v>
      </c>
    </row>
    <row r="340" spans="1:14" x14ac:dyDescent="0.2">
      <c r="A340">
        <f t="shared" si="44"/>
        <v>338</v>
      </c>
      <c r="B340" s="1" t="s">
        <v>523</v>
      </c>
      <c r="C340">
        <v>38</v>
      </c>
      <c r="D340">
        <v>0</v>
      </c>
      <c r="E340">
        <v>0</v>
      </c>
      <c r="F340">
        <v>0</v>
      </c>
      <c r="G340">
        <v>0</v>
      </c>
      <c r="H340">
        <f t="shared" si="98"/>
        <v>65535</v>
      </c>
      <c r="I340" s="1"/>
      <c r="J340">
        <f t="shared" si="101"/>
        <v>-8</v>
      </c>
      <c r="K340">
        <f t="shared" si="102"/>
        <v>0</v>
      </c>
      <c r="L340">
        <f t="shared" si="103"/>
        <v>0</v>
      </c>
      <c r="M340">
        <f t="shared" si="104"/>
        <v>0</v>
      </c>
      <c r="N340">
        <f t="shared" si="105"/>
        <v>0</v>
      </c>
    </row>
    <row r="341" spans="1:14" x14ac:dyDescent="0.2">
      <c r="A341">
        <f t="shared" si="44"/>
        <v>339</v>
      </c>
      <c r="B341" s="1" t="s">
        <v>524</v>
      </c>
      <c r="C341">
        <v>39</v>
      </c>
      <c r="D341">
        <v>0</v>
      </c>
      <c r="E341">
        <v>0</v>
      </c>
      <c r="F341">
        <v>0</v>
      </c>
      <c r="G341">
        <v>0</v>
      </c>
      <c r="H341">
        <f t="shared" si="98"/>
        <v>65535</v>
      </c>
      <c r="I341" s="1"/>
      <c r="J341">
        <f t="shared" si="101"/>
        <v>-8</v>
      </c>
      <c r="K341">
        <f t="shared" si="102"/>
        <v>0</v>
      </c>
      <c r="L341">
        <f t="shared" si="103"/>
        <v>0</v>
      </c>
      <c r="M341">
        <f t="shared" si="104"/>
        <v>0</v>
      </c>
      <c r="N341">
        <f t="shared" si="105"/>
        <v>0</v>
      </c>
    </row>
    <row r="342" spans="1:14" x14ac:dyDescent="0.2">
      <c r="A342">
        <f t="shared" si="44"/>
        <v>340</v>
      </c>
      <c r="B342" s="1" t="s">
        <v>525</v>
      </c>
      <c r="C342">
        <v>38</v>
      </c>
      <c r="D342">
        <v>0</v>
      </c>
      <c r="E342">
        <v>0</v>
      </c>
      <c r="F342">
        <v>0</v>
      </c>
      <c r="G342">
        <v>0</v>
      </c>
      <c r="H342">
        <f t="shared" si="98"/>
        <v>65535</v>
      </c>
      <c r="I342" s="1"/>
      <c r="J342">
        <f t="shared" si="101"/>
        <v>-8</v>
      </c>
      <c r="K342">
        <f t="shared" si="102"/>
        <v>0</v>
      </c>
      <c r="L342">
        <f t="shared" si="103"/>
        <v>0</v>
      </c>
      <c r="M342">
        <f t="shared" si="104"/>
        <v>0</v>
      </c>
      <c r="N342">
        <f t="shared" si="105"/>
        <v>0</v>
      </c>
    </row>
    <row r="343" spans="1:14" x14ac:dyDescent="0.2">
      <c r="A343">
        <f t="shared" si="44"/>
        <v>341</v>
      </c>
      <c r="B343" s="1" t="s">
        <v>526</v>
      </c>
      <c r="C343">
        <v>37</v>
      </c>
      <c r="D343">
        <v>0</v>
      </c>
      <c r="E343">
        <v>0</v>
      </c>
      <c r="F343">
        <v>0</v>
      </c>
      <c r="G343">
        <v>0</v>
      </c>
      <c r="H343">
        <f t="shared" si="98"/>
        <v>65535</v>
      </c>
      <c r="I343" s="1"/>
      <c r="J343">
        <f t="shared" si="101"/>
        <v>-8</v>
      </c>
      <c r="K343">
        <f t="shared" si="102"/>
        <v>0</v>
      </c>
      <c r="L343">
        <f t="shared" si="103"/>
        <v>0</v>
      </c>
      <c r="M343">
        <f t="shared" si="104"/>
        <v>0</v>
      </c>
      <c r="N343">
        <f t="shared" si="105"/>
        <v>0</v>
      </c>
    </row>
    <row r="344" spans="1:14" x14ac:dyDescent="0.2">
      <c r="A344">
        <f t="shared" si="44"/>
        <v>342</v>
      </c>
      <c r="B344" s="1" t="s">
        <v>527</v>
      </c>
      <c r="C344">
        <v>38</v>
      </c>
      <c r="D344">
        <v>0</v>
      </c>
      <c r="E344">
        <v>0</v>
      </c>
      <c r="F344">
        <v>0</v>
      </c>
      <c r="G344">
        <v>0</v>
      </c>
      <c r="H344">
        <f t="shared" si="98"/>
        <v>65535</v>
      </c>
      <c r="I344" s="1"/>
      <c r="J344">
        <f t="shared" si="101"/>
        <v>-8</v>
      </c>
      <c r="K344">
        <f t="shared" si="102"/>
        <v>0</v>
      </c>
      <c r="L344">
        <f t="shared" si="103"/>
        <v>0</v>
      </c>
      <c r="M344">
        <f t="shared" si="104"/>
        <v>0</v>
      </c>
      <c r="N344">
        <f t="shared" si="105"/>
        <v>0</v>
      </c>
    </row>
    <row r="345" spans="1:14" x14ac:dyDescent="0.2">
      <c r="A345">
        <f t="shared" ref="A345:A408" si="106">A344+1</f>
        <v>343</v>
      </c>
      <c r="B345" s="1" t="s">
        <v>528</v>
      </c>
      <c r="C345">
        <v>39</v>
      </c>
      <c r="D345">
        <v>0</v>
      </c>
      <c r="E345">
        <v>0</v>
      </c>
      <c r="F345">
        <v>0</v>
      </c>
      <c r="G345">
        <v>0</v>
      </c>
      <c r="H345">
        <f t="shared" si="98"/>
        <v>109</v>
      </c>
      <c r="I345" s="1" t="s">
        <v>60</v>
      </c>
      <c r="J345">
        <f t="shared" si="101"/>
        <v>-8</v>
      </c>
      <c r="K345">
        <f t="shared" si="102"/>
        <v>0</v>
      </c>
      <c r="L345">
        <f t="shared" si="103"/>
        <v>0</v>
      </c>
      <c r="M345">
        <f t="shared" si="104"/>
        <v>0</v>
      </c>
      <c r="N345">
        <f t="shared" si="105"/>
        <v>0</v>
      </c>
    </row>
    <row r="346" spans="1:14" x14ac:dyDescent="0.2">
      <c r="A346">
        <f t="shared" si="106"/>
        <v>344</v>
      </c>
      <c r="B346" s="1" t="s">
        <v>529</v>
      </c>
      <c r="C346">
        <v>40</v>
      </c>
      <c r="D346">
        <v>0</v>
      </c>
      <c r="E346">
        <v>0</v>
      </c>
      <c r="F346">
        <v>0</v>
      </c>
      <c r="G346">
        <v>0</v>
      </c>
      <c r="H346">
        <f t="shared" si="98"/>
        <v>65535</v>
      </c>
      <c r="I346" s="1"/>
      <c r="J346">
        <f t="shared" si="101"/>
        <v>-8</v>
      </c>
      <c r="K346">
        <f t="shared" si="102"/>
        <v>0</v>
      </c>
      <c r="L346">
        <f t="shared" si="103"/>
        <v>0</v>
      </c>
      <c r="M346">
        <f t="shared" si="104"/>
        <v>0</v>
      </c>
      <c r="N346">
        <f t="shared" si="105"/>
        <v>0</v>
      </c>
    </row>
    <row r="347" spans="1:14" x14ac:dyDescent="0.2">
      <c r="A347">
        <f t="shared" si="106"/>
        <v>345</v>
      </c>
      <c r="B347" s="1" t="s">
        <v>530</v>
      </c>
      <c r="C347">
        <v>41</v>
      </c>
      <c r="D347">
        <v>0</v>
      </c>
      <c r="E347">
        <v>0</v>
      </c>
      <c r="F347">
        <v>0</v>
      </c>
      <c r="G347">
        <v>0</v>
      </c>
      <c r="H347">
        <f t="shared" si="98"/>
        <v>65535</v>
      </c>
      <c r="I347" s="1"/>
      <c r="J347">
        <f t="shared" si="101"/>
        <v>-8</v>
      </c>
      <c r="K347">
        <f t="shared" si="102"/>
        <v>0</v>
      </c>
      <c r="L347">
        <f t="shared" si="103"/>
        <v>0</v>
      </c>
      <c r="M347">
        <f t="shared" si="104"/>
        <v>0</v>
      </c>
      <c r="N347">
        <f t="shared" si="105"/>
        <v>0</v>
      </c>
    </row>
    <row r="348" spans="1:14" x14ac:dyDescent="0.2">
      <c r="A348">
        <f t="shared" si="106"/>
        <v>346</v>
      </c>
      <c r="B348" s="1" t="s">
        <v>531</v>
      </c>
      <c r="C348">
        <v>42</v>
      </c>
      <c r="D348">
        <v>0</v>
      </c>
      <c r="E348">
        <v>0</v>
      </c>
      <c r="F348">
        <v>0</v>
      </c>
      <c r="G348">
        <v>0</v>
      </c>
      <c r="H348">
        <f t="shared" si="98"/>
        <v>65535</v>
      </c>
      <c r="I348" s="1"/>
      <c r="J348">
        <f t="shared" si="101"/>
        <v>-8</v>
      </c>
      <c r="K348">
        <f t="shared" si="102"/>
        <v>0</v>
      </c>
      <c r="L348">
        <f t="shared" si="103"/>
        <v>0</v>
      </c>
      <c r="M348">
        <f t="shared" si="104"/>
        <v>0</v>
      </c>
      <c r="N348">
        <f t="shared" si="105"/>
        <v>0</v>
      </c>
    </row>
    <row r="349" spans="1:14" x14ac:dyDescent="0.2">
      <c r="A349">
        <f t="shared" si="106"/>
        <v>347</v>
      </c>
      <c r="B349" s="1" t="s">
        <v>532</v>
      </c>
      <c r="C349">
        <v>41</v>
      </c>
      <c r="D349">
        <v>0</v>
      </c>
      <c r="E349">
        <v>0</v>
      </c>
      <c r="F349">
        <v>0</v>
      </c>
      <c r="G349">
        <v>0</v>
      </c>
      <c r="H349">
        <f t="shared" si="98"/>
        <v>65535</v>
      </c>
      <c r="I349" s="1"/>
      <c r="J349">
        <f t="shared" si="101"/>
        <v>-8</v>
      </c>
      <c r="K349">
        <f t="shared" si="102"/>
        <v>0</v>
      </c>
      <c r="L349">
        <f t="shared" si="103"/>
        <v>0</v>
      </c>
      <c r="M349">
        <f t="shared" si="104"/>
        <v>0</v>
      </c>
      <c r="N349">
        <f t="shared" si="105"/>
        <v>0</v>
      </c>
    </row>
    <row r="350" spans="1:14" x14ac:dyDescent="0.2">
      <c r="A350">
        <f t="shared" si="106"/>
        <v>348</v>
      </c>
      <c r="B350" s="1" t="s">
        <v>533</v>
      </c>
      <c r="C350">
        <v>40</v>
      </c>
      <c r="D350">
        <v>0</v>
      </c>
      <c r="E350">
        <v>0</v>
      </c>
      <c r="F350">
        <v>0</v>
      </c>
      <c r="G350">
        <v>0</v>
      </c>
      <c r="H350">
        <f t="shared" si="98"/>
        <v>65535</v>
      </c>
      <c r="I350" s="1"/>
      <c r="J350">
        <f t="shared" si="101"/>
        <v>-8</v>
      </c>
      <c r="K350">
        <f t="shared" si="102"/>
        <v>0</v>
      </c>
      <c r="L350">
        <f t="shared" si="103"/>
        <v>0</v>
      </c>
      <c r="M350">
        <f t="shared" si="104"/>
        <v>0</v>
      </c>
      <c r="N350">
        <f t="shared" si="105"/>
        <v>0</v>
      </c>
    </row>
    <row r="351" spans="1:14" x14ac:dyDescent="0.2">
      <c r="A351">
        <f t="shared" si="106"/>
        <v>349</v>
      </c>
      <c r="B351" s="1" t="s">
        <v>534</v>
      </c>
      <c r="C351">
        <v>41</v>
      </c>
      <c r="D351">
        <v>0</v>
      </c>
      <c r="E351">
        <v>0</v>
      </c>
      <c r="F351">
        <v>0</v>
      </c>
      <c r="G351">
        <v>0</v>
      </c>
      <c r="H351">
        <f t="shared" si="98"/>
        <v>65535</v>
      </c>
      <c r="I351" s="1"/>
      <c r="J351">
        <f t="shared" si="101"/>
        <v>-8</v>
      </c>
      <c r="K351">
        <f t="shared" si="102"/>
        <v>0</v>
      </c>
      <c r="L351">
        <f t="shared" si="103"/>
        <v>0</v>
      </c>
      <c r="M351">
        <f t="shared" si="104"/>
        <v>0</v>
      </c>
      <c r="N351">
        <f t="shared" si="105"/>
        <v>0</v>
      </c>
    </row>
    <row r="352" spans="1:14" x14ac:dyDescent="0.2">
      <c r="A352">
        <f t="shared" si="106"/>
        <v>350</v>
      </c>
      <c r="B352" s="1" t="s">
        <v>535</v>
      </c>
      <c r="C352">
        <v>42</v>
      </c>
      <c r="D352">
        <v>0</v>
      </c>
      <c r="E352">
        <v>0</v>
      </c>
      <c r="F352">
        <v>0</v>
      </c>
      <c r="G352">
        <v>0</v>
      </c>
      <c r="H352">
        <f t="shared" si="98"/>
        <v>65535</v>
      </c>
      <c r="I352" s="1"/>
      <c r="J352">
        <f t="shared" si="101"/>
        <v>-8</v>
      </c>
      <c r="K352">
        <f t="shared" si="102"/>
        <v>0</v>
      </c>
      <c r="L352">
        <f t="shared" si="103"/>
        <v>0</v>
      </c>
      <c r="M352">
        <f t="shared" si="104"/>
        <v>0</v>
      </c>
      <c r="N352">
        <f t="shared" si="105"/>
        <v>0</v>
      </c>
    </row>
    <row r="353" spans="1:14" x14ac:dyDescent="0.2">
      <c r="A353">
        <f t="shared" si="106"/>
        <v>351</v>
      </c>
      <c r="B353" s="1" t="s">
        <v>536</v>
      </c>
      <c r="C353">
        <v>41</v>
      </c>
      <c r="D353">
        <v>0</v>
      </c>
      <c r="E353">
        <v>0</v>
      </c>
      <c r="F353">
        <v>0</v>
      </c>
      <c r="G353">
        <v>0</v>
      </c>
      <c r="H353">
        <f t="shared" si="98"/>
        <v>65535</v>
      </c>
      <c r="I353" s="1"/>
      <c r="J353">
        <f t="shared" si="101"/>
        <v>-8</v>
      </c>
      <c r="K353">
        <f t="shared" si="102"/>
        <v>0</v>
      </c>
      <c r="L353">
        <f t="shared" si="103"/>
        <v>0</v>
      </c>
      <c r="M353">
        <f t="shared" si="104"/>
        <v>0</v>
      </c>
      <c r="N353">
        <f t="shared" si="105"/>
        <v>0</v>
      </c>
    </row>
    <row r="354" spans="1:14" x14ac:dyDescent="0.2">
      <c r="A354">
        <f t="shared" si="106"/>
        <v>352</v>
      </c>
      <c r="B354" s="1" t="s">
        <v>537</v>
      </c>
      <c r="C354">
        <v>40</v>
      </c>
      <c r="D354">
        <v>0</v>
      </c>
      <c r="E354">
        <v>0</v>
      </c>
      <c r="F354">
        <v>0</v>
      </c>
      <c r="G354">
        <v>0</v>
      </c>
      <c r="H354">
        <f t="shared" si="98"/>
        <v>65535</v>
      </c>
      <c r="I354" s="1"/>
      <c r="J354">
        <f t="shared" si="101"/>
        <v>-8</v>
      </c>
      <c r="K354">
        <f t="shared" si="102"/>
        <v>0</v>
      </c>
      <c r="L354">
        <f t="shared" si="103"/>
        <v>0</v>
      </c>
      <c r="M354">
        <f t="shared" si="104"/>
        <v>0</v>
      </c>
      <c r="N354">
        <f t="shared" si="105"/>
        <v>0</v>
      </c>
    </row>
    <row r="355" spans="1:14" x14ac:dyDescent="0.2">
      <c r="A355">
        <f t="shared" si="106"/>
        <v>353</v>
      </c>
      <c r="B355" s="1" t="s">
        <v>538</v>
      </c>
      <c r="C355">
        <v>41</v>
      </c>
      <c r="D355">
        <v>0</v>
      </c>
      <c r="E355">
        <v>0</v>
      </c>
      <c r="F355">
        <v>0</v>
      </c>
      <c r="G355">
        <v>0</v>
      </c>
      <c r="H355">
        <f t="shared" si="98"/>
        <v>65535</v>
      </c>
      <c r="I355" s="1"/>
      <c r="J355">
        <f t="shared" ref="J355:J386" si="107">C355-C739</f>
        <v>-8</v>
      </c>
      <c r="K355">
        <f t="shared" ref="K355:K386" si="108">D355-D739</f>
        <v>0</v>
      </c>
      <c r="L355">
        <f t="shared" ref="L355:L386" si="109">E355+E739</f>
        <v>0</v>
      </c>
      <c r="M355">
        <f t="shared" ref="M355:M386" si="110">F355+F739</f>
        <v>0</v>
      </c>
      <c r="N355">
        <f t="shared" ref="N355:N386" si="111">G355+G739</f>
        <v>0</v>
      </c>
    </row>
    <row r="356" spans="1:14" x14ac:dyDescent="0.2">
      <c r="A356">
        <f t="shared" si="106"/>
        <v>354</v>
      </c>
      <c r="B356" s="1" t="s">
        <v>539</v>
      </c>
      <c r="C356">
        <v>42</v>
      </c>
      <c r="D356">
        <v>0</v>
      </c>
      <c r="E356">
        <v>0</v>
      </c>
      <c r="F356">
        <v>0</v>
      </c>
      <c r="G356">
        <v>0</v>
      </c>
      <c r="H356">
        <f t="shared" si="98"/>
        <v>109</v>
      </c>
      <c r="I356" s="1" t="s">
        <v>60</v>
      </c>
      <c r="J356">
        <f t="shared" si="107"/>
        <v>-8</v>
      </c>
      <c r="K356">
        <f t="shared" si="108"/>
        <v>0</v>
      </c>
      <c r="L356">
        <f t="shared" si="109"/>
        <v>0</v>
      </c>
      <c r="M356">
        <f t="shared" si="110"/>
        <v>0</v>
      </c>
      <c r="N356">
        <f t="shared" si="111"/>
        <v>0</v>
      </c>
    </row>
    <row r="357" spans="1:14" x14ac:dyDescent="0.2">
      <c r="A357">
        <f t="shared" si="106"/>
        <v>355</v>
      </c>
      <c r="B357" s="1" t="s">
        <v>584</v>
      </c>
      <c r="C357">
        <v>4</v>
      </c>
      <c r="D357">
        <v>0</v>
      </c>
      <c r="E357">
        <v>-5</v>
      </c>
      <c r="F357">
        <v>-2</v>
      </c>
      <c r="G357">
        <v>-1</v>
      </c>
      <c r="H357">
        <f t="shared" si="98"/>
        <v>65535</v>
      </c>
      <c r="I357" s="1"/>
      <c r="J357">
        <f t="shared" si="107"/>
        <v>-8</v>
      </c>
      <c r="K357">
        <f t="shared" si="108"/>
        <v>0</v>
      </c>
      <c r="L357">
        <f t="shared" si="109"/>
        <v>0</v>
      </c>
      <c r="M357">
        <f t="shared" si="110"/>
        <v>0</v>
      </c>
      <c r="N357">
        <f t="shared" si="111"/>
        <v>0</v>
      </c>
    </row>
    <row r="358" spans="1:14" x14ac:dyDescent="0.2">
      <c r="A358">
        <f t="shared" si="106"/>
        <v>356</v>
      </c>
      <c r="B358" s="1" t="s">
        <v>585</v>
      </c>
      <c r="C358">
        <v>4</v>
      </c>
      <c r="D358">
        <v>0</v>
      </c>
      <c r="E358">
        <v>-5</v>
      </c>
      <c r="F358">
        <v>-2</v>
      </c>
      <c r="G358">
        <v>-1</v>
      </c>
      <c r="H358">
        <f t="shared" si="98"/>
        <v>65535</v>
      </c>
      <c r="I358" s="1"/>
      <c r="J358">
        <f t="shared" si="107"/>
        <v>-8</v>
      </c>
      <c r="K358">
        <f t="shared" si="108"/>
        <v>0</v>
      </c>
      <c r="L358">
        <f t="shared" si="109"/>
        <v>0</v>
      </c>
      <c r="M358">
        <f t="shared" si="110"/>
        <v>0</v>
      </c>
      <c r="N358">
        <f t="shared" si="111"/>
        <v>0</v>
      </c>
    </row>
    <row r="359" spans="1:14" x14ac:dyDescent="0.2">
      <c r="A359">
        <f t="shared" si="106"/>
        <v>357</v>
      </c>
      <c r="B359" s="1" t="s">
        <v>586</v>
      </c>
      <c r="C359">
        <v>4</v>
      </c>
      <c r="D359">
        <v>0</v>
      </c>
      <c r="E359">
        <v>-5</v>
      </c>
      <c r="F359">
        <v>-2</v>
      </c>
      <c r="G359">
        <v>-1</v>
      </c>
      <c r="H359">
        <f t="shared" si="98"/>
        <v>65535</v>
      </c>
      <c r="I359" s="1"/>
      <c r="J359">
        <f t="shared" si="107"/>
        <v>-8</v>
      </c>
      <c r="K359">
        <f t="shared" si="108"/>
        <v>0</v>
      </c>
      <c r="L359">
        <f t="shared" si="109"/>
        <v>0</v>
      </c>
      <c r="M359">
        <f t="shared" si="110"/>
        <v>0</v>
      </c>
      <c r="N359">
        <f t="shared" si="111"/>
        <v>0</v>
      </c>
    </row>
    <row r="360" spans="1:14" x14ac:dyDescent="0.2">
      <c r="A360">
        <f t="shared" si="106"/>
        <v>358</v>
      </c>
      <c r="B360" s="1" t="s">
        <v>587</v>
      </c>
      <c r="C360">
        <v>4</v>
      </c>
      <c r="D360">
        <v>0</v>
      </c>
      <c r="E360">
        <v>-5</v>
      </c>
      <c r="F360">
        <v>-2</v>
      </c>
      <c r="G360">
        <v>-1</v>
      </c>
      <c r="H360">
        <f t="shared" si="98"/>
        <v>65535</v>
      </c>
      <c r="I360" s="1"/>
      <c r="J360">
        <f t="shared" si="107"/>
        <v>-8</v>
      </c>
      <c r="K360">
        <f t="shared" si="108"/>
        <v>0</v>
      </c>
      <c r="L360">
        <f t="shared" si="109"/>
        <v>0</v>
      </c>
      <c r="M360">
        <f t="shared" si="110"/>
        <v>0</v>
      </c>
      <c r="N360">
        <f t="shared" si="111"/>
        <v>0</v>
      </c>
    </row>
    <row r="361" spans="1:14" x14ac:dyDescent="0.2">
      <c r="A361">
        <f t="shared" si="106"/>
        <v>359</v>
      </c>
      <c r="B361" s="1" t="s">
        <v>588</v>
      </c>
      <c r="C361">
        <v>4</v>
      </c>
      <c r="D361">
        <v>0</v>
      </c>
      <c r="E361">
        <v>-5</v>
      </c>
      <c r="F361">
        <v>-2</v>
      </c>
      <c r="G361">
        <v>-1</v>
      </c>
      <c r="H361">
        <f t="shared" si="98"/>
        <v>65535</v>
      </c>
      <c r="I361" s="1"/>
      <c r="J361">
        <f t="shared" si="107"/>
        <v>-8</v>
      </c>
      <c r="K361">
        <f t="shared" si="108"/>
        <v>0</v>
      </c>
      <c r="L361">
        <f t="shared" si="109"/>
        <v>0</v>
      </c>
      <c r="M361">
        <f t="shared" si="110"/>
        <v>0</v>
      </c>
      <c r="N361">
        <f t="shared" si="111"/>
        <v>0</v>
      </c>
    </row>
    <row r="362" spans="1:14" x14ac:dyDescent="0.2">
      <c r="A362">
        <f t="shared" si="106"/>
        <v>360</v>
      </c>
      <c r="B362" s="1" t="s">
        <v>591</v>
      </c>
      <c r="C362">
        <v>5</v>
      </c>
      <c r="D362">
        <v>0</v>
      </c>
      <c r="E362">
        <v>-5</v>
      </c>
      <c r="F362">
        <v>-2</v>
      </c>
      <c r="G362">
        <v>-1</v>
      </c>
      <c r="H362">
        <f t="shared" si="98"/>
        <v>65535</v>
      </c>
      <c r="I362" s="1"/>
      <c r="J362">
        <f t="shared" si="107"/>
        <v>-8</v>
      </c>
      <c r="K362">
        <f t="shared" si="108"/>
        <v>0</v>
      </c>
      <c r="L362">
        <f t="shared" si="109"/>
        <v>0</v>
      </c>
      <c r="M362">
        <f t="shared" si="110"/>
        <v>0</v>
      </c>
      <c r="N362">
        <f t="shared" si="111"/>
        <v>0</v>
      </c>
    </row>
    <row r="363" spans="1:14" x14ac:dyDescent="0.2">
      <c r="A363">
        <f t="shared" si="106"/>
        <v>361</v>
      </c>
      <c r="B363" s="1" t="s">
        <v>590</v>
      </c>
      <c r="C363">
        <v>4</v>
      </c>
      <c r="D363">
        <v>0</v>
      </c>
      <c r="E363">
        <v>-5</v>
      </c>
      <c r="F363">
        <v>-2</v>
      </c>
      <c r="G363">
        <v>-1</v>
      </c>
      <c r="H363">
        <f t="shared" si="98"/>
        <v>65535</v>
      </c>
      <c r="I363" s="1"/>
      <c r="J363">
        <f t="shared" si="107"/>
        <v>-8</v>
      </c>
      <c r="K363">
        <f t="shared" si="108"/>
        <v>0</v>
      </c>
      <c r="L363">
        <f t="shared" si="109"/>
        <v>0</v>
      </c>
      <c r="M363">
        <f t="shared" si="110"/>
        <v>0</v>
      </c>
      <c r="N363">
        <f t="shared" si="111"/>
        <v>0</v>
      </c>
    </row>
    <row r="364" spans="1:14" x14ac:dyDescent="0.2">
      <c r="A364">
        <f t="shared" si="106"/>
        <v>362</v>
      </c>
      <c r="B364" s="1" t="s">
        <v>589</v>
      </c>
      <c r="C364">
        <v>5</v>
      </c>
      <c r="D364">
        <v>0</v>
      </c>
      <c r="E364">
        <v>-5</v>
      </c>
      <c r="F364">
        <v>-2</v>
      </c>
      <c r="G364">
        <v>-1</v>
      </c>
      <c r="H364">
        <f t="shared" si="98"/>
        <v>65535</v>
      </c>
      <c r="I364" s="1"/>
      <c r="J364">
        <f t="shared" si="107"/>
        <v>-8</v>
      </c>
      <c r="K364">
        <f t="shared" si="108"/>
        <v>0</v>
      </c>
      <c r="L364">
        <f t="shared" si="109"/>
        <v>0</v>
      </c>
      <c r="M364">
        <f t="shared" si="110"/>
        <v>0</v>
      </c>
      <c r="N364">
        <f t="shared" si="111"/>
        <v>0</v>
      </c>
    </row>
    <row r="365" spans="1:14" x14ac:dyDescent="0.2">
      <c r="A365">
        <f t="shared" si="106"/>
        <v>363</v>
      </c>
      <c r="B365" s="1" t="s">
        <v>600</v>
      </c>
      <c r="C365">
        <v>4</v>
      </c>
      <c r="D365">
        <v>0</v>
      </c>
      <c r="E365">
        <v>-5</v>
      </c>
      <c r="F365">
        <v>-2</v>
      </c>
      <c r="G365">
        <v>-1</v>
      </c>
      <c r="H365">
        <f t="shared" si="98"/>
        <v>65535</v>
      </c>
      <c r="I365" s="1"/>
      <c r="J365">
        <f t="shared" si="107"/>
        <v>-8</v>
      </c>
      <c r="K365">
        <f t="shared" si="108"/>
        <v>0</v>
      </c>
      <c r="L365">
        <f t="shared" si="109"/>
        <v>0</v>
      </c>
      <c r="M365">
        <f t="shared" si="110"/>
        <v>0</v>
      </c>
      <c r="N365">
        <f t="shared" si="111"/>
        <v>0</v>
      </c>
    </row>
    <row r="366" spans="1:14" x14ac:dyDescent="0.2">
      <c r="A366">
        <f t="shared" si="106"/>
        <v>364</v>
      </c>
      <c r="B366" s="1" t="s">
        <v>601</v>
      </c>
      <c r="C366">
        <v>5</v>
      </c>
      <c r="D366">
        <v>0</v>
      </c>
      <c r="E366">
        <v>-5</v>
      </c>
      <c r="F366">
        <v>-2</v>
      </c>
      <c r="G366">
        <v>-1</v>
      </c>
      <c r="H366">
        <f t="shared" si="98"/>
        <v>65535</v>
      </c>
      <c r="I366" s="1"/>
      <c r="J366">
        <f t="shared" si="107"/>
        <v>-8</v>
      </c>
      <c r="K366">
        <f t="shared" si="108"/>
        <v>0</v>
      </c>
      <c r="L366">
        <f t="shared" si="109"/>
        <v>0</v>
      </c>
      <c r="M366">
        <f t="shared" si="110"/>
        <v>0</v>
      </c>
      <c r="N366">
        <f t="shared" si="111"/>
        <v>0</v>
      </c>
    </row>
    <row r="367" spans="1:14" x14ac:dyDescent="0.2">
      <c r="A367">
        <f t="shared" si="106"/>
        <v>365</v>
      </c>
      <c r="B367" s="1" t="s">
        <v>602</v>
      </c>
      <c r="C367">
        <v>4</v>
      </c>
      <c r="D367">
        <v>0</v>
      </c>
      <c r="E367">
        <v>-5</v>
      </c>
      <c r="F367">
        <v>-2</v>
      </c>
      <c r="G367">
        <v>-1</v>
      </c>
      <c r="H367">
        <f t="shared" si="98"/>
        <v>65535</v>
      </c>
      <c r="I367" s="1"/>
      <c r="J367">
        <f t="shared" si="107"/>
        <v>-8</v>
      </c>
      <c r="K367">
        <f t="shared" si="108"/>
        <v>0</v>
      </c>
      <c r="L367">
        <f t="shared" si="109"/>
        <v>0</v>
      </c>
      <c r="M367">
        <f t="shared" si="110"/>
        <v>0</v>
      </c>
      <c r="N367">
        <f t="shared" si="111"/>
        <v>0</v>
      </c>
    </row>
    <row r="368" spans="1:14" x14ac:dyDescent="0.2">
      <c r="A368">
        <f t="shared" si="106"/>
        <v>366</v>
      </c>
      <c r="B368" s="1" t="s">
        <v>603</v>
      </c>
      <c r="C368">
        <v>5</v>
      </c>
      <c r="D368">
        <v>0</v>
      </c>
      <c r="E368">
        <v>-5</v>
      </c>
      <c r="F368">
        <v>-2</v>
      </c>
      <c r="G368">
        <v>-1</v>
      </c>
      <c r="H368">
        <f t="shared" si="98"/>
        <v>65535</v>
      </c>
      <c r="I368" s="1"/>
      <c r="J368">
        <f t="shared" si="107"/>
        <v>-8</v>
      </c>
      <c r="K368">
        <f t="shared" si="108"/>
        <v>0</v>
      </c>
      <c r="L368">
        <f t="shared" si="109"/>
        <v>0</v>
      </c>
      <c r="M368">
        <f t="shared" si="110"/>
        <v>0</v>
      </c>
      <c r="N368">
        <f t="shared" si="111"/>
        <v>0</v>
      </c>
    </row>
    <row r="369" spans="1:14" x14ac:dyDescent="0.2">
      <c r="A369">
        <f t="shared" si="106"/>
        <v>367</v>
      </c>
      <c r="B369" s="1" t="s">
        <v>604</v>
      </c>
      <c r="C369">
        <v>5</v>
      </c>
      <c r="D369">
        <v>-4</v>
      </c>
      <c r="E369">
        <v>0</v>
      </c>
      <c r="F369">
        <v>0</v>
      </c>
      <c r="G369">
        <v>0</v>
      </c>
      <c r="H369">
        <f t="shared" si="98"/>
        <v>65535</v>
      </c>
      <c r="I369" s="1"/>
      <c r="J369">
        <f t="shared" si="107"/>
        <v>-8</v>
      </c>
      <c r="K369">
        <f t="shared" si="108"/>
        <v>0</v>
      </c>
      <c r="L369">
        <f t="shared" si="109"/>
        <v>0</v>
      </c>
      <c r="M369">
        <f t="shared" si="110"/>
        <v>0</v>
      </c>
      <c r="N369">
        <f t="shared" si="111"/>
        <v>0</v>
      </c>
    </row>
    <row r="370" spans="1:14" x14ac:dyDescent="0.2">
      <c r="A370">
        <f t="shared" si="106"/>
        <v>368</v>
      </c>
      <c r="B370" s="1" t="s">
        <v>610</v>
      </c>
      <c r="C370">
        <v>4</v>
      </c>
      <c r="D370">
        <v>0</v>
      </c>
      <c r="E370">
        <v>-5</v>
      </c>
      <c r="F370">
        <v>-2</v>
      </c>
      <c r="G370">
        <v>-1</v>
      </c>
      <c r="H370">
        <f t="shared" si="98"/>
        <v>65535</v>
      </c>
      <c r="I370" s="1"/>
      <c r="J370">
        <f t="shared" si="107"/>
        <v>-8</v>
      </c>
      <c r="K370">
        <f t="shared" si="108"/>
        <v>0</v>
      </c>
      <c r="L370">
        <f t="shared" si="109"/>
        <v>0</v>
      </c>
      <c r="M370">
        <f t="shared" si="110"/>
        <v>0</v>
      </c>
      <c r="N370">
        <f t="shared" si="111"/>
        <v>0</v>
      </c>
    </row>
    <row r="371" spans="1:14" x14ac:dyDescent="0.2">
      <c r="A371">
        <f t="shared" si="106"/>
        <v>369</v>
      </c>
      <c r="B371" s="1" t="s">
        <v>611</v>
      </c>
      <c r="C371">
        <v>4</v>
      </c>
      <c r="D371">
        <v>2</v>
      </c>
      <c r="E371">
        <v>-5</v>
      </c>
      <c r="F371">
        <v>-2</v>
      </c>
      <c r="G371">
        <v>-1</v>
      </c>
      <c r="H371">
        <f t="shared" si="98"/>
        <v>65535</v>
      </c>
      <c r="I371" s="1"/>
      <c r="J371">
        <f t="shared" si="107"/>
        <v>-8</v>
      </c>
      <c r="K371">
        <f t="shared" si="108"/>
        <v>0</v>
      </c>
      <c r="L371">
        <f t="shared" si="109"/>
        <v>0</v>
      </c>
      <c r="M371">
        <f t="shared" si="110"/>
        <v>0</v>
      </c>
      <c r="N371">
        <f t="shared" si="111"/>
        <v>0</v>
      </c>
    </row>
    <row r="372" spans="1:14" x14ac:dyDescent="0.2">
      <c r="A372">
        <f t="shared" si="106"/>
        <v>370</v>
      </c>
      <c r="B372" s="1" t="s">
        <v>612</v>
      </c>
      <c r="C372">
        <v>52</v>
      </c>
      <c r="D372">
        <v>2</v>
      </c>
      <c r="E372">
        <v>-8</v>
      </c>
      <c r="F372">
        <v>-3</v>
      </c>
      <c r="G372">
        <v>-2</v>
      </c>
      <c r="H372">
        <f t="shared" si="98"/>
        <v>65535</v>
      </c>
      <c r="I372" s="1"/>
      <c r="J372">
        <f t="shared" si="107"/>
        <v>-8</v>
      </c>
      <c r="K372">
        <f t="shared" si="108"/>
        <v>0</v>
      </c>
      <c r="L372">
        <f t="shared" si="109"/>
        <v>0</v>
      </c>
      <c r="M372">
        <f t="shared" si="110"/>
        <v>0</v>
      </c>
      <c r="N372">
        <f t="shared" si="111"/>
        <v>0</v>
      </c>
    </row>
    <row r="373" spans="1:14" x14ac:dyDescent="0.2">
      <c r="A373">
        <f t="shared" si="106"/>
        <v>371</v>
      </c>
      <c r="B373" s="1" t="s">
        <v>613</v>
      </c>
      <c r="C373">
        <v>52</v>
      </c>
      <c r="D373">
        <v>-2</v>
      </c>
      <c r="E373">
        <v>-8</v>
      </c>
      <c r="F373">
        <v>-4</v>
      </c>
      <c r="G373">
        <v>-2</v>
      </c>
      <c r="H373">
        <f t="shared" si="98"/>
        <v>65535</v>
      </c>
      <c r="I373" s="1"/>
      <c r="J373">
        <f t="shared" si="107"/>
        <v>-8</v>
      </c>
      <c r="K373">
        <f t="shared" si="108"/>
        <v>0</v>
      </c>
      <c r="L373">
        <f t="shared" si="109"/>
        <v>0</v>
      </c>
      <c r="M373">
        <f t="shared" si="110"/>
        <v>0</v>
      </c>
      <c r="N373">
        <f t="shared" si="111"/>
        <v>0</v>
      </c>
    </row>
    <row r="374" spans="1:14" x14ac:dyDescent="0.2">
      <c r="A374">
        <f t="shared" si="106"/>
        <v>372</v>
      </c>
      <c r="B374" s="1" t="s">
        <v>614</v>
      </c>
      <c r="C374">
        <v>52</v>
      </c>
      <c r="D374">
        <v>-2</v>
      </c>
      <c r="E374">
        <v>-8</v>
      </c>
      <c r="F374">
        <v>-3</v>
      </c>
      <c r="G374">
        <v>-2</v>
      </c>
      <c r="H374">
        <f t="shared" si="98"/>
        <v>65535</v>
      </c>
      <c r="I374" s="1"/>
      <c r="J374">
        <f t="shared" si="107"/>
        <v>-8</v>
      </c>
      <c r="K374">
        <f t="shared" si="108"/>
        <v>0</v>
      </c>
      <c r="L374">
        <f t="shared" si="109"/>
        <v>0</v>
      </c>
      <c r="M374">
        <f t="shared" si="110"/>
        <v>0</v>
      </c>
      <c r="N374">
        <f t="shared" si="111"/>
        <v>0</v>
      </c>
    </row>
    <row r="375" spans="1:14" x14ac:dyDescent="0.2">
      <c r="A375">
        <f t="shared" si="106"/>
        <v>373</v>
      </c>
      <c r="B375" s="1" t="s">
        <v>615</v>
      </c>
      <c r="C375">
        <v>52</v>
      </c>
      <c r="D375">
        <v>-1</v>
      </c>
      <c r="E375">
        <v>-10</v>
      </c>
      <c r="F375">
        <v>-3</v>
      </c>
      <c r="G375">
        <v>-2</v>
      </c>
      <c r="H375">
        <f t="shared" si="98"/>
        <v>65535</v>
      </c>
      <c r="I375" s="1"/>
      <c r="J375">
        <f t="shared" si="107"/>
        <v>-8</v>
      </c>
      <c r="K375">
        <f t="shared" si="108"/>
        <v>0</v>
      </c>
      <c r="L375">
        <f t="shared" si="109"/>
        <v>0</v>
      </c>
      <c r="M375">
        <f t="shared" si="110"/>
        <v>0</v>
      </c>
      <c r="N375">
        <f t="shared" si="111"/>
        <v>0</v>
      </c>
    </row>
    <row r="376" spans="1:14" x14ac:dyDescent="0.2">
      <c r="A376">
        <f t="shared" si="106"/>
        <v>374</v>
      </c>
      <c r="B376" s="1" t="s">
        <v>616</v>
      </c>
      <c r="C376">
        <v>52</v>
      </c>
      <c r="D376">
        <v>0</v>
      </c>
      <c r="E376">
        <v>-10</v>
      </c>
      <c r="F376">
        <v>-4</v>
      </c>
      <c r="G376">
        <v>-2</v>
      </c>
      <c r="H376">
        <f t="shared" si="98"/>
        <v>65535</v>
      </c>
      <c r="I376" s="1"/>
      <c r="J376">
        <f t="shared" si="107"/>
        <v>-8</v>
      </c>
      <c r="K376">
        <f t="shared" si="108"/>
        <v>0</v>
      </c>
      <c r="L376">
        <f t="shared" si="109"/>
        <v>0</v>
      </c>
      <c r="M376">
        <f t="shared" si="110"/>
        <v>0</v>
      </c>
      <c r="N376">
        <f t="shared" si="111"/>
        <v>0</v>
      </c>
    </row>
    <row r="377" spans="1:14" x14ac:dyDescent="0.2">
      <c r="A377">
        <f t="shared" si="106"/>
        <v>375</v>
      </c>
      <c r="B377" s="1" t="s">
        <v>617</v>
      </c>
      <c r="C377">
        <v>52</v>
      </c>
      <c r="D377">
        <v>-1</v>
      </c>
      <c r="E377">
        <v>-10</v>
      </c>
      <c r="F377">
        <v>-4</v>
      </c>
      <c r="G377">
        <v>-2</v>
      </c>
      <c r="H377">
        <f t="shared" si="98"/>
        <v>65535</v>
      </c>
      <c r="I377" s="1"/>
      <c r="J377">
        <f t="shared" si="107"/>
        <v>-8</v>
      </c>
      <c r="K377">
        <f t="shared" si="108"/>
        <v>0</v>
      </c>
      <c r="L377">
        <f t="shared" si="109"/>
        <v>0</v>
      </c>
      <c r="M377">
        <f t="shared" si="110"/>
        <v>0</v>
      </c>
      <c r="N377">
        <f t="shared" si="111"/>
        <v>0</v>
      </c>
    </row>
    <row r="378" spans="1:14" x14ac:dyDescent="0.2">
      <c r="A378">
        <f t="shared" si="106"/>
        <v>376</v>
      </c>
      <c r="B378" s="1" t="s">
        <v>618</v>
      </c>
      <c r="C378">
        <v>52</v>
      </c>
      <c r="D378">
        <v>0</v>
      </c>
      <c r="E378">
        <v>-10</v>
      </c>
      <c r="F378">
        <v>-4</v>
      </c>
      <c r="G378">
        <v>-2</v>
      </c>
      <c r="H378">
        <f t="shared" si="98"/>
        <v>65535</v>
      </c>
      <c r="I378" s="1"/>
      <c r="J378">
        <f t="shared" si="107"/>
        <v>-8</v>
      </c>
      <c r="K378">
        <f t="shared" si="108"/>
        <v>0</v>
      </c>
      <c r="L378">
        <f t="shared" si="109"/>
        <v>0</v>
      </c>
      <c r="M378">
        <f t="shared" si="110"/>
        <v>0</v>
      </c>
      <c r="N378">
        <f t="shared" si="111"/>
        <v>0</v>
      </c>
    </row>
    <row r="379" spans="1:14" x14ac:dyDescent="0.2">
      <c r="A379">
        <f t="shared" si="106"/>
        <v>377</v>
      </c>
      <c r="B379" s="1" t="s">
        <v>619</v>
      </c>
      <c r="C379">
        <v>52</v>
      </c>
      <c r="D379">
        <v>0</v>
      </c>
      <c r="E379">
        <v>-10</v>
      </c>
      <c r="F379">
        <v>-4</v>
      </c>
      <c r="G379">
        <v>-2</v>
      </c>
      <c r="H379">
        <f t="shared" si="98"/>
        <v>65535</v>
      </c>
      <c r="I379" s="1"/>
      <c r="J379">
        <f t="shared" si="107"/>
        <v>-8</v>
      </c>
      <c r="K379">
        <f t="shared" si="108"/>
        <v>0</v>
      </c>
      <c r="L379">
        <f t="shared" si="109"/>
        <v>0</v>
      </c>
      <c r="M379">
        <f t="shared" si="110"/>
        <v>0</v>
      </c>
      <c r="N379">
        <f t="shared" si="111"/>
        <v>0</v>
      </c>
    </row>
    <row r="380" spans="1:14" x14ac:dyDescent="0.2">
      <c r="A380">
        <f t="shared" si="106"/>
        <v>378</v>
      </c>
      <c r="B380" s="1" t="s">
        <v>620</v>
      </c>
      <c r="C380">
        <v>52</v>
      </c>
      <c r="D380">
        <v>1</v>
      </c>
      <c r="E380">
        <v>-10</v>
      </c>
      <c r="F380">
        <v>-4</v>
      </c>
      <c r="G380">
        <v>-2</v>
      </c>
      <c r="H380">
        <f t="shared" si="98"/>
        <v>65535</v>
      </c>
      <c r="I380" s="1"/>
      <c r="J380">
        <f t="shared" si="107"/>
        <v>-8</v>
      </c>
      <c r="K380">
        <f t="shared" si="108"/>
        <v>0</v>
      </c>
      <c r="L380">
        <f t="shared" si="109"/>
        <v>0</v>
      </c>
      <c r="M380">
        <f t="shared" si="110"/>
        <v>0</v>
      </c>
      <c r="N380">
        <f t="shared" si="111"/>
        <v>0</v>
      </c>
    </row>
    <row r="381" spans="1:14" x14ac:dyDescent="0.2">
      <c r="A381">
        <f t="shared" si="106"/>
        <v>379</v>
      </c>
      <c r="B381" s="1" t="s">
        <v>621</v>
      </c>
      <c r="C381">
        <v>52</v>
      </c>
      <c r="D381">
        <v>0</v>
      </c>
      <c r="E381">
        <v>-8</v>
      </c>
      <c r="F381">
        <v>-3</v>
      </c>
      <c r="G381">
        <v>-1</v>
      </c>
      <c r="H381">
        <f t="shared" si="98"/>
        <v>65535</v>
      </c>
      <c r="I381" s="1"/>
      <c r="J381">
        <f t="shared" si="107"/>
        <v>-8</v>
      </c>
      <c r="K381">
        <f t="shared" si="108"/>
        <v>0</v>
      </c>
      <c r="L381">
        <f t="shared" si="109"/>
        <v>0</v>
      </c>
      <c r="M381">
        <f t="shared" si="110"/>
        <v>0</v>
      </c>
      <c r="N381">
        <f t="shared" si="111"/>
        <v>0</v>
      </c>
    </row>
    <row r="382" spans="1:14" x14ac:dyDescent="0.2">
      <c r="A382">
        <f t="shared" si="106"/>
        <v>380</v>
      </c>
      <c r="B382" s="1" t="s">
        <v>622</v>
      </c>
      <c r="C382">
        <v>52</v>
      </c>
      <c r="D382">
        <v>1</v>
      </c>
      <c r="E382">
        <v>-8</v>
      </c>
      <c r="F382">
        <v>-3</v>
      </c>
      <c r="G382">
        <v>-1</v>
      </c>
      <c r="H382">
        <f t="shared" si="98"/>
        <v>65535</v>
      </c>
      <c r="I382" s="1"/>
      <c r="J382">
        <f t="shared" si="107"/>
        <v>-8</v>
      </c>
      <c r="K382">
        <f t="shared" si="108"/>
        <v>0</v>
      </c>
      <c r="L382">
        <f t="shared" si="109"/>
        <v>0</v>
      </c>
      <c r="M382">
        <f t="shared" si="110"/>
        <v>0</v>
      </c>
      <c r="N382">
        <f t="shared" si="111"/>
        <v>0</v>
      </c>
    </row>
    <row r="383" spans="1:14" x14ac:dyDescent="0.2">
      <c r="A383">
        <f t="shared" si="106"/>
        <v>381</v>
      </c>
      <c r="B383" s="1" t="s">
        <v>623</v>
      </c>
      <c r="C383">
        <v>52</v>
      </c>
      <c r="D383">
        <v>2</v>
      </c>
      <c r="E383">
        <v>-8</v>
      </c>
      <c r="F383">
        <v>-3</v>
      </c>
      <c r="G383">
        <v>-1</v>
      </c>
      <c r="H383">
        <f t="shared" si="98"/>
        <v>65535</v>
      </c>
      <c r="I383" s="1"/>
      <c r="J383">
        <f t="shared" si="107"/>
        <v>-8</v>
      </c>
      <c r="K383">
        <f t="shared" si="108"/>
        <v>0</v>
      </c>
      <c r="L383">
        <f t="shared" si="109"/>
        <v>0</v>
      </c>
      <c r="M383">
        <f t="shared" si="110"/>
        <v>0</v>
      </c>
      <c r="N383">
        <f t="shared" si="111"/>
        <v>0</v>
      </c>
    </row>
    <row r="384" spans="1:14" x14ac:dyDescent="0.2">
      <c r="A384">
        <f t="shared" si="106"/>
        <v>382</v>
      </c>
      <c r="B384" s="1" t="s">
        <v>624</v>
      </c>
      <c r="C384">
        <v>52</v>
      </c>
      <c r="D384">
        <v>1</v>
      </c>
      <c r="E384">
        <v>-5</v>
      </c>
      <c r="F384">
        <v>-2</v>
      </c>
      <c r="G384">
        <v>-1</v>
      </c>
      <c r="H384">
        <f t="shared" si="98"/>
        <v>65535</v>
      </c>
      <c r="I384" s="1"/>
      <c r="J384">
        <f t="shared" si="107"/>
        <v>-8</v>
      </c>
      <c r="K384">
        <f t="shared" si="108"/>
        <v>0</v>
      </c>
      <c r="L384">
        <f t="shared" si="109"/>
        <v>0</v>
      </c>
      <c r="M384">
        <f t="shared" si="110"/>
        <v>0</v>
      </c>
      <c r="N384">
        <f t="shared" si="111"/>
        <v>0</v>
      </c>
    </row>
    <row r="385" spans="1:14" x14ac:dyDescent="0.2">
      <c r="A385">
        <f t="shared" si="106"/>
        <v>383</v>
      </c>
      <c r="B385" s="1" t="s">
        <v>625</v>
      </c>
      <c r="C385">
        <v>4</v>
      </c>
      <c r="D385">
        <v>0</v>
      </c>
      <c r="E385">
        <v>-5</v>
      </c>
      <c r="F385">
        <v>-2</v>
      </c>
      <c r="G385">
        <v>-1</v>
      </c>
      <c r="H385">
        <f t="shared" si="98"/>
        <v>65535</v>
      </c>
      <c r="I385" s="1"/>
      <c r="J385">
        <f t="shared" si="107"/>
        <v>-8</v>
      </c>
      <c r="K385">
        <f t="shared" si="108"/>
        <v>0</v>
      </c>
      <c r="L385">
        <f t="shared" si="109"/>
        <v>0</v>
      </c>
      <c r="M385">
        <f t="shared" si="110"/>
        <v>0</v>
      </c>
      <c r="N385">
        <f t="shared" si="111"/>
        <v>0</v>
      </c>
    </row>
    <row r="386" spans="1:14" x14ac:dyDescent="0.2">
      <c r="A386">
        <f t="shared" si="106"/>
        <v>384</v>
      </c>
      <c r="B386" s="1" t="s">
        <v>626</v>
      </c>
      <c r="C386">
        <v>4</v>
      </c>
      <c r="D386">
        <v>1</v>
      </c>
      <c r="E386">
        <v>-5</v>
      </c>
      <c r="F386">
        <v>-2</v>
      </c>
      <c r="G386">
        <v>-1</v>
      </c>
      <c r="H386">
        <f t="shared" ref="H386:H449" si="112">_xlfn.XLOOKUP(I386,$B$2:$B$982,$A$2:$A$982,65535)</f>
        <v>65535</v>
      </c>
      <c r="I386" s="1"/>
      <c r="J386">
        <f t="shared" si="107"/>
        <v>-8</v>
      </c>
      <c r="K386">
        <f t="shared" si="108"/>
        <v>0</v>
      </c>
      <c r="L386">
        <f t="shared" si="109"/>
        <v>0</v>
      </c>
      <c r="M386">
        <f t="shared" si="110"/>
        <v>0</v>
      </c>
      <c r="N386">
        <f t="shared" si="111"/>
        <v>0</v>
      </c>
    </row>
    <row r="387" spans="1:14" x14ac:dyDescent="0.2">
      <c r="A387">
        <f t="shared" si="106"/>
        <v>385</v>
      </c>
      <c r="B387" s="1" t="s">
        <v>627</v>
      </c>
      <c r="C387">
        <v>6</v>
      </c>
      <c r="D387">
        <v>-2</v>
      </c>
      <c r="E387">
        <v>-5</v>
      </c>
      <c r="F387">
        <v>-2</v>
      </c>
      <c r="G387">
        <v>-1</v>
      </c>
      <c r="H387">
        <f t="shared" si="112"/>
        <v>65535</v>
      </c>
      <c r="I387" s="1"/>
      <c r="J387">
        <f t="shared" ref="J387:J405" si="113">C387-C771</f>
        <v>-8</v>
      </c>
      <c r="K387">
        <f t="shared" ref="K387:K405" si="114">D387-D771</f>
        <v>0</v>
      </c>
      <c r="L387">
        <f t="shared" ref="L387:L405" si="115">E387+E771</f>
        <v>0</v>
      </c>
      <c r="M387">
        <f t="shared" ref="M387:M405" si="116">F387+F771</f>
        <v>0</v>
      </c>
      <c r="N387">
        <f t="shared" ref="N387:N405" si="117">G387+G771</f>
        <v>0</v>
      </c>
    </row>
    <row r="388" spans="1:14" x14ac:dyDescent="0.2">
      <c r="A388">
        <f t="shared" si="106"/>
        <v>386</v>
      </c>
      <c r="B388" s="1" t="s">
        <v>628</v>
      </c>
      <c r="C388">
        <v>7</v>
      </c>
      <c r="D388">
        <v>-2</v>
      </c>
      <c r="E388">
        <v>-5</v>
      </c>
      <c r="F388">
        <v>-2</v>
      </c>
      <c r="G388">
        <v>-1</v>
      </c>
      <c r="H388">
        <f t="shared" si="112"/>
        <v>65535</v>
      </c>
      <c r="I388" s="1"/>
      <c r="J388">
        <f t="shared" si="113"/>
        <v>-8</v>
      </c>
      <c r="K388">
        <f t="shared" si="114"/>
        <v>0</v>
      </c>
      <c r="L388">
        <f t="shared" si="115"/>
        <v>0</v>
      </c>
      <c r="M388">
        <f t="shared" si="116"/>
        <v>0</v>
      </c>
      <c r="N388">
        <f t="shared" si="117"/>
        <v>0</v>
      </c>
    </row>
    <row r="389" spans="1:14" ht="18" customHeight="1" x14ac:dyDescent="0.2">
      <c r="A389">
        <f t="shared" si="106"/>
        <v>387</v>
      </c>
      <c r="B389" s="1" t="s">
        <v>629</v>
      </c>
      <c r="C389">
        <v>5</v>
      </c>
      <c r="D389">
        <v>0</v>
      </c>
      <c r="E389">
        <v>0</v>
      </c>
      <c r="F389">
        <v>0</v>
      </c>
      <c r="G389">
        <v>0</v>
      </c>
      <c r="H389">
        <f t="shared" si="112"/>
        <v>65535</v>
      </c>
      <c r="I389" s="1"/>
      <c r="J389">
        <f t="shared" si="113"/>
        <v>-8</v>
      </c>
      <c r="K389">
        <f t="shared" si="114"/>
        <v>0</v>
      </c>
      <c r="L389">
        <f t="shared" si="115"/>
        <v>0</v>
      </c>
      <c r="M389">
        <f t="shared" si="116"/>
        <v>0</v>
      </c>
      <c r="N389">
        <f t="shared" si="117"/>
        <v>0</v>
      </c>
    </row>
    <row r="390" spans="1:14" ht="18" customHeight="1" x14ac:dyDescent="0.2">
      <c r="A390">
        <f t="shared" si="106"/>
        <v>388</v>
      </c>
      <c r="B390" s="1" t="s">
        <v>745</v>
      </c>
      <c r="C390">
        <v>5</v>
      </c>
      <c r="D390">
        <v>0</v>
      </c>
      <c r="E390">
        <v>0</v>
      </c>
      <c r="F390">
        <v>0</v>
      </c>
      <c r="G390">
        <v>0</v>
      </c>
      <c r="H390">
        <f t="shared" si="112"/>
        <v>65535</v>
      </c>
      <c r="I390" s="1"/>
      <c r="J390">
        <f t="shared" si="113"/>
        <v>-8</v>
      </c>
      <c r="K390">
        <f t="shared" si="114"/>
        <v>0</v>
      </c>
      <c r="L390">
        <f t="shared" si="115"/>
        <v>0</v>
      </c>
      <c r="M390">
        <f t="shared" si="116"/>
        <v>0</v>
      </c>
      <c r="N390">
        <f t="shared" si="117"/>
        <v>0</v>
      </c>
    </row>
    <row r="391" spans="1:14" x14ac:dyDescent="0.2">
      <c r="A391">
        <f t="shared" si="106"/>
        <v>389</v>
      </c>
      <c r="B391" s="1" t="s">
        <v>746</v>
      </c>
      <c r="C391">
        <v>4</v>
      </c>
      <c r="D391">
        <v>1</v>
      </c>
      <c r="E391">
        <v>-5</v>
      </c>
      <c r="F391">
        <v>-2</v>
      </c>
      <c r="G391">
        <v>-1</v>
      </c>
      <c r="H391">
        <f t="shared" si="112"/>
        <v>65535</v>
      </c>
      <c r="J391">
        <f t="shared" si="113"/>
        <v>-8</v>
      </c>
      <c r="K391">
        <f t="shared" si="114"/>
        <v>0</v>
      </c>
      <c r="L391">
        <f t="shared" si="115"/>
        <v>0</v>
      </c>
      <c r="M391">
        <f t="shared" si="116"/>
        <v>0</v>
      </c>
      <c r="N391">
        <f t="shared" si="117"/>
        <v>0</v>
      </c>
    </row>
    <row r="392" spans="1:14" x14ac:dyDescent="0.2">
      <c r="A392">
        <f t="shared" si="106"/>
        <v>390</v>
      </c>
      <c r="B392" s="1" t="s">
        <v>747</v>
      </c>
      <c r="C392">
        <v>4</v>
      </c>
      <c r="D392">
        <v>1</v>
      </c>
      <c r="E392">
        <v>-5</v>
      </c>
      <c r="F392">
        <v>-2</v>
      </c>
      <c r="G392">
        <v>-1</v>
      </c>
      <c r="H392">
        <f t="shared" si="112"/>
        <v>65535</v>
      </c>
      <c r="J392">
        <f t="shared" si="113"/>
        <v>-8</v>
      </c>
      <c r="K392">
        <f t="shared" si="114"/>
        <v>0</v>
      </c>
      <c r="L392">
        <f t="shared" si="115"/>
        <v>0</v>
      </c>
      <c r="M392">
        <f t="shared" si="116"/>
        <v>0</v>
      </c>
      <c r="N392">
        <f t="shared" si="117"/>
        <v>0</v>
      </c>
    </row>
    <row r="393" spans="1:14" x14ac:dyDescent="0.2">
      <c r="A393">
        <f t="shared" si="106"/>
        <v>391</v>
      </c>
      <c r="B393" s="1" t="s">
        <v>748</v>
      </c>
      <c r="C393">
        <v>4</v>
      </c>
      <c r="D393">
        <v>1</v>
      </c>
      <c r="E393">
        <v>-5</v>
      </c>
      <c r="F393">
        <v>-2</v>
      </c>
      <c r="G393">
        <v>-1</v>
      </c>
      <c r="H393">
        <f t="shared" si="112"/>
        <v>65535</v>
      </c>
      <c r="J393">
        <f t="shared" si="113"/>
        <v>-8</v>
      </c>
      <c r="K393">
        <f t="shared" si="114"/>
        <v>0</v>
      </c>
      <c r="L393">
        <f t="shared" si="115"/>
        <v>0</v>
      </c>
      <c r="M393">
        <f t="shared" si="116"/>
        <v>0</v>
      </c>
      <c r="N393">
        <f t="shared" si="117"/>
        <v>0</v>
      </c>
    </row>
    <row r="394" spans="1:14" x14ac:dyDescent="0.2">
      <c r="A394">
        <f t="shared" si="106"/>
        <v>392</v>
      </c>
      <c r="B394" s="1" t="s">
        <v>749</v>
      </c>
      <c r="C394">
        <v>4</v>
      </c>
      <c r="D394">
        <v>0</v>
      </c>
      <c r="E394">
        <v>-5</v>
      </c>
      <c r="F394">
        <v>-2</v>
      </c>
      <c r="G394">
        <v>-1</v>
      </c>
      <c r="H394">
        <f t="shared" si="112"/>
        <v>65535</v>
      </c>
      <c r="J394">
        <f t="shared" si="113"/>
        <v>-8</v>
      </c>
      <c r="K394">
        <f t="shared" si="114"/>
        <v>0</v>
      </c>
      <c r="L394">
        <f t="shared" si="115"/>
        <v>0</v>
      </c>
      <c r="M394">
        <f t="shared" si="116"/>
        <v>0</v>
      </c>
      <c r="N394">
        <f t="shared" si="117"/>
        <v>0</v>
      </c>
    </row>
    <row r="395" spans="1:14" x14ac:dyDescent="0.2">
      <c r="A395">
        <f t="shared" si="106"/>
        <v>393</v>
      </c>
      <c r="B395" s="1" t="s">
        <v>750</v>
      </c>
      <c r="C395">
        <v>4</v>
      </c>
      <c r="D395">
        <v>-1</v>
      </c>
      <c r="E395">
        <v>-2</v>
      </c>
      <c r="F395">
        <v>-1</v>
      </c>
      <c r="G395">
        <v>0</v>
      </c>
      <c r="H395">
        <f t="shared" si="112"/>
        <v>65535</v>
      </c>
      <c r="J395">
        <f t="shared" si="113"/>
        <v>-8</v>
      </c>
      <c r="K395">
        <f t="shared" si="114"/>
        <v>0</v>
      </c>
      <c r="L395">
        <f t="shared" si="115"/>
        <v>0</v>
      </c>
      <c r="M395">
        <f t="shared" si="116"/>
        <v>0</v>
      </c>
      <c r="N395">
        <f t="shared" si="117"/>
        <v>0</v>
      </c>
    </row>
    <row r="396" spans="1:14" x14ac:dyDescent="0.2">
      <c r="A396">
        <f t="shared" si="106"/>
        <v>394</v>
      </c>
      <c r="B396" s="1" t="s">
        <v>751</v>
      </c>
      <c r="C396">
        <v>6</v>
      </c>
      <c r="D396">
        <v>-1</v>
      </c>
      <c r="E396">
        <v>-2</v>
      </c>
      <c r="F396">
        <v>-1</v>
      </c>
      <c r="G396">
        <v>-1</v>
      </c>
      <c r="H396">
        <f t="shared" si="112"/>
        <v>65535</v>
      </c>
      <c r="J396">
        <f t="shared" si="113"/>
        <v>-8</v>
      </c>
      <c r="K396">
        <f t="shared" si="114"/>
        <v>0</v>
      </c>
      <c r="L396">
        <f t="shared" si="115"/>
        <v>0</v>
      </c>
      <c r="M396">
        <f t="shared" si="116"/>
        <v>0</v>
      </c>
      <c r="N396">
        <f t="shared" si="117"/>
        <v>0</v>
      </c>
    </row>
    <row r="397" spans="1:14" x14ac:dyDescent="0.2">
      <c r="A397">
        <f t="shared" si="106"/>
        <v>395</v>
      </c>
      <c r="B397" s="1" t="s">
        <v>752</v>
      </c>
      <c r="C397">
        <v>5</v>
      </c>
      <c r="D397">
        <v>-1</v>
      </c>
      <c r="E397">
        <v>-5</v>
      </c>
      <c r="F397">
        <v>-2</v>
      </c>
      <c r="G397">
        <v>-1</v>
      </c>
      <c r="H397">
        <f t="shared" si="112"/>
        <v>65535</v>
      </c>
      <c r="J397">
        <f t="shared" si="113"/>
        <v>-8</v>
      </c>
      <c r="K397">
        <f t="shared" si="114"/>
        <v>0</v>
      </c>
      <c r="L397">
        <f t="shared" si="115"/>
        <v>0</v>
      </c>
      <c r="M397">
        <f t="shared" si="116"/>
        <v>0</v>
      </c>
      <c r="N397">
        <f t="shared" si="117"/>
        <v>0</v>
      </c>
    </row>
    <row r="398" spans="1:14" ht="18" customHeight="1" x14ac:dyDescent="0.2">
      <c r="A398">
        <f t="shared" si="106"/>
        <v>396</v>
      </c>
      <c r="B398" s="1" t="s">
        <v>761</v>
      </c>
      <c r="C398">
        <v>5</v>
      </c>
      <c r="D398">
        <v>0</v>
      </c>
      <c r="E398">
        <v>0</v>
      </c>
      <c r="F398">
        <v>0</v>
      </c>
      <c r="G398">
        <v>0</v>
      </c>
      <c r="H398">
        <f t="shared" si="112"/>
        <v>65535</v>
      </c>
      <c r="I398" s="1"/>
      <c r="J398">
        <f t="shared" si="113"/>
        <v>-8</v>
      </c>
      <c r="K398">
        <f t="shared" si="114"/>
        <v>0</v>
      </c>
      <c r="L398">
        <f t="shared" si="115"/>
        <v>0</v>
      </c>
      <c r="M398">
        <f t="shared" si="116"/>
        <v>0</v>
      </c>
      <c r="N398">
        <f t="shared" si="117"/>
        <v>0</v>
      </c>
    </row>
    <row r="399" spans="1:14" x14ac:dyDescent="0.2">
      <c r="A399">
        <f t="shared" si="106"/>
        <v>397</v>
      </c>
      <c r="B399" s="1" t="s">
        <v>762</v>
      </c>
      <c r="C399">
        <v>4</v>
      </c>
      <c r="D399">
        <v>1</v>
      </c>
      <c r="E399">
        <v>-5</v>
      </c>
      <c r="F399">
        <v>-2</v>
      </c>
      <c r="G399">
        <v>-1</v>
      </c>
      <c r="H399">
        <f t="shared" si="112"/>
        <v>65535</v>
      </c>
      <c r="J399">
        <f t="shared" si="113"/>
        <v>-8</v>
      </c>
      <c r="K399">
        <f t="shared" si="114"/>
        <v>0</v>
      </c>
      <c r="L399">
        <f t="shared" si="115"/>
        <v>0</v>
      </c>
      <c r="M399">
        <f t="shared" si="116"/>
        <v>0</v>
      </c>
      <c r="N399">
        <f t="shared" si="117"/>
        <v>0</v>
      </c>
    </row>
    <row r="400" spans="1:14" x14ac:dyDescent="0.2">
      <c r="A400">
        <f t="shared" si="106"/>
        <v>398</v>
      </c>
      <c r="B400" s="1" t="s">
        <v>763</v>
      </c>
      <c r="C400">
        <v>4</v>
      </c>
      <c r="D400">
        <v>1</v>
      </c>
      <c r="E400">
        <v>-5</v>
      </c>
      <c r="F400">
        <v>-2</v>
      </c>
      <c r="G400">
        <v>-1</v>
      </c>
      <c r="H400">
        <f t="shared" si="112"/>
        <v>65535</v>
      </c>
      <c r="J400">
        <f t="shared" si="113"/>
        <v>-8</v>
      </c>
      <c r="K400">
        <f t="shared" si="114"/>
        <v>0</v>
      </c>
      <c r="L400">
        <f t="shared" si="115"/>
        <v>0</v>
      </c>
      <c r="M400">
        <f t="shared" si="116"/>
        <v>0</v>
      </c>
      <c r="N400">
        <f t="shared" si="117"/>
        <v>0</v>
      </c>
    </row>
    <row r="401" spans="1:14" x14ac:dyDescent="0.2">
      <c r="A401">
        <f t="shared" si="106"/>
        <v>399</v>
      </c>
      <c r="B401" s="1" t="s">
        <v>764</v>
      </c>
      <c r="C401">
        <v>4</v>
      </c>
      <c r="D401">
        <v>1</v>
      </c>
      <c r="E401">
        <v>-5</v>
      </c>
      <c r="F401">
        <v>-2</v>
      </c>
      <c r="G401">
        <v>-1</v>
      </c>
      <c r="H401">
        <f t="shared" si="112"/>
        <v>65535</v>
      </c>
      <c r="J401">
        <f t="shared" si="113"/>
        <v>-8</v>
      </c>
      <c r="K401">
        <f t="shared" si="114"/>
        <v>0</v>
      </c>
      <c r="L401">
        <f t="shared" si="115"/>
        <v>0</v>
      </c>
      <c r="M401">
        <f t="shared" si="116"/>
        <v>0</v>
      </c>
      <c r="N401">
        <f t="shared" si="117"/>
        <v>0</v>
      </c>
    </row>
    <row r="402" spans="1:14" x14ac:dyDescent="0.2">
      <c r="A402">
        <f t="shared" si="106"/>
        <v>400</v>
      </c>
      <c r="B402" s="1" t="s">
        <v>765</v>
      </c>
      <c r="C402">
        <v>4</v>
      </c>
      <c r="D402">
        <v>0</v>
      </c>
      <c r="E402">
        <v>-5</v>
      </c>
      <c r="F402">
        <v>-2</v>
      </c>
      <c r="G402">
        <v>-1</v>
      </c>
      <c r="H402">
        <f t="shared" si="112"/>
        <v>65535</v>
      </c>
      <c r="J402">
        <f t="shared" si="113"/>
        <v>-8</v>
      </c>
      <c r="K402">
        <f t="shared" si="114"/>
        <v>0</v>
      </c>
      <c r="L402">
        <f t="shared" si="115"/>
        <v>0</v>
      </c>
      <c r="M402">
        <f t="shared" si="116"/>
        <v>0</v>
      </c>
      <c r="N402">
        <f t="shared" si="117"/>
        <v>0</v>
      </c>
    </row>
    <row r="403" spans="1:14" x14ac:dyDescent="0.2">
      <c r="A403">
        <f t="shared" si="106"/>
        <v>401</v>
      </c>
      <c r="B403" s="1" t="s">
        <v>766</v>
      </c>
      <c r="C403">
        <v>4</v>
      </c>
      <c r="D403">
        <v>-1</v>
      </c>
      <c r="E403">
        <v>-2</v>
      </c>
      <c r="F403">
        <v>-1</v>
      </c>
      <c r="G403">
        <v>0</v>
      </c>
      <c r="H403">
        <f t="shared" si="112"/>
        <v>65535</v>
      </c>
      <c r="J403">
        <f t="shared" si="113"/>
        <v>-8</v>
      </c>
      <c r="K403">
        <f t="shared" si="114"/>
        <v>0</v>
      </c>
      <c r="L403">
        <f t="shared" si="115"/>
        <v>0</v>
      </c>
      <c r="M403">
        <f t="shared" si="116"/>
        <v>0</v>
      </c>
      <c r="N403">
        <f t="shared" si="117"/>
        <v>0</v>
      </c>
    </row>
    <row r="404" spans="1:14" x14ac:dyDescent="0.2">
      <c r="A404">
        <f t="shared" si="106"/>
        <v>402</v>
      </c>
      <c r="B404" s="1" t="s">
        <v>767</v>
      </c>
      <c r="C404">
        <v>6</v>
      </c>
      <c r="D404">
        <v>-1</v>
      </c>
      <c r="E404">
        <v>-2</v>
      </c>
      <c r="F404">
        <v>-1</v>
      </c>
      <c r="G404">
        <v>0</v>
      </c>
      <c r="H404">
        <f t="shared" si="112"/>
        <v>65535</v>
      </c>
      <c r="J404">
        <f t="shared" si="113"/>
        <v>-8</v>
      </c>
      <c r="K404">
        <f t="shared" si="114"/>
        <v>0</v>
      </c>
      <c r="L404">
        <f t="shared" si="115"/>
        <v>0</v>
      </c>
      <c r="M404">
        <f t="shared" si="116"/>
        <v>0</v>
      </c>
      <c r="N404">
        <f t="shared" si="117"/>
        <v>1</v>
      </c>
    </row>
    <row r="405" spans="1:14" x14ac:dyDescent="0.2">
      <c r="A405">
        <f t="shared" si="106"/>
        <v>403</v>
      </c>
      <c r="B405" s="1" t="s">
        <v>768</v>
      </c>
      <c r="C405">
        <v>19</v>
      </c>
      <c r="D405">
        <v>-1</v>
      </c>
      <c r="E405">
        <v>-5</v>
      </c>
      <c r="F405">
        <v>-2</v>
      </c>
      <c r="G405">
        <v>-1</v>
      </c>
      <c r="H405">
        <f t="shared" si="112"/>
        <v>51</v>
      </c>
      <c r="I405" s="1" t="s">
        <v>234</v>
      </c>
      <c r="J405">
        <f t="shared" si="113"/>
        <v>0</v>
      </c>
      <c r="K405">
        <f t="shared" si="114"/>
        <v>0</v>
      </c>
      <c r="L405">
        <f t="shared" si="115"/>
        <v>0</v>
      </c>
      <c r="M405">
        <f t="shared" si="116"/>
        <v>0</v>
      </c>
      <c r="N405">
        <f t="shared" si="117"/>
        <v>0</v>
      </c>
    </row>
    <row r="406" spans="1:14" x14ac:dyDescent="0.2">
      <c r="A406">
        <f t="shared" si="106"/>
        <v>404</v>
      </c>
      <c r="B406" s="1" t="s">
        <v>822</v>
      </c>
      <c r="C406">
        <v>120</v>
      </c>
      <c r="D406">
        <v>0</v>
      </c>
      <c r="E406">
        <v>0</v>
      </c>
      <c r="F406">
        <v>0</v>
      </c>
      <c r="G406">
        <v>0</v>
      </c>
      <c r="H406">
        <f t="shared" si="112"/>
        <v>65535</v>
      </c>
      <c r="J406">
        <f t="shared" ref="J406:J420" si="118">C406-C860</f>
        <v>116</v>
      </c>
      <c r="K406">
        <f t="shared" ref="K406:K420" si="119">D406-D860</f>
        <v>2</v>
      </c>
      <c r="L406">
        <f t="shared" ref="L406:L420" si="120">E406+E860</f>
        <v>0</v>
      </c>
      <c r="M406">
        <f t="shared" ref="M406:M420" si="121">F406+F860</f>
        <v>0</v>
      </c>
      <c r="N406">
        <f t="shared" ref="N406:N420" si="122">G406+G860</f>
        <v>0</v>
      </c>
    </row>
    <row r="407" spans="1:14" x14ac:dyDescent="0.2">
      <c r="A407">
        <f t="shared" si="106"/>
        <v>405</v>
      </c>
      <c r="B407" s="1" t="s">
        <v>821</v>
      </c>
      <c r="C407">
        <v>121</v>
      </c>
      <c r="D407">
        <v>0</v>
      </c>
      <c r="E407">
        <v>0</v>
      </c>
      <c r="F407">
        <v>0</v>
      </c>
      <c r="G407">
        <v>0</v>
      </c>
      <c r="H407">
        <f t="shared" si="112"/>
        <v>65535</v>
      </c>
      <c r="J407">
        <f t="shared" si="118"/>
        <v>116</v>
      </c>
      <c r="K407">
        <f t="shared" si="119"/>
        <v>1</v>
      </c>
      <c r="L407">
        <f t="shared" si="120"/>
        <v>0</v>
      </c>
      <c r="M407">
        <f t="shared" si="121"/>
        <v>0</v>
      </c>
      <c r="N407">
        <f t="shared" si="122"/>
        <v>0</v>
      </c>
    </row>
    <row r="408" spans="1:14" x14ac:dyDescent="0.2">
      <c r="A408">
        <f t="shared" si="106"/>
        <v>406</v>
      </c>
      <c r="B408" s="1" t="s">
        <v>823</v>
      </c>
      <c r="C408">
        <v>122</v>
      </c>
      <c r="D408">
        <v>0</v>
      </c>
      <c r="E408">
        <v>0</v>
      </c>
      <c r="F408">
        <v>0</v>
      </c>
      <c r="G408">
        <v>0</v>
      </c>
      <c r="H408">
        <f t="shared" si="112"/>
        <v>65535</v>
      </c>
      <c r="J408">
        <f t="shared" si="118"/>
        <v>117</v>
      </c>
      <c r="K408">
        <f t="shared" si="119"/>
        <v>0</v>
      </c>
      <c r="L408">
        <f t="shared" si="120"/>
        <v>0</v>
      </c>
      <c r="M408">
        <f t="shared" si="121"/>
        <v>0</v>
      </c>
      <c r="N408">
        <f t="shared" si="122"/>
        <v>0</v>
      </c>
    </row>
    <row r="409" spans="1:14" x14ac:dyDescent="0.2">
      <c r="A409">
        <f t="shared" ref="A409:A480" si="123">A408+1</f>
        <v>407</v>
      </c>
      <c r="B409" s="1" t="s">
        <v>824</v>
      </c>
      <c r="C409">
        <v>123</v>
      </c>
      <c r="D409">
        <v>0</v>
      </c>
      <c r="E409">
        <v>0</v>
      </c>
      <c r="F409">
        <v>0</v>
      </c>
      <c r="G409">
        <v>0</v>
      </c>
      <c r="H409">
        <f t="shared" si="112"/>
        <v>65535</v>
      </c>
      <c r="J409">
        <f t="shared" si="118"/>
        <v>118</v>
      </c>
      <c r="K409">
        <f t="shared" si="119"/>
        <v>-1</v>
      </c>
      <c r="L409">
        <f t="shared" si="120"/>
        <v>0</v>
      </c>
      <c r="M409">
        <f t="shared" si="121"/>
        <v>0</v>
      </c>
      <c r="N409">
        <f t="shared" si="122"/>
        <v>0</v>
      </c>
    </row>
    <row r="410" spans="1:14" x14ac:dyDescent="0.2">
      <c r="A410">
        <f t="shared" si="123"/>
        <v>408</v>
      </c>
      <c r="B410" s="1" t="s">
        <v>825</v>
      </c>
      <c r="C410">
        <v>122</v>
      </c>
      <c r="D410">
        <v>0</v>
      </c>
      <c r="E410">
        <v>0</v>
      </c>
      <c r="F410">
        <v>0</v>
      </c>
      <c r="G410">
        <v>0</v>
      </c>
      <c r="H410">
        <f t="shared" si="112"/>
        <v>65535</v>
      </c>
      <c r="J410">
        <f t="shared" si="118"/>
        <v>117</v>
      </c>
      <c r="K410">
        <f t="shared" si="119"/>
        <v>-2</v>
      </c>
      <c r="L410">
        <f t="shared" si="120"/>
        <v>0</v>
      </c>
      <c r="M410">
        <f t="shared" si="121"/>
        <v>0</v>
      </c>
      <c r="N410">
        <f t="shared" si="122"/>
        <v>0</v>
      </c>
    </row>
    <row r="411" spans="1:14" x14ac:dyDescent="0.2">
      <c r="A411">
        <f t="shared" si="123"/>
        <v>409</v>
      </c>
      <c r="B411" s="1" t="s">
        <v>826</v>
      </c>
      <c r="C411">
        <v>121</v>
      </c>
      <c r="D411">
        <v>0</v>
      </c>
      <c r="E411">
        <v>0</v>
      </c>
      <c r="F411">
        <v>0</v>
      </c>
      <c r="G411">
        <v>0</v>
      </c>
      <c r="H411">
        <f t="shared" si="112"/>
        <v>65535</v>
      </c>
      <c r="J411">
        <f t="shared" si="118"/>
        <v>116</v>
      </c>
      <c r="K411">
        <f t="shared" si="119"/>
        <v>-4</v>
      </c>
      <c r="L411">
        <f t="shared" si="120"/>
        <v>0</v>
      </c>
      <c r="M411">
        <f t="shared" si="121"/>
        <v>0</v>
      </c>
      <c r="N411">
        <f t="shared" si="122"/>
        <v>0</v>
      </c>
    </row>
    <row r="412" spans="1:14" x14ac:dyDescent="0.2">
      <c r="A412">
        <f t="shared" si="123"/>
        <v>410</v>
      </c>
      <c r="B412" s="1" t="s">
        <v>827</v>
      </c>
      <c r="C412">
        <v>120</v>
      </c>
      <c r="D412">
        <v>0</v>
      </c>
      <c r="E412">
        <v>0</v>
      </c>
      <c r="F412">
        <v>0</v>
      </c>
      <c r="G412">
        <v>0</v>
      </c>
      <c r="H412">
        <f t="shared" si="112"/>
        <v>65535</v>
      </c>
      <c r="J412">
        <f t="shared" si="118"/>
        <v>115</v>
      </c>
      <c r="K412">
        <f t="shared" si="119"/>
        <v>-7</v>
      </c>
      <c r="L412">
        <f t="shared" si="120"/>
        <v>0</v>
      </c>
      <c r="M412">
        <f t="shared" si="121"/>
        <v>0</v>
      </c>
      <c r="N412">
        <f t="shared" si="122"/>
        <v>0</v>
      </c>
    </row>
    <row r="413" spans="1:14" x14ac:dyDescent="0.2">
      <c r="A413">
        <f t="shared" si="123"/>
        <v>411</v>
      </c>
      <c r="B413" s="1" t="s">
        <v>828</v>
      </c>
      <c r="C413">
        <v>121</v>
      </c>
      <c r="D413">
        <v>0</v>
      </c>
      <c r="E413">
        <v>-5</v>
      </c>
      <c r="F413">
        <v>-2</v>
      </c>
      <c r="G413">
        <v>-1</v>
      </c>
      <c r="H413">
        <f t="shared" si="112"/>
        <v>65535</v>
      </c>
      <c r="J413">
        <f t="shared" si="118"/>
        <v>115</v>
      </c>
      <c r="K413">
        <f t="shared" si="119"/>
        <v>-11</v>
      </c>
      <c r="L413">
        <f t="shared" si="120"/>
        <v>-5</v>
      </c>
      <c r="M413">
        <f t="shared" si="121"/>
        <v>-2</v>
      </c>
      <c r="N413">
        <f t="shared" si="122"/>
        <v>-1</v>
      </c>
    </row>
    <row r="414" spans="1:14" x14ac:dyDescent="0.2">
      <c r="A414">
        <f t="shared" si="123"/>
        <v>412</v>
      </c>
      <c r="B414" s="1" t="s">
        <v>829</v>
      </c>
      <c r="C414">
        <v>120</v>
      </c>
      <c r="D414">
        <v>0</v>
      </c>
      <c r="E414">
        <v>-5</v>
      </c>
      <c r="F414">
        <v>-2</v>
      </c>
      <c r="G414">
        <v>-1</v>
      </c>
      <c r="H414">
        <f t="shared" si="112"/>
        <v>65535</v>
      </c>
      <c r="J414">
        <f t="shared" si="118"/>
        <v>113</v>
      </c>
      <c r="K414">
        <f t="shared" si="119"/>
        <v>-15</v>
      </c>
      <c r="L414">
        <f t="shared" si="120"/>
        <v>-5</v>
      </c>
      <c r="M414">
        <f t="shared" si="121"/>
        <v>-2</v>
      </c>
      <c r="N414">
        <f t="shared" si="122"/>
        <v>-1</v>
      </c>
    </row>
    <row r="415" spans="1:14" x14ac:dyDescent="0.2">
      <c r="A415">
        <f t="shared" si="123"/>
        <v>413</v>
      </c>
      <c r="B415" s="1" t="s">
        <v>830</v>
      </c>
      <c r="C415">
        <v>121</v>
      </c>
      <c r="D415">
        <v>0</v>
      </c>
      <c r="E415">
        <v>-5</v>
      </c>
      <c r="F415">
        <v>-2</v>
      </c>
      <c r="G415">
        <v>-1</v>
      </c>
      <c r="H415">
        <f t="shared" si="112"/>
        <v>65535</v>
      </c>
      <c r="J415">
        <f t="shared" si="118"/>
        <v>121</v>
      </c>
      <c r="K415">
        <f t="shared" si="119"/>
        <v>0</v>
      </c>
      <c r="L415">
        <f t="shared" si="120"/>
        <v>-5</v>
      </c>
      <c r="M415">
        <f t="shared" si="121"/>
        <v>-2</v>
      </c>
      <c r="N415">
        <f t="shared" si="122"/>
        <v>-1</v>
      </c>
    </row>
    <row r="416" spans="1:14" x14ac:dyDescent="0.2">
      <c r="A416">
        <f t="shared" si="123"/>
        <v>414</v>
      </c>
      <c r="B416" s="1" t="s">
        <v>831</v>
      </c>
      <c r="C416">
        <v>120</v>
      </c>
      <c r="D416">
        <v>0</v>
      </c>
      <c r="E416">
        <v>-5</v>
      </c>
      <c r="F416">
        <v>-2</v>
      </c>
      <c r="G416">
        <v>-1</v>
      </c>
      <c r="H416">
        <f t="shared" si="112"/>
        <v>65535</v>
      </c>
      <c r="J416">
        <f t="shared" si="118"/>
        <v>119</v>
      </c>
      <c r="K416">
        <f t="shared" si="119"/>
        <v>0</v>
      </c>
      <c r="L416">
        <f t="shared" si="120"/>
        <v>-5</v>
      </c>
      <c r="M416">
        <f t="shared" si="121"/>
        <v>-2</v>
      </c>
      <c r="N416">
        <f t="shared" si="122"/>
        <v>-1</v>
      </c>
    </row>
    <row r="417" spans="1:14" x14ac:dyDescent="0.2">
      <c r="A417">
        <f t="shared" si="123"/>
        <v>415</v>
      </c>
      <c r="B417" s="1" t="s">
        <v>832</v>
      </c>
      <c r="C417">
        <v>121</v>
      </c>
      <c r="D417">
        <v>0</v>
      </c>
      <c r="E417">
        <v>5</v>
      </c>
      <c r="F417">
        <v>2</v>
      </c>
      <c r="G417">
        <v>1</v>
      </c>
      <c r="H417">
        <f t="shared" si="112"/>
        <v>65535</v>
      </c>
      <c r="J417">
        <f t="shared" si="118"/>
        <v>119</v>
      </c>
      <c r="K417">
        <f t="shared" si="119"/>
        <v>0</v>
      </c>
      <c r="L417">
        <f t="shared" si="120"/>
        <v>5</v>
      </c>
      <c r="M417">
        <f t="shared" si="121"/>
        <v>2</v>
      </c>
      <c r="N417">
        <f t="shared" si="122"/>
        <v>1</v>
      </c>
    </row>
    <row r="418" spans="1:14" x14ac:dyDescent="0.2">
      <c r="A418">
        <f t="shared" si="123"/>
        <v>416</v>
      </c>
      <c r="B418" s="1" t="s">
        <v>833</v>
      </c>
      <c r="C418">
        <v>120</v>
      </c>
      <c r="D418">
        <v>0</v>
      </c>
      <c r="E418">
        <v>5</v>
      </c>
      <c r="F418">
        <v>2</v>
      </c>
      <c r="G418">
        <v>1</v>
      </c>
      <c r="H418">
        <f t="shared" si="112"/>
        <v>65535</v>
      </c>
      <c r="J418">
        <f t="shared" si="118"/>
        <v>117</v>
      </c>
      <c r="K418">
        <f t="shared" si="119"/>
        <v>0</v>
      </c>
      <c r="L418">
        <f t="shared" si="120"/>
        <v>5</v>
      </c>
      <c r="M418">
        <f t="shared" si="121"/>
        <v>2</v>
      </c>
      <c r="N418">
        <f t="shared" si="122"/>
        <v>1</v>
      </c>
    </row>
    <row r="419" spans="1:14" x14ac:dyDescent="0.2">
      <c r="A419">
        <f t="shared" si="123"/>
        <v>417</v>
      </c>
      <c r="B419" s="1" t="s">
        <v>834</v>
      </c>
      <c r="C419">
        <v>121</v>
      </c>
      <c r="D419">
        <v>0</v>
      </c>
      <c r="E419">
        <v>5</v>
      </c>
      <c r="F419">
        <v>2</v>
      </c>
      <c r="G419">
        <v>1</v>
      </c>
      <c r="H419">
        <f t="shared" si="112"/>
        <v>65535</v>
      </c>
      <c r="J419">
        <f t="shared" si="118"/>
        <v>105</v>
      </c>
      <c r="K419">
        <f t="shared" si="119"/>
        <v>0</v>
      </c>
      <c r="L419">
        <f t="shared" si="120"/>
        <v>5</v>
      </c>
      <c r="M419">
        <f t="shared" si="121"/>
        <v>2</v>
      </c>
      <c r="N419">
        <f t="shared" si="122"/>
        <v>1</v>
      </c>
    </row>
    <row r="420" spans="1:14" x14ac:dyDescent="0.2">
      <c r="A420">
        <f t="shared" si="123"/>
        <v>418</v>
      </c>
      <c r="B420" s="1" t="s">
        <v>835</v>
      </c>
      <c r="C420">
        <v>120</v>
      </c>
      <c r="D420">
        <v>0</v>
      </c>
      <c r="E420">
        <v>5</v>
      </c>
      <c r="F420">
        <v>2</v>
      </c>
      <c r="G420">
        <v>1</v>
      </c>
      <c r="H420">
        <f t="shared" si="112"/>
        <v>65535</v>
      </c>
      <c r="J420">
        <f t="shared" si="118"/>
        <v>103</v>
      </c>
      <c r="K420">
        <f t="shared" si="119"/>
        <v>0</v>
      </c>
      <c r="L420">
        <f t="shared" si="120"/>
        <v>5</v>
      </c>
      <c r="M420">
        <f t="shared" si="121"/>
        <v>2</v>
      </c>
      <c r="N420">
        <f t="shared" si="122"/>
        <v>1</v>
      </c>
    </row>
    <row r="421" spans="1:14" x14ac:dyDescent="0.2">
      <c r="A421">
        <f t="shared" si="123"/>
        <v>419</v>
      </c>
      <c r="B421" s="1" t="s">
        <v>836</v>
      </c>
      <c r="C421">
        <v>121</v>
      </c>
      <c r="D421">
        <v>0</v>
      </c>
      <c r="E421">
        <v>0</v>
      </c>
      <c r="F421">
        <v>0</v>
      </c>
      <c r="G421">
        <v>0</v>
      </c>
      <c r="H421">
        <f t="shared" si="112"/>
        <v>65535</v>
      </c>
      <c r="J421">
        <f t="shared" ref="J421:K427" si="124">C421-C827</f>
        <v>12</v>
      </c>
      <c r="K421">
        <f t="shared" si="124"/>
        <v>0</v>
      </c>
      <c r="L421">
        <f t="shared" ref="L421:N427" si="125">E421+E827</f>
        <v>0</v>
      </c>
      <c r="M421">
        <f t="shared" si="125"/>
        <v>0</v>
      </c>
      <c r="N421">
        <f t="shared" si="125"/>
        <v>0</v>
      </c>
    </row>
    <row r="422" spans="1:14" x14ac:dyDescent="0.2">
      <c r="A422">
        <f t="shared" si="123"/>
        <v>420</v>
      </c>
      <c r="B422" s="1" t="s">
        <v>839</v>
      </c>
      <c r="C422">
        <v>120</v>
      </c>
      <c r="D422">
        <v>3</v>
      </c>
      <c r="E422">
        <v>0</v>
      </c>
      <c r="F422">
        <v>0</v>
      </c>
      <c r="G422">
        <v>0</v>
      </c>
      <c r="H422">
        <f t="shared" si="112"/>
        <v>65535</v>
      </c>
      <c r="J422">
        <f t="shared" si="124"/>
        <v>10</v>
      </c>
      <c r="K422">
        <f t="shared" si="124"/>
        <v>3</v>
      </c>
      <c r="L422">
        <f t="shared" si="125"/>
        <v>0</v>
      </c>
      <c r="M422">
        <f t="shared" si="125"/>
        <v>0</v>
      </c>
      <c r="N422">
        <f t="shared" si="125"/>
        <v>0</v>
      </c>
    </row>
    <row r="423" spans="1:14" x14ac:dyDescent="0.2">
      <c r="A423">
        <f t="shared" si="123"/>
        <v>421</v>
      </c>
      <c r="B423" s="1" t="s">
        <v>840</v>
      </c>
      <c r="C423">
        <v>120</v>
      </c>
      <c r="D423">
        <v>2</v>
      </c>
      <c r="E423">
        <v>0</v>
      </c>
      <c r="F423">
        <v>0</v>
      </c>
      <c r="G423">
        <v>0</v>
      </c>
      <c r="H423">
        <f t="shared" si="112"/>
        <v>65535</v>
      </c>
      <c r="J423">
        <f t="shared" si="124"/>
        <v>9</v>
      </c>
      <c r="K423">
        <f t="shared" si="124"/>
        <v>2</v>
      </c>
      <c r="L423">
        <f t="shared" si="125"/>
        <v>0</v>
      </c>
      <c r="M423">
        <f t="shared" si="125"/>
        <v>0</v>
      </c>
      <c r="N423">
        <f t="shared" si="125"/>
        <v>0</v>
      </c>
    </row>
    <row r="424" spans="1:14" x14ac:dyDescent="0.2">
      <c r="A424">
        <f t="shared" si="123"/>
        <v>422</v>
      </c>
      <c r="B424" s="1" t="s">
        <v>841</v>
      </c>
      <c r="C424">
        <v>120</v>
      </c>
      <c r="D424">
        <v>1</v>
      </c>
      <c r="E424">
        <v>0</v>
      </c>
      <c r="F424">
        <v>0</v>
      </c>
      <c r="G424">
        <v>0</v>
      </c>
      <c r="H424">
        <f t="shared" si="112"/>
        <v>65535</v>
      </c>
      <c r="J424">
        <f t="shared" si="124"/>
        <v>16</v>
      </c>
      <c r="K424">
        <f t="shared" si="124"/>
        <v>1</v>
      </c>
      <c r="L424">
        <f t="shared" si="125"/>
        <v>0</v>
      </c>
      <c r="M424">
        <f t="shared" si="125"/>
        <v>0</v>
      </c>
      <c r="N424">
        <f t="shared" si="125"/>
        <v>0</v>
      </c>
    </row>
    <row r="425" spans="1:14" x14ac:dyDescent="0.2">
      <c r="A425">
        <f t="shared" si="123"/>
        <v>423</v>
      </c>
      <c r="B425" s="1" t="s">
        <v>842</v>
      </c>
      <c r="C425">
        <v>120</v>
      </c>
      <c r="D425">
        <v>-1</v>
      </c>
      <c r="E425">
        <v>0</v>
      </c>
      <c r="F425">
        <v>0</v>
      </c>
      <c r="G425">
        <v>0</v>
      </c>
      <c r="H425">
        <f t="shared" si="112"/>
        <v>65535</v>
      </c>
      <c r="J425">
        <f t="shared" si="124"/>
        <v>15</v>
      </c>
      <c r="K425">
        <f t="shared" si="124"/>
        <v>-1</v>
      </c>
      <c r="L425">
        <f t="shared" si="125"/>
        <v>0</v>
      </c>
      <c r="M425">
        <f t="shared" si="125"/>
        <v>0</v>
      </c>
      <c r="N425">
        <f t="shared" si="125"/>
        <v>0</v>
      </c>
    </row>
    <row r="426" spans="1:14" x14ac:dyDescent="0.2">
      <c r="A426">
        <f t="shared" si="123"/>
        <v>424</v>
      </c>
      <c r="B426" s="1" t="s">
        <v>838</v>
      </c>
      <c r="C426">
        <v>121</v>
      </c>
      <c r="D426">
        <v>-2</v>
      </c>
      <c r="E426">
        <v>0</v>
      </c>
      <c r="F426">
        <v>0</v>
      </c>
      <c r="G426">
        <v>0</v>
      </c>
      <c r="H426">
        <f t="shared" si="112"/>
        <v>65535</v>
      </c>
      <c r="J426">
        <f t="shared" si="124"/>
        <v>15</v>
      </c>
      <c r="K426">
        <f t="shared" si="124"/>
        <v>-2</v>
      </c>
      <c r="L426">
        <f t="shared" si="125"/>
        <v>0</v>
      </c>
      <c r="M426">
        <f t="shared" si="125"/>
        <v>0</v>
      </c>
      <c r="N426">
        <f t="shared" si="125"/>
        <v>0</v>
      </c>
    </row>
    <row r="427" spans="1:14" x14ac:dyDescent="0.2">
      <c r="A427">
        <f t="shared" si="123"/>
        <v>425</v>
      </c>
      <c r="B427" s="1" t="s">
        <v>837</v>
      </c>
      <c r="C427">
        <v>120</v>
      </c>
      <c r="D427">
        <v>-3</v>
      </c>
      <c r="E427">
        <v>0</v>
      </c>
      <c r="F427">
        <v>0</v>
      </c>
      <c r="G427">
        <v>0</v>
      </c>
      <c r="H427">
        <f t="shared" si="112"/>
        <v>65535</v>
      </c>
      <c r="J427">
        <f t="shared" si="124"/>
        <v>13</v>
      </c>
      <c r="K427">
        <f t="shared" si="124"/>
        <v>-3</v>
      </c>
      <c r="L427">
        <f t="shared" si="125"/>
        <v>0</v>
      </c>
      <c r="M427">
        <f t="shared" si="125"/>
        <v>0</v>
      </c>
      <c r="N427">
        <f t="shared" si="125"/>
        <v>0</v>
      </c>
    </row>
    <row r="428" spans="1:14" x14ac:dyDescent="0.2">
      <c r="A428">
        <f t="shared" si="123"/>
        <v>426</v>
      </c>
      <c r="B428" s="1" t="s">
        <v>658</v>
      </c>
      <c r="C428">
        <v>64</v>
      </c>
      <c r="D428">
        <v>0</v>
      </c>
      <c r="E428">
        <v>0</v>
      </c>
      <c r="F428">
        <v>0</v>
      </c>
      <c r="G428">
        <v>0</v>
      </c>
      <c r="H428">
        <f t="shared" si="112"/>
        <v>65535</v>
      </c>
      <c r="J428">
        <f t="shared" ref="J428:J461" si="126">C428-C812</f>
        <v>-12</v>
      </c>
      <c r="K428">
        <f t="shared" ref="K428:K461" si="127">D428-D812</f>
        <v>0</v>
      </c>
      <c r="L428">
        <f t="shared" ref="L428:L461" si="128">E428+E812</f>
        <v>0</v>
      </c>
      <c r="M428">
        <f t="shared" ref="M428:M461" si="129">F428+F812</f>
        <v>0</v>
      </c>
      <c r="N428">
        <f t="shared" ref="N428:N461" si="130">G428+G812</f>
        <v>0</v>
      </c>
    </row>
    <row r="429" spans="1:14" x14ac:dyDescent="0.2">
      <c r="A429">
        <f t="shared" si="123"/>
        <v>427</v>
      </c>
      <c r="B429" s="1" t="s">
        <v>659</v>
      </c>
      <c r="C429">
        <v>65</v>
      </c>
      <c r="D429">
        <v>0</v>
      </c>
      <c r="E429">
        <v>0</v>
      </c>
      <c r="F429">
        <v>0</v>
      </c>
      <c r="G429">
        <v>0</v>
      </c>
      <c r="H429">
        <f t="shared" si="112"/>
        <v>65535</v>
      </c>
      <c r="J429">
        <f t="shared" si="126"/>
        <v>-12</v>
      </c>
      <c r="K429">
        <f t="shared" si="127"/>
        <v>0</v>
      </c>
      <c r="L429">
        <f t="shared" si="128"/>
        <v>0</v>
      </c>
      <c r="M429">
        <f t="shared" si="129"/>
        <v>0</v>
      </c>
      <c r="N429">
        <f t="shared" si="130"/>
        <v>0</v>
      </c>
    </row>
    <row r="430" spans="1:14" x14ac:dyDescent="0.2">
      <c r="A430">
        <f t="shared" si="123"/>
        <v>428</v>
      </c>
      <c r="B430" s="1" t="s">
        <v>660</v>
      </c>
      <c r="C430">
        <v>66</v>
      </c>
      <c r="D430">
        <v>0</v>
      </c>
      <c r="E430">
        <v>0</v>
      </c>
      <c r="F430">
        <v>0</v>
      </c>
      <c r="G430">
        <v>0</v>
      </c>
      <c r="H430">
        <f t="shared" si="112"/>
        <v>65535</v>
      </c>
      <c r="J430">
        <f t="shared" si="126"/>
        <v>-12</v>
      </c>
      <c r="K430">
        <f t="shared" si="127"/>
        <v>0</v>
      </c>
      <c r="L430">
        <f t="shared" si="128"/>
        <v>0</v>
      </c>
      <c r="M430">
        <f t="shared" si="129"/>
        <v>0</v>
      </c>
      <c r="N430">
        <f t="shared" si="130"/>
        <v>0</v>
      </c>
    </row>
    <row r="431" spans="1:14" x14ac:dyDescent="0.2">
      <c r="A431">
        <f t="shared" si="123"/>
        <v>429</v>
      </c>
      <c r="B431" s="1" t="s">
        <v>661</v>
      </c>
      <c r="C431">
        <v>67</v>
      </c>
      <c r="D431">
        <v>0</v>
      </c>
      <c r="E431">
        <v>0</v>
      </c>
      <c r="F431">
        <v>0</v>
      </c>
      <c r="G431">
        <v>0</v>
      </c>
      <c r="H431">
        <f t="shared" si="112"/>
        <v>65535</v>
      </c>
      <c r="J431">
        <f t="shared" si="126"/>
        <v>-12</v>
      </c>
      <c r="K431">
        <f t="shared" si="127"/>
        <v>0</v>
      </c>
      <c r="L431">
        <f t="shared" si="128"/>
        <v>0</v>
      </c>
      <c r="M431">
        <f t="shared" si="129"/>
        <v>0</v>
      </c>
      <c r="N431">
        <f t="shared" si="130"/>
        <v>0</v>
      </c>
    </row>
    <row r="432" spans="1:14" x14ac:dyDescent="0.2">
      <c r="A432">
        <f t="shared" si="123"/>
        <v>430</v>
      </c>
      <c r="B432" s="1" t="s">
        <v>662</v>
      </c>
      <c r="C432">
        <v>68</v>
      </c>
      <c r="D432">
        <v>0</v>
      </c>
      <c r="E432">
        <v>0</v>
      </c>
      <c r="F432">
        <v>0</v>
      </c>
      <c r="G432">
        <v>0</v>
      </c>
      <c r="H432">
        <f t="shared" si="112"/>
        <v>65535</v>
      </c>
      <c r="J432">
        <f t="shared" si="126"/>
        <v>-12</v>
      </c>
      <c r="K432">
        <f t="shared" si="127"/>
        <v>0</v>
      </c>
      <c r="L432">
        <f t="shared" si="128"/>
        <v>0</v>
      </c>
      <c r="M432">
        <f t="shared" si="129"/>
        <v>0</v>
      </c>
      <c r="N432">
        <f t="shared" si="130"/>
        <v>0</v>
      </c>
    </row>
    <row r="433" spans="1:14" x14ac:dyDescent="0.2">
      <c r="A433">
        <f t="shared" si="123"/>
        <v>431</v>
      </c>
      <c r="B433" s="1" t="s">
        <v>663</v>
      </c>
      <c r="C433">
        <v>69</v>
      </c>
      <c r="D433">
        <v>0</v>
      </c>
      <c r="E433">
        <v>0</v>
      </c>
      <c r="F433">
        <v>0</v>
      </c>
      <c r="G433">
        <v>0</v>
      </c>
      <c r="H433">
        <f t="shared" si="112"/>
        <v>65535</v>
      </c>
      <c r="J433">
        <f t="shared" si="126"/>
        <v>-12</v>
      </c>
      <c r="K433">
        <f t="shared" si="127"/>
        <v>0</v>
      </c>
      <c r="L433">
        <f t="shared" si="128"/>
        <v>0</v>
      </c>
      <c r="M433">
        <f t="shared" si="129"/>
        <v>0</v>
      </c>
      <c r="N433">
        <f t="shared" si="130"/>
        <v>0</v>
      </c>
    </row>
    <row r="434" spans="1:14" x14ac:dyDescent="0.2">
      <c r="A434">
        <f t="shared" si="123"/>
        <v>432</v>
      </c>
      <c r="B434" s="1" t="s">
        <v>664</v>
      </c>
      <c r="C434">
        <v>70</v>
      </c>
      <c r="D434">
        <v>0</v>
      </c>
      <c r="E434">
        <v>0</v>
      </c>
      <c r="F434">
        <v>0</v>
      </c>
      <c r="G434">
        <v>0</v>
      </c>
      <c r="H434">
        <f t="shared" si="112"/>
        <v>65535</v>
      </c>
      <c r="J434">
        <f t="shared" si="126"/>
        <v>-12</v>
      </c>
      <c r="K434">
        <f t="shared" si="127"/>
        <v>0</v>
      </c>
      <c r="L434">
        <f t="shared" si="128"/>
        <v>0</v>
      </c>
      <c r="M434">
        <f t="shared" si="129"/>
        <v>0</v>
      </c>
      <c r="N434">
        <f t="shared" si="130"/>
        <v>0</v>
      </c>
    </row>
    <row r="435" spans="1:14" x14ac:dyDescent="0.2">
      <c r="A435">
        <f t="shared" si="123"/>
        <v>433</v>
      </c>
      <c r="B435" s="1" t="s">
        <v>665</v>
      </c>
      <c r="C435">
        <v>71</v>
      </c>
      <c r="D435">
        <v>0</v>
      </c>
      <c r="E435">
        <v>0</v>
      </c>
      <c r="F435">
        <v>0</v>
      </c>
      <c r="G435">
        <v>0</v>
      </c>
      <c r="H435">
        <f t="shared" si="112"/>
        <v>65535</v>
      </c>
      <c r="J435">
        <f t="shared" si="126"/>
        <v>-12</v>
      </c>
      <c r="K435">
        <f t="shared" si="127"/>
        <v>0</v>
      </c>
      <c r="L435">
        <f t="shared" si="128"/>
        <v>0</v>
      </c>
      <c r="M435">
        <f t="shared" si="129"/>
        <v>0</v>
      </c>
      <c r="N435">
        <f t="shared" si="130"/>
        <v>0</v>
      </c>
    </row>
    <row r="436" spans="1:14" x14ac:dyDescent="0.2">
      <c r="A436">
        <f t="shared" si="123"/>
        <v>434</v>
      </c>
      <c r="B436" s="1" t="s">
        <v>666</v>
      </c>
      <c r="C436">
        <v>72</v>
      </c>
      <c r="D436">
        <v>0</v>
      </c>
      <c r="E436">
        <v>0</v>
      </c>
      <c r="F436">
        <v>0</v>
      </c>
      <c r="G436">
        <v>0</v>
      </c>
      <c r="H436">
        <f t="shared" si="112"/>
        <v>65535</v>
      </c>
      <c r="J436">
        <f t="shared" si="126"/>
        <v>-12</v>
      </c>
      <c r="K436">
        <f t="shared" si="127"/>
        <v>0</v>
      </c>
      <c r="L436">
        <f t="shared" si="128"/>
        <v>0</v>
      </c>
      <c r="M436">
        <f t="shared" si="129"/>
        <v>0</v>
      </c>
      <c r="N436">
        <f t="shared" si="130"/>
        <v>0</v>
      </c>
    </row>
    <row r="437" spans="1:14" x14ac:dyDescent="0.2">
      <c r="A437">
        <f t="shared" si="123"/>
        <v>435</v>
      </c>
      <c r="B437" s="1" t="s">
        <v>667</v>
      </c>
      <c r="C437">
        <v>73</v>
      </c>
      <c r="D437">
        <v>0</v>
      </c>
      <c r="E437">
        <v>0</v>
      </c>
      <c r="F437">
        <v>0</v>
      </c>
      <c r="G437">
        <v>0</v>
      </c>
      <c r="H437">
        <f t="shared" si="112"/>
        <v>65535</v>
      </c>
      <c r="J437">
        <f t="shared" si="126"/>
        <v>-12</v>
      </c>
      <c r="K437">
        <f t="shared" si="127"/>
        <v>0</v>
      </c>
      <c r="L437">
        <f t="shared" si="128"/>
        <v>0</v>
      </c>
      <c r="M437">
        <f t="shared" si="129"/>
        <v>0</v>
      </c>
      <c r="N437">
        <f t="shared" si="130"/>
        <v>0</v>
      </c>
    </row>
    <row r="438" spans="1:14" x14ac:dyDescent="0.2">
      <c r="A438">
        <f t="shared" si="123"/>
        <v>436</v>
      </c>
      <c r="B438" s="1" t="s">
        <v>668</v>
      </c>
      <c r="C438">
        <v>74</v>
      </c>
      <c r="D438">
        <v>0</v>
      </c>
      <c r="E438">
        <v>0</v>
      </c>
      <c r="F438">
        <v>0</v>
      </c>
      <c r="G438">
        <v>0</v>
      </c>
      <c r="H438">
        <f t="shared" si="112"/>
        <v>65535</v>
      </c>
      <c r="J438">
        <f t="shared" si="126"/>
        <v>-12</v>
      </c>
      <c r="K438">
        <f t="shared" si="127"/>
        <v>0</v>
      </c>
      <c r="L438">
        <f t="shared" si="128"/>
        <v>0</v>
      </c>
      <c r="M438">
        <f t="shared" si="129"/>
        <v>0</v>
      </c>
      <c r="N438">
        <f t="shared" si="130"/>
        <v>0</v>
      </c>
    </row>
    <row r="439" spans="1:14" x14ac:dyDescent="0.2">
      <c r="A439">
        <f t="shared" si="123"/>
        <v>437</v>
      </c>
      <c r="B439" s="1" t="s">
        <v>669</v>
      </c>
      <c r="C439">
        <v>75</v>
      </c>
      <c r="D439">
        <v>0</v>
      </c>
      <c r="E439">
        <v>0</v>
      </c>
      <c r="F439">
        <v>0</v>
      </c>
      <c r="G439">
        <v>0</v>
      </c>
      <c r="H439">
        <f t="shared" si="112"/>
        <v>65535</v>
      </c>
      <c r="J439">
        <f t="shared" si="126"/>
        <v>-12</v>
      </c>
      <c r="K439">
        <f t="shared" si="127"/>
        <v>0</v>
      </c>
      <c r="L439">
        <f t="shared" si="128"/>
        <v>0</v>
      </c>
      <c r="M439">
        <f t="shared" si="129"/>
        <v>0</v>
      </c>
      <c r="N439">
        <f t="shared" si="130"/>
        <v>0</v>
      </c>
    </row>
    <row r="440" spans="1:14" x14ac:dyDescent="0.2">
      <c r="A440">
        <f t="shared" si="123"/>
        <v>438</v>
      </c>
      <c r="B440" s="1" t="s">
        <v>678</v>
      </c>
      <c r="C440" s="4">
        <v>5</v>
      </c>
      <c r="D440">
        <v>0</v>
      </c>
      <c r="E440">
        <v>10</v>
      </c>
      <c r="F440">
        <v>4</v>
      </c>
      <c r="G440">
        <v>2</v>
      </c>
      <c r="H440">
        <f t="shared" si="112"/>
        <v>65535</v>
      </c>
      <c r="J440">
        <f t="shared" si="126"/>
        <v>-8</v>
      </c>
      <c r="K440">
        <f t="shared" si="127"/>
        <v>0</v>
      </c>
      <c r="L440">
        <f t="shared" si="128"/>
        <v>0</v>
      </c>
      <c r="M440">
        <f t="shared" si="129"/>
        <v>0</v>
      </c>
      <c r="N440">
        <f t="shared" si="130"/>
        <v>0</v>
      </c>
    </row>
    <row r="441" spans="1:14" x14ac:dyDescent="0.2">
      <c r="A441">
        <f t="shared" si="123"/>
        <v>439</v>
      </c>
      <c r="B441" s="1" t="s">
        <v>679</v>
      </c>
      <c r="C441" s="4">
        <v>5</v>
      </c>
      <c r="D441">
        <v>0</v>
      </c>
      <c r="E441">
        <v>-10</v>
      </c>
      <c r="F441">
        <v>-4</v>
      </c>
      <c r="G441">
        <v>-2</v>
      </c>
      <c r="H441">
        <f t="shared" si="112"/>
        <v>65535</v>
      </c>
      <c r="J441">
        <f t="shared" si="126"/>
        <v>-8</v>
      </c>
      <c r="K441">
        <f t="shared" si="127"/>
        <v>0</v>
      </c>
      <c r="L441">
        <f t="shared" si="128"/>
        <v>0</v>
      </c>
      <c r="M441">
        <f t="shared" si="129"/>
        <v>0</v>
      </c>
      <c r="N441">
        <f t="shared" si="130"/>
        <v>0</v>
      </c>
    </row>
    <row r="442" spans="1:14" x14ac:dyDescent="0.2">
      <c r="A442">
        <f t="shared" si="123"/>
        <v>440</v>
      </c>
      <c r="B442" s="1" t="s">
        <v>737</v>
      </c>
      <c r="C442">
        <v>100</v>
      </c>
      <c r="D442">
        <v>0</v>
      </c>
      <c r="E442">
        <v>0</v>
      </c>
      <c r="F442">
        <v>0</v>
      </c>
      <c r="G442">
        <v>0</v>
      </c>
      <c r="H442">
        <f t="shared" si="112"/>
        <v>65535</v>
      </c>
      <c r="J442">
        <f t="shared" si="126"/>
        <v>-8</v>
      </c>
      <c r="K442">
        <f t="shared" si="127"/>
        <v>0</v>
      </c>
      <c r="L442">
        <f t="shared" si="128"/>
        <v>0</v>
      </c>
      <c r="M442">
        <f t="shared" si="129"/>
        <v>0</v>
      </c>
      <c r="N442">
        <f t="shared" si="130"/>
        <v>0</v>
      </c>
    </row>
    <row r="443" spans="1:14" x14ac:dyDescent="0.2">
      <c r="A443">
        <f t="shared" si="123"/>
        <v>441</v>
      </c>
      <c r="B443" s="1" t="s">
        <v>740</v>
      </c>
      <c r="C443">
        <v>101</v>
      </c>
      <c r="D443">
        <v>0</v>
      </c>
      <c r="E443">
        <v>0</v>
      </c>
      <c r="F443">
        <v>0</v>
      </c>
      <c r="G443">
        <v>0</v>
      </c>
      <c r="H443">
        <f t="shared" si="112"/>
        <v>65535</v>
      </c>
      <c r="J443">
        <f t="shared" si="126"/>
        <v>-8</v>
      </c>
      <c r="K443">
        <f t="shared" si="127"/>
        <v>0</v>
      </c>
      <c r="L443">
        <f t="shared" si="128"/>
        <v>0</v>
      </c>
      <c r="M443">
        <f t="shared" si="129"/>
        <v>0</v>
      </c>
      <c r="N443">
        <f t="shared" si="130"/>
        <v>0</v>
      </c>
    </row>
    <row r="444" spans="1:14" x14ac:dyDescent="0.2">
      <c r="A444">
        <f t="shared" si="123"/>
        <v>442</v>
      </c>
      <c r="B444" s="1" t="s">
        <v>739</v>
      </c>
      <c r="C444">
        <v>102</v>
      </c>
      <c r="D444">
        <v>0</v>
      </c>
      <c r="E444">
        <v>0</v>
      </c>
      <c r="F444">
        <v>0</v>
      </c>
      <c r="G444">
        <v>0</v>
      </c>
      <c r="H444">
        <f t="shared" si="112"/>
        <v>65535</v>
      </c>
      <c r="J444">
        <f t="shared" si="126"/>
        <v>-8</v>
      </c>
      <c r="K444">
        <f t="shared" si="127"/>
        <v>0</v>
      </c>
      <c r="L444">
        <f t="shared" si="128"/>
        <v>0</v>
      </c>
      <c r="M444">
        <f t="shared" si="129"/>
        <v>0</v>
      </c>
      <c r="N444">
        <f t="shared" si="130"/>
        <v>0</v>
      </c>
    </row>
    <row r="445" spans="1:14" x14ac:dyDescent="0.2">
      <c r="A445">
        <f t="shared" si="123"/>
        <v>443</v>
      </c>
      <c r="B445" s="1" t="s">
        <v>738</v>
      </c>
      <c r="C445">
        <v>103</v>
      </c>
      <c r="D445">
        <v>0</v>
      </c>
      <c r="E445">
        <v>0</v>
      </c>
      <c r="F445">
        <v>0</v>
      </c>
      <c r="G445">
        <v>0</v>
      </c>
      <c r="H445">
        <f t="shared" si="112"/>
        <v>65535</v>
      </c>
      <c r="J445">
        <f t="shared" si="126"/>
        <v>-8</v>
      </c>
      <c r="K445">
        <f t="shared" si="127"/>
        <v>0</v>
      </c>
      <c r="L445">
        <f t="shared" si="128"/>
        <v>0</v>
      </c>
      <c r="M445">
        <f t="shared" si="129"/>
        <v>0</v>
      </c>
      <c r="N445">
        <f t="shared" si="130"/>
        <v>0</v>
      </c>
    </row>
    <row r="446" spans="1:14" x14ac:dyDescent="0.2">
      <c r="A446">
        <f t="shared" si="123"/>
        <v>444</v>
      </c>
      <c r="B446" s="1" t="s">
        <v>741</v>
      </c>
      <c r="C446">
        <v>96</v>
      </c>
      <c r="D446">
        <v>0</v>
      </c>
      <c r="E446">
        <v>0</v>
      </c>
      <c r="F446">
        <v>0</v>
      </c>
      <c r="G446">
        <v>0</v>
      </c>
      <c r="H446">
        <f t="shared" si="112"/>
        <v>65535</v>
      </c>
      <c r="J446">
        <f t="shared" si="126"/>
        <v>-8</v>
      </c>
      <c r="K446">
        <f t="shared" si="127"/>
        <v>0</v>
      </c>
      <c r="L446">
        <f t="shared" si="128"/>
        <v>0</v>
      </c>
      <c r="M446">
        <f t="shared" si="129"/>
        <v>0</v>
      </c>
      <c r="N446">
        <f t="shared" si="130"/>
        <v>0</v>
      </c>
    </row>
    <row r="447" spans="1:14" x14ac:dyDescent="0.2">
      <c r="A447">
        <f t="shared" si="123"/>
        <v>445</v>
      </c>
      <c r="B447" s="1" t="s">
        <v>742</v>
      </c>
      <c r="C447">
        <v>97</v>
      </c>
      <c r="D447">
        <v>0</v>
      </c>
      <c r="E447">
        <v>0</v>
      </c>
      <c r="F447">
        <v>0</v>
      </c>
      <c r="G447">
        <v>0</v>
      </c>
      <c r="H447">
        <f t="shared" si="112"/>
        <v>65535</v>
      </c>
      <c r="J447">
        <f t="shared" si="126"/>
        <v>-8</v>
      </c>
      <c r="K447">
        <f t="shared" si="127"/>
        <v>0</v>
      </c>
      <c r="L447">
        <f t="shared" si="128"/>
        <v>0</v>
      </c>
      <c r="M447">
        <f t="shared" si="129"/>
        <v>0</v>
      </c>
      <c r="N447">
        <f t="shared" si="130"/>
        <v>0</v>
      </c>
    </row>
    <row r="448" spans="1:14" x14ac:dyDescent="0.2">
      <c r="A448">
        <f t="shared" si="123"/>
        <v>446</v>
      </c>
      <c r="B448" s="1" t="s">
        <v>743</v>
      </c>
      <c r="C448">
        <v>98</v>
      </c>
      <c r="D448">
        <v>0</v>
      </c>
      <c r="E448">
        <v>0</v>
      </c>
      <c r="F448">
        <v>0</v>
      </c>
      <c r="G448">
        <v>0</v>
      </c>
      <c r="H448">
        <f t="shared" si="112"/>
        <v>65535</v>
      </c>
      <c r="J448">
        <f t="shared" si="126"/>
        <v>-8</v>
      </c>
      <c r="K448">
        <f t="shared" si="127"/>
        <v>0</v>
      </c>
      <c r="L448">
        <f t="shared" si="128"/>
        <v>0</v>
      </c>
      <c r="M448">
        <f t="shared" si="129"/>
        <v>0</v>
      </c>
      <c r="N448">
        <f t="shared" si="130"/>
        <v>0</v>
      </c>
    </row>
    <row r="449" spans="1:14" x14ac:dyDescent="0.2">
      <c r="A449">
        <f t="shared" si="123"/>
        <v>447</v>
      </c>
      <c r="B449" s="1" t="s">
        <v>744</v>
      </c>
      <c r="C449">
        <v>99</v>
      </c>
      <c r="D449">
        <v>0</v>
      </c>
      <c r="E449">
        <v>0</v>
      </c>
      <c r="F449">
        <v>0</v>
      </c>
      <c r="G449">
        <v>0</v>
      </c>
      <c r="H449">
        <f t="shared" si="112"/>
        <v>65535</v>
      </c>
      <c r="J449">
        <f t="shared" si="126"/>
        <v>-8</v>
      </c>
      <c r="K449">
        <f t="shared" si="127"/>
        <v>0</v>
      </c>
      <c r="L449">
        <f t="shared" si="128"/>
        <v>0</v>
      </c>
      <c r="M449">
        <f t="shared" si="129"/>
        <v>0</v>
      </c>
      <c r="N449">
        <f t="shared" si="130"/>
        <v>0</v>
      </c>
    </row>
    <row r="450" spans="1:14" x14ac:dyDescent="0.2">
      <c r="A450">
        <f t="shared" si="123"/>
        <v>448</v>
      </c>
      <c r="B450" s="1" t="s">
        <v>654</v>
      </c>
      <c r="C450">
        <v>20</v>
      </c>
      <c r="D450">
        <v>0</v>
      </c>
      <c r="E450">
        <v>0</v>
      </c>
      <c r="F450">
        <v>0</v>
      </c>
      <c r="G450">
        <v>0</v>
      </c>
      <c r="H450">
        <f t="shared" ref="H450:H513" si="131">_xlfn.XLOOKUP(I450,$B$2:$B$982,$A$2:$A$982,65535)</f>
        <v>65535</v>
      </c>
      <c r="J450">
        <f t="shared" si="126"/>
        <v>-8</v>
      </c>
      <c r="K450">
        <f t="shared" si="127"/>
        <v>0</v>
      </c>
      <c r="L450">
        <f t="shared" si="128"/>
        <v>0</v>
      </c>
      <c r="M450">
        <f t="shared" si="129"/>
        <v>0</v>
      </c>
      <c r="N450">
        <f t="shared" si="130"/>
        <v>0</v>
      </c>
    </row>
    <row r="451" spans="1:14" x14ac:dyDescent="0.2">
      <c r="A451">
        <f t="shared" si="123"/>
        <v>449</v>
      </c>
      <c r="B451" s="1" t="s">
        <v>655</v>
      </c>
      <c r="C451">
        <v>21</v>
      </c>
      <c r="D451">
        <v>0</v>
      </c>
      <c r="E451">
        <v>0</v>
      </c>
      <c r="F451">
        <v>0</v>
      </c>
      <c r="G451">
        <v>0</v>
      </c>
      <c r="H451">
        <f t="shared" si="131"/>
        <v>65535</v>
      </c>
      <c r="J451">
        <f t="shared" si="126"/>
        <v>-8</v>
      </c>
      <c r="K451">
        <f t="shared" si="127"/>
        <v>0</v>
      </c>
      <c r="L451">
        <f t="shared" si="128"/>
        <v>0</v>
      </c>
      <c r="M451">
        <f t="shared" si="129"/>
        <v>0</v>
      </c>
      <c r="N451">
        <f t="shared" si="130"/>
        <v>0</v>
      </c>
    </row>
    <row r="452" spans="1:14" x14ac:dyDescent="0.2">
      <c r="A452">
        <f t="shared" si="123"/>
        <v>450</v>
      </c>
      <c r="B452" s="1" t="s">
        <v>656</v>
      </c>
      <c r="C452">
        <v>22</v>
      </c>
      <c r="D452">
        <v>0</v>
      </c>
      <c r="E452">
        <v>0</v>
      </c>
      <c r="F452">
        <v>0</v>
      </c>
      <c r="G452">
        <v>0</v>
      </c>
      <c r="H452">
        <f t="shared" si="131"/>
        <v>65535</v>
      </c>
      <c r="J452">
        <f t="shared" si="126"/>
        <v>-8</v>
      </c>
      <c r="K452">
        <f t="shared" si="127"/>
        <v>0</v>
      </c>
      <c r="L452">
        <f t="shared" si="128"/>
        <v>0</v>
      </c>
      <c r="M452">
        <f t="shared" si="129"/>
        <v>0</v>
      </c>
      <c r="N452">
        <f t="shared" si="130"/>
        <v>0</v>
      </c>
    </row>
    <row r="453" spans="1:14" x14ac:dyDescent="0.2">
      <c r="A453">
        <f t="shared" si="123"/>
        <v>451</v>
      </c>
      <c r="B453" s="1" t="s">
        <v>657</v>
      </c>
      <c r="C453">
        <v>23</v>
      </c>
      <c r="D453">
        <v>0</v>
      </c>
      <c r="E453">
        <v>0</v>
      </c>
      <c r="F453">
        <v>0</v>
      </c>
      <c r="G453">
        <v>0</v>
      </c>
      <c r="H453">
        <f t="shared" si="131"/>
        <v>65535</v>
      </c>
      <c r="J453">
        <f t="shared" si="126"/>
        <v>-8</v>
      </c>
      <c r="K453">
        <f t="shared" si="127"/>
        <v>0</v>
      </c>
      <c r="L453">
        <f t="shared" si="128"/>
        <v>0</v>
      </c>
      <c r="M453">
        <f t="shared" si="129"/>
        <v>0</v>
      </c>
      <c r="N453">
        <f t="shared" si="130"/>
        <v>0</v>
      </c>
    </row>
    <row r="454" spans="1:14" x14ac:dyDescent="0.2">
      <c r="A454">
        <f t="shared" si="123"/>
        <v>452</v>
      </c>
      <c r="B454" s="1" t="s">
        <v>805</v>
      </c>
      <c r="C454">
        <v>112</v>
      </c>
      <c r="D454">
        <v>0</v>
      </c>
      <c r="E454">
        <v>0</v>
      </c>
      <c r="F454">
        <v>0</v>
      </c>
      <c r="G454">
        <v>0</v>
      </c>
      <c r="H454">
        <f t="shared" si="131"/>
        <v>65535</v>
      </c>
      <c r="J454">
        <f t="shared" si="126"/>
        <v>-4</v>
      </c>
      <c r="K454">
        <f t="shared" si="127"/>
        <v>0</v>
      </c>
      <c r="L454">
        <f t="shared" si="128"/>
        <v>0</v>
      </c>
      <c r="M454">
        <f t="shared" si="129"/>
        <v>0</v>
      </c>
      <c r="N454">
        <f t="shared" si="130"/>
        <v>0</v>
      </c>
    </row>
    <row r="455" spans="1:14" x14ac:dyDescent="0.2">
      <c r="A455">
        <f t="shared" si="123"/>
        <v>453</v>
      </c>
      <c r="B455" s="1" t="s">
        <v>808</v>
      </c>
      <c r="C455">
        <v>113</v>
      </c>
      <c r="D455">
        <v>0</v>
      </c>
      <c r="E455">
        <v>0</v>
      </c>
      <c r="F455">
        <v>0</v>
      </c>
      <c r="G455">
        <v>0</v>
      </c>
      <c r="H455">
        <f t="shared" si="131"/>
        <v>65535</v>
      </c>
      <c r="J455">
        <f t="shared" si="126"/>
        <v>-4</v>
      </c>
      <c r="K455">
        <f t="shared" si="127"/>
        <v>0</v>
      </c>
      <c r="L455">
        <f t="shared" si="128"/>
        <v>0</v>
      </c>
      <c r="M455">
        <f t="shared" si="129"/>
        <v>0</v>
      </c>
      <c r="N455">
        <f t="shared" si="130"/>
        <v>0</v>
      </c>
    </row>
    <row r="456" spans="1:14" x14ac:dyDescent="0.2">
      <c r="A456">
        <f t="shared" si="123"/>
        <v>454</v>
      </c>
      <c r="B456" s="1" t="s">
        <v>807</v>
      </c>
      <c r="C456">
        <v>114</v>
      </c>
      <c r="D456">
        <v>0</v>
      </c>
      <c r="E456">
        <v>0</v>
      </c>
      <c r="F456">
        <v>0</v>
      </c>
      <c r="G456">
        <v>0</v>
      </c>
      <c r="H456">
        <f t="shared" si="131"/>
        <v>65535</v>
      </c>
      <c r="J456">
        <f t="shared" si="126"/>
        <v>-4</v>
      </c>
      <c r="K456">
        <f t="shared" si="127"/>
        <v>0</v>
      </c>
      <c r="L456">
        <f t="shared" si="128"/>
        <v>0</v>
      </c>
      <c r="M456">
        <f t="shared" si="129"/>
        <v>0</v>
      </c>
      <c r="N456">
        <f t="shared" si="130"/>
        <v>0</v>
      </c>
    </row>
    <row r="457" spans="1:14" x14ac:dyDescent="0.2">
      <c r="A457">
        <f t="shared" si="123"/>
        <v>455</v>
      </c>
      <c r="B457" s="1" t="s">
        <v>806</v>
      </c>
      <c r="C457">
        <v>115</v>
      </c>
      <c r="D457">
        <v>0</v>
      </c>
      <c r="E457">
        <v>0</v>
      </c>
      <c r="F457">
        <v>0</v>
      </c>
      <c r="G457">
        <v>0</v>
      </c>
      <c r="H457">
        <f t="shared" si="131"/>
        <v>65535</v>
      </c>
      <c r="J457">
        <f t="shared" si="126"/>
        <v>-4</v>
      </c>
      <c r="K457">
        <f t="shared" si="127"/>
        <v>0</v>
      </c>
      <c r="L457">
        <f t="shared" si="128"/>
        <v>0</v>
      </c>
      <c r="M457">
        <f t="shared" si="129"/>
        <v>0</v>
      </c>
      <c r="N457">
        <f t="shared" si="130"/>
        <v>0</v>
      </c>
    </row>
    <row r="458" spans="1:14" x14ac:dyDescent="0.2">
      <c r="A458">
        <f t="shared" si="123"/>
        <v>456</v>
      </c>
      <c r="B458" s="1" t="s">
        <v>809</v>
      </c>
      <c r="C458">
        <v>20</v>
      </c>
      <c r="D458">
        <v>0</v>
      </c>
      <c r="E458">
        <v>0</v>
      </c>
      <c r="F458">
        <v>0</v>
      </c>
      <c r="G458">
        <v>0</v>
      </c>
      <c r="H458">
        <f t="shared" si="131"/>
        <v>65535</v>
      </c>
      <c r="J458">
        <f t="shared" si="126"/>
        <v>-8</v>
      </c>
      <c r="K458">
        <f t="shared" si="127"/>
        <v>0</v>
      </c>
      <c r="L458">
        <f t="shared" si="128"/>
        <v>0</v>
      </c>
      <c r="M458">
        <f t="shared" si="129"/>
        <v>0</v>
      </c>
      <c r="N458">
        <f t="shared" si="130"/>
        <v>0</v>
      </c>
    </row>
    <row r="459" spans="1:14" x14ac:dyDescent="0.2">
      <c r="A459">
        <f t="shared" si="123"/>
        <v>457</v>
      </c>
      <c r="B459" s="1" t="s">
        <v>810</v>
      </c>
      <c r="C459">
        <v>21</v>
      </c>
      <c r="D459">
        <v>0</v>
      </c>
      <c r="E459">
        <v>0</v>
      </c>
      <c r="F459">
        <v>0</v>
      </c>
      <c r="G459">
        <v>0</v>
      </c>
      <c r="H459">
        <f t="shared" si="131"/>
        <v>65535</v>
      </c>
      <c r="J459">
        <f t="shared" si="126"/>
        <v>-8</v>
      </c>
      <c r="K459">
        <f t="shared" si="127"/>
        <v>0</v>
      </c>
      <c r="L459">
        <f t="shared" si="128"/>
        <v>0</v>
      </c>
      <c r="M459">
        <f t="shared" si="129"/>
        <v>0</v>
      </c>
      <c r="N459">
        <f t="shared" si="130"/>
        <v>0</v>
      </c>
    </row>
    <row r="460" spans="1:14" x14ac:dyDescent="0.2">
      <c r="A460">
        <f t="shared" si="123"/>
        <v>458</v>
      </c>
      <c r="B460" s="1" t="s">
        <v>811</v>
      </c>
      <c r="C460">
        <v>22</v>
      </c>
      <c r="D460">
        <v>0</v>
      </c>
      <c r="E460">
        <v>0</v>
      </c>
      <c r="F460">
        <v>0</v>
      </c>
      <c r="G460">
        <v>0</v>
      </c>
      <c r="H460">
        <f t="shared" si="131"/>
        <v>65535</v>
      </c>
      <c r="J460">
        <f t="shared" si="126"/>
        <v>-8</v>
      </c>
      <c r="K460">
        <f t="shared" si="127"/>
        <v>0</v>
      </c>
      <c r="L460">
        <f t="shared" si="128"/>
        <v>0</v>
      </c>
      <c r="M460">
        <f t="shared" si="129"/>
        <v>0</v>
      </c>
      <c r="N460">
        <f t="shared" si="130"/>
        <v>0</v>
      </c>
    </row>
    <row r="461" spans="1:14" x14ac:dyDescent="0.2">
      <c r="A461">
        <f t="shared" si="123"/>
        <v>459</v>
      </c>
      <c r="B461" s="1" t="s">
        <v>812</v>
      </c>
      <c r="C461">
        <v>23</v>
      </c>
      <c r="D461">
        <v>0</v>
      </c>
      <c r="E461">
        <v>0</v>
      </c>
      <c r="F461">
        <v>0</v>
      </c>
      <c r="G461">
        <v>0</v>
      </c>
      <c r="H461">
        <f t="shared" si="131"/>
        <v>65535</v>
      </c>
      <c r="J461">
        <f t="shared" si="126"/>
        <v>-8</v>
      </c>
      <c r="K461">
        <f t="shared" si="127"/>
        <v>0</v>
      </c>
      <c r="L461">
        <f t="shared" si="128"/>
        <v>0</v>
      </c>
      <c r="M461">
        <f t="shared" si="129"/>
        <v>0</v>
      </c>
      <c r="N461">
        <f t="shared" si="130"/>
        <v>0</v>
      </c>
    </row>
    <row r="462" spans="1:14" x14ac:dyDescent="0.2">
      <c r="A462">
        <f t="shared" si="123"/>
        <v>460</v>
      </c>
      <c r="B462" s="1" t="s">
        <v>969</v>
      </c>
      <c r="C462">
        <v>128</v>
      </c>
      <c r="D462">
        <v>-2</v>
      </c>
      <c r="E462">
        <v>0</v>
      </c>
      <c r="F462">
        <v>0</v>
      </c>
      <c r="G462">
        <v>0</v>
      </c>
      <c r="H462">
        <f t="shared" si="131"/>
        <v>65535</v>
      </c>
      <c r="J462">
        <f>C462-C860</f>
        <v>124</v>
      </c>
      <c r="K462">
        <f>D462-D860</f>
        <v>0</v>
      </c>
      <c r="L462">
        <f t="shared" ref="L462:N463" si="132">E462+E860</f>
        <v>0</v>
      </c>
      <c r="M462">
        <f t="shared" si="132"/>
        <v>0</v>
      </c>
      <c r="N462">
        <f t="shared" si="132"/>
        <v>0</v>
      </c>
    </row>
    <row r="463" spans="1:14" x14ac:dyDescent="0.2">
      <c r="A463">
        <f t="shared" si="123"/>
        <v>461</v>
      </c>
      <c r="B463" s="1" t="s">
        <v>970</v>
      </c>
      <c r="C463">
        <v>129</v>
      </c>
      <c r="D463">
        <v>-2</v>
      </c>
      <c r="E463">
        <v>0</v>
      </c>
      <c r="F463">
        <v>0</v>
      </c>
      <c r="G463">
        <v>0</v>
      </c>
      <c r="H463">
        <f t="shared" si="131"/>
        <v>65535</v>
      </c>
      <c r="J463">
        <f>C463-C861</f>
        <v>124</v>
      </c>
      <c r="K463">
        <f>D463-D861</f>
        <v>-1</v>
      </c>
      <c r="L463">
        <f t="shared" si="132"/>
        <v>0</v>
      </c>
      <c r="M463">
        <f t="shared" si="132"/>
        <v>0</v>
      </c>
      <c r="N463">
        <f t="shared" si="132"/>
        <v>0</v>
      </c>
    </row>
    <row r="464" spans="1:14" x14ac:dyDescent="0.2">
      <c r="A464">
        <f t="shared" si="123"/>
        <v>462</v>
      </c>
      <c r="B464" s="1" t="s">
        <v>971</v>
      </c>
      <c r="C464">
        <v>130</v>
      </c>
      <c r="D464">
        <v>-2</v>
      </c>
      <c r="E464">
        <v>0</v>
      </c>
      <c r="F464">
        <v>0</v>
      </c>
      <c r="G464">
        <v>0</v>
      </c>
      <c r="H464">
        <f t="shared" si="131"/>
        <v>65535</v>
      </c>
      <c r="J464">
        <f t="shared" ref="J464:K466" si="133">C464-C860</f>
        <v>126</v>
      </c>
      <c r="K464">
        <f t="shared" si="133"/>
        <v>0</v>
      </c>
      <c r="L464">
        <f t="shared" ref="L464:N466" si="134">E464+E860</f>
        <v>0</v>
      </c>
      <c r="M464">
        <f t="shared" si="134"/>
        <v>0</v>
      </c>
      <c r="N464">
        <f t="shared" si="134"/>
        <v>0</v>
      </c>
    </row>
    <row r="465" spans="1:14" x14ac:dyDescent="0.2">
      <c r="A465">
        <f t="shared" si="123"/>
        <v>463</v>
      </c>
      <c r="B465" s="1" t="s">
        <v>972</v>
      </c>
      <c r="C465">
        <v>131</v>
      </c>
      <c r="D465">
        <v>-2</v>
      </c>
      <c r="E465">
        <v>0</v>
      </c>
      <c r="F465">
        <v>0</v>
      </c>
      <c r="G465">
        <v>0</v>
      </c>
      <c r="H465">
        <f t="shared" si="131"/>
        <v>65535</v>
      </c>
      <c r="J465">
        <f t="shared" si="133"/>
        <v>126</v>
      </c>
      <c r="K465">
        <f t="shared" si="133"/>
        <v>-1</v>
      </c>
      <c r="L465">
        <f t="shared" si="134"/>
        <v>0</v>
      </c>
      <c r="M465">
        <f t="shared" si="134"/>
        <v>0</v>
      </c>
      <c r="N465">
        <f t="shared" si="134"/>
        <v>0</v>
      </c>
    </row>
    <row r="466" spans="1:14" x14ac:dyDescent="0.2">
      <c r="A466">
        <f t="shared" si="123"/>
        <v>464</v>
      </c>
      <c r="B466" s="1" t="s">
        <v>973</v>
      </c>
      <c r="C466">
        <v>132</v>
      </c>
      <c r="D466">
        <v>-2</v>
      </c>
      <c r="E466">
        <v>0</v>
      </c>
      <c r="F466">
        <v>0</v>
      </c>
      <c r="G466">
        <v>0</v>
      </c>
      <c r="H466">
        <f t="shared" si="131"/>
        <v>65535</v>
      </c>
      <c r="J466">
        <f t="shared" si="133"/>
        <v>127</v>
      </c>
      <c r="K466">
        <f t="shared" si="133"/>
        <v>-2</v>
      </c>
      <c r="L466">
        <f t="shared" si="134"/>
        <v>0</v>
      </c>
      <c r="M466">
        <f t="shared" si="134"/>
        <v>0</v>
      </c>
      <c r="N466">
        <f t="shared" si="134"/>
        <v>0</v>
      </c>
    </row>
    <row r="467" spans="1:14" x14ac:dyDescent="0.2">
      <c r="A467">
        <f t="shared" si="123"/>
        <v>465</v>
      </c>
      <c r="B467" s="1" t="s">
        <v>974</v>
      </c>
      <c r="C467">
        <v>133</v>
      </c>
      <c r="D467">
        <v>0</v>
      </c>
      <c r="E467">
        <v>0</v>
      </c>
      <c r="F467">
        <v>0</v>
      </c>
      <c r="G467">
        <v>0</v>
      </c>
      <c r="H467">
        <f t="shared" si="131"/>
        <v>65535</v>
      </c>
      <c r="J467">
        <f>C467-C862</f>
        <v>128</v>
      </c>
      <c r="K467">
        <f>D467-D862</f>
        <v>0</v>
      </c>
      <c r="L467">
        <f t="shared" ref="L467:N468" si="135">E467+E862</f>
        <v>0</v>
      </c>
      <c r="M467">
        <f t="shared" si="135"/>
        <v>0</v>
      </c>
      <c r="N467">
        <f t="shared" si="135"/>
        <v>0</v>
      </c>
    </row>
    <row r="468" spans="1:14" x14ac:dyDescent="0.2">
      <c r="A468">
        <f t="shared" si="123"/>
        <v>466</v>
      </c>
      <c r="B468" s="1" t="s">
        <v>975</v>
      </c>
      <c r="C468">
        <v>134</v>
      </c>
      <c r="D468">
        <v>0</v>
      </c>
      <c r="E468">
        <v>0</v>
      </c>
      <c r="F468">
        <v>0</v>
      </c>
      <c r="G468">
        <v>0</v>
      </c>
      <c r="H468">
        <f t="shared" si="131"/>
        <v>65535</v>
      </c>
      <c r="J468">
        <f>C468-C863</f>
        <v>129</v>
      </c>
      <c r="K468">
        <f>D468-D863</f>
        <v>-1</v>
      </c>
      <c r="L468">
        <f t="shared" si="135"/>
        <v>0</v>
      </c>
      <c r="M468">
        <f t="shared" si="135"/>
        <v>0</v>
      </c>
      <c r="N468">
        <f t="shared" si="135"/>
        <v>0</v>
      </c>
    </row>
    <row r="469" spans="1:14" x14ac:dyDescent="0.2">
      <c r="A469">
        <f t="shared" si="123"/>
        <v>467</v>
      </c>
      <c r="B469" s="1" t="s">
        <v>983</v>
      </c>
      <c r="C469">
        <v>128</v>
      </c>
      <c r="D469">
        <v>-2</v>
      </c>
      <c r="E469" s="10">
        <v>-5</v>
      </c>
      <c r="F469" s="9">
        <v>-2</v>
      </c>
      <c r="G469" s="10">
        <v>-1</v>
      </c>
      <c r="H469">
        <f t="shared" si="131"/>
        <v>65535</v>
      </c>
      <c r="J469">
        <f>C469-C867</f>
        <v>122</v>
      </c>
      <c r="K469">
        <f>D469-D867</f>
        <v>-13</v>
      </c>
      <c r="L469">
        <f t="shared" ref="L469:N470" si="136">E469+E867</f>
        <v>-5</v>
      </c>
      <c r="M469">
        <f t="shared" si="136"/>
        <v>-2</v>
      </c>
      <c r="N469">
        <f t="shared" si="136"/>
        <v>-1</v>
      </c>
    </row>
    <row r="470" spans="1:14" x14ac:dyDescent="0.2">
      <c r="A470">
        <f t="shared" si="123"/>
        <v>468</v>
      </c>
      <c r="B470" s="1" t="s">
        <v>984</v>
      </c>
      <c r="C470">
        <v>129</v>
      </c>
      <c r="D470">
        <v>-2</v>
      </c>
      <c r="E470">
        <v>-2</v>
      </c>
      <c r="F470">
        <v>-1</v>
      </c>
      <c r="G470">
        <v>-1</v>
      </c>
      <c r="H470">
        <f t="shared" si="131"/>
        <v>65535</v>
      </c>
      <c r="J470">
        <f>C470-C868</f>
        <v>122</v>
      </c>
      <c r="K470">
        <f>D470-D868</f>
        <v>-17</v>
      </c>
      <c r="L470">
        <f t="shared" si="136"/>
        <v>-2</v>
      </c>
      <c r="M470">
        <f t="shared" si="136"/>
        <v>-1</v>
      </c>
      <c r="N470">
        <f t="shared" si="136"/>
        <v>-1</v>
      </c>
    </row>
    <row r="471" spans="1:14" x14ac:dyDescent="0.2">
      <c r="A471">
        <f t="shared" si="123"/>
        <v>469</v>
      </c>
      <c r="B471" s="1" t="s">
        <v>985</v>
      </c>
      <c r="C471">
        <v>130</v>
      </c>
      <c r="D471">
        <v>-2</v>
      </c>
      <c r="E471">
        <v>-2</v>
      </c>
      <c r="F471">
        <v>0</v>
      </c>
      <c r="G471">
        <v>0</v>
      </c>
      <c r="H471">
        <f t="shared" si="131"/>
        <v>65535</v>
      </c>
      <c r="J471">
        <f t="shared" ref="J471:K473" si="137">C471-C867</f>
        <v>124</v>
      </c>
      <c r="K471">
        <f t="shared" si="137"/>
        <v>-13</v>
      </c>
      <c r="L471">
        <f t="shared" ref="L471:N473" si="138">E471+E867</f>
        <v>-2</v>
      </c>
      <c r="M471">
        <f t="shared" si="138"/>
        <v>0</v>
      </c>
      <c r="N471">
        <f t="shared" si="138"/>
        <v>0</v>
      </c>
    </row>
    <row r="472" spans="1:14" x14ac:dyDescent="0.2">
      <c r="A472">
        <f t="shared" si="123"/>
        <v>470</v>
      </c>
      <c r="B472" s="1" t="s">
        <v>986</v>
      </c>
      <c r="C472">
        <v>131</v>
      </c>
      <c r="D472">
        <v>-2</v>
      </c>
      <c r="E472">
        <v>-2</v>
      </c>
      <c r="F472">
        <v>-1</v>
      </c>
      <c r="G472">
        <v>-1</v>
      </c>
      <c r="H472">
        <f t="shared" si="131"/>
        <v>65535</v>
      </c>
      <c r="J472">
        <f t="shared" si="137"/>
        <v>124</v>
      </c>
      <c r="K472">
        <f t="shared" si="137"/>
        <v>-17</v>
      </c>
      <c r="L472">
        <f t="shared" si="138"/>
        <v>-2</v>
      </c>
      <c r="M472">
        <f t="shared" si="138"/>
        <v>-1</v>
      </c>
      <c r="N472">
        <f t="shared" si="138"/>
        <v>-1</v>
      </c>
    </row>
    <row r="473" spans="1:14" x14ac:dyDescent="0.2">
      <c r="A473">
        <f t="shared" si="123"/>
        <v>471</v>
      </c>
      <c r="B473" s="1" t="s">
        <v>987</v>
      </c>
      <c r="C473">
        <v>132</v>
      </c>
      <c r="D473">
        <v>-2</v>
      </c>
      <c r="E473">
        <v>-2</v>
      </c>
      <c r="F473">
        <v>0</v>
      </c>
      <c r="G473">
        <v>0</v>
      </c>
      <c r="H473">
        <f t="shared" si="131"/>
        <v>65535</v>
      </c>
      <c r="J473">
        <f t="shared" si="137"/>
        <v>132</v>
      </c>
      <c r="K473">
        <f t="shared" si="137"/>
        <v>-2</v>
      </c>
      <c r="L473">
        <f t="shared" si="138"/>
        <v>-2</v>
      </c>
      <c r="M473">
        <f t="shared" si="138"/>
        <v>0</v>
      </c>
      <c r="N473">
        <f t="shared" si="138"/>
        <v>0</v>
      </c>
    </row>
    <row r="474" spans="1:14" x14ac:dyDescent="0.2">
      <c r="A474">
        <f t="shared" si="123"/>
        <v>472</v>
      </c>
      <c r="B474" s="1" t="s">
        <v>988</v>
      </c>
      <c r="C474">
        <v>133</v>
      </c>
      <c r="D474">
        <v>0</v>
      </c>
      <c r="E474">
        <v>-2</v>
      </c>
      <c r="F474">
        <v>-1</v>
      </c>
      <c r="G474">
        <v>-1</v>
      </c>
      <c r="H474">
        <f t="shared" si="131"/>
        <v>65535</v>
      </c>
      <c r="J474">
        <f>C474-C869</f>
        <v>133</v>
      </c>
      <c r="K474">
        <f>D474-D869</f>
        <v>0</v>
      </c>
      <c r="L474">
        <f t="shared" ref="L474:N475" si="139">E474+E869</f>
        <v>-2</v>
      </c>
      <c r="M474">
        <f t="shared" si="139"/>
        <v>-1</v>
      </c>
      <c r="N474">
        <f t="shared" si="139"/>
        <v>-1</v>
      </c>
    </row>
    <row r="475" spans="1:14" x14ac:dyDescent="0.2">
      <c r="A475">
        <f t="shared" si="123"/>
        <v>473</v>
      </c>
      <c r="B475" s="1" t="s">
        <v>989</v>
      </c>
      <c r="C475">
        <v>134</v>
      </c>
      <c r="D475">
        <v>0</v>
      </c>
      <c r="E475">
        <v>0</v>
      </c>
      <c r="F475">
        <v>0</v>
      </c>
      <c r="G475">
        <v>0</v>
      </c>
      <c r="H475">
        <f t="shared" si="131"/>
        <v>65535</v>
      </c>
      <c r="J475">
        <f>C475-C870</f>
        <v>133</v>
      </c>
      <c r="K475">
        <f>D475-D870</f>
        <v>0</v>
      </c>
      <c r="L475">
        <f t="shared" si="139"/>
        <v>0</v>
      </c>
      <c r="M475">
        <f t="shared" si="139"/>
        <v>0</v>
      </c>
      <c r="N475">
        <f t="shared" si="139"/>
        <v>0</v>
      </c>
    </row>
    <row r="476" spans="1:14" ht="35" customHeight="1" x14ac:dyDescent="0.2">
      <c r="A476">
        <f t="shared" si="123"/>
        <v>474</v>
      </c>
      <c r="B476" s="1" t="s">
        <v>42</v>
      </c>
      <c r="C476">
        <v>8</v>
      </c>
      <c r="D476">
        <v>0</v>
      </c>
      <c r="E476">
        <v>0</v>
      </c>
      <c r="F476">
        <v>0</v>
      </c>
      <c r="G476">
        <v>0</v>
      </c>
      <c r="H476">
        <f t="shared" si="131"/>
        <v>65535</v>
      </c>
    </row>
    <row r="477" spans="1:14" x14ac:dyDescent="0.2">
      <c r="A477">
        <f t="shared" si="123"/>
        <v>475</v>
      </c>
      <c r="B477" s="1" t="s">
        <v>96</v>
      </c>
      <c r="C477">
        <v>9</v>
      </c>
      <c r="D477">
        <v>0</v>
      </c>
      <c r="E477">
        <v>0</v>
      </c>
      <c r="F477">
        <v>0</v>
      </c>
      <c r="G477">
        <v>0</v>
      </c>
      <c r="H477">
        <f t="shared" si="131"/>
        <v>65535</v>
      </c>
    </row>
    <row r="478" spans="1:14" x14ac:dyDescent="0.2">
      <c r="A478">
        <f t="shared" si="123"/>
        <v>476</v>
      </c>
      <c r="B478" s="1" t="s">
        <v>97</v>
      </c>
      <c r="C478">
        <v>10</v>
      </c>
      <c r="D478">
        <v>0</v>
      </c>
      <c r="E478">
        <v>0</v>
      </c>
      <c r="F478">
        <v>0</v>
      </c>
      <c r="G478">
        <v>0</v>
      </c>
      <c r="H478">
        <f t="shared" si="131"/>
        <v>65535</v>
      </c>
    </row>
    <row r="479" spans="1:14" x14ac:dyDescent="0.2">
      <c r="A479">
        <f t="shared" si="123"/>
        <v>477</v>
      </c>
      <c r="B479" s="1" t="s">
        <v>98</v>
      </c>
      <c r="C479">
        <v>11</v>
      </c>
      <c r="D479">
        <v>0</v>
      </c>
      <c r="E479">
        <v>0</v>
      </c>
      <c r="F479">
        <v>0</v>
      </c>
      <c r="G479">
        <v>0</v>
      </c>
      <c r="H479">
        <f t="shared" si="131"/>
        <v>65535</v>
      </c>
    </row>
    <row r="480" spans="1:14" x14ac:dyDescent="0.2">
      <c r="A480">
        <f t="shared" si="123"/>
        <v>478</v>
      </c>
      <c r="B480" s="1" t="s">
        <v>99</v>
      </c>
      <c r="C480">
        <v>9</v>
      </c>
      <c r="D480">
        <v>0</v>
      </c>
      <c r="E480">
        <v>0</v>
      </c>
      <c r="F480">
        <v>0</v>
      </c>
      <c r="G480">
        <v>0</v>
      </c>
      <c r="H480">
        <f t="shared" si="131"/>
        <v>65535</v>
      </c>
    </row>
    <row r="481" spans="1:14" x14ac:dyDescent="0.2">
      <c r="A481">
        <f t="shared" ref="A481:A544" si="140">A480+1</f>
        <v>479</v>
      </c>
      <c r="B481" s="1" t="s">
        <v>100</v>
      </c>
      <c r="C481">
        <v>8</v>
      </c>
      <c r="D481">
        <v>4</v>
      </c>
      <c r="E481">
        <v>0</v>
      </c>
      <c r="F481">
        <v>0</v>
      </c>
      <c r="G481">
        <v>0</v>
      </c>
      <c r="H481">
        <f t="shared" si="131"/>
        <v>65535</v>
      </c>
    </row>
    <row r="482" spans="1:14" x14ac:dyDescent="0.2">
      <c r="A482">
        <f t="shared" si="140"/>
        <v>480</v>
      </c>
      <c r="B482" s="1" t="s">
        <v>101</v>
      </c>
      <c r="C482">
        <v>8</v>
      </c>
      <c r="D482">
        <v>3</v>
      </c>
      <c r="E482">
        <v>0</v>
      </c>
      <c r="F482">
        <v>0</v>
      </c>
      <c r="G482">
        <v>0</v>
      </c>
      <c r="H482">
        <f t="shared" si="131"/>
        <v>65535</v>
      </c>
    </row>
    <row r="483" spans="1:14" x14ac:dyDescent="0.2">
      <c r="A483">
        <f t="shared" si="140"/>
        <v>481</v>
      </c>
      <c r="B483" s="1" t="s">
        <v>102</v>
      </c>
      <c r="C483">
        <v>8</v>
      </c>
      <c r="D483">
        <v>2</v>
      </c>
      <c r="E483">
        <v>0</v>
      </c>
      <c r="F483">
        <v>0</v>
      </c>
      <c r="G483">
        <v>0</v>
      </c>
      <c r="H483">
        <f t="shared" si="131"/>
        <v>65535</v>
      </c>
    </row>
    <row r="484" spans="1:14" x14ac:dyDescent="0.2">
      <c r="A484">
        <f t="shared" si="140"/>
        <v>482</v>
      </c>
      <c r="B484" s="1" t="s">
        <v>103</v>
      </c>
      <c r="C484">
        <v>8</v>
      </c>
      <c r="D484">
        <v>-2</v>
      </c>
      <c r="E484">
        <v>0</v>
      </c>
      <c r="F484">
        <v>0</v>
      </c>
      <c r="G484">
        <v>0</v>
      </c>
      <c r="H484">
        <f t="shared" si="131"/>
        <v>65535</v>
      </c>
    </row>
    <row r="485" spans="1:14" x14ac:dyDescent="0.2">
      <c r="A485">
        <f t="shared" si="140"/>
        <v>483</v>
      </c>
      <c r="B485" s="1" t="s">
        <v>104</v>
      </c>
      <c r="C485">
        <v>11</v>
      </c>
      <c r="D485">
        <v>-3</v>
      </c>
      <c r="E485">
        <v>0</v>
      </c>
      <c r="F485">
        <v>0</v>
      </c>
      <c r="G485">
        <v>0</v>
      </c>
      <c r="H485">
        <f t="shared" si="131"/>
        <v>65535</v>
      </c>
    </row>
    <row r="486" spans="1:14" x14ac:dyDescent="0.2">
      <c r="A486">
        <f t="shared" si="140"/>
        <v>484</v>
      </c>
      <c r="B486" s="1" t="s">
        <v>105</v>
      </c>
      <c r="C486">
        <v>8</v>
      </c>
      <c r="D486">
        <v>-4</v>
      </c>
      <c r="E486">
        <v>0</v>
      </c>
      <c r="F486">
        <v>0</v>
      </c>
      <c r="G486">
        <v>0</v>
      </c>
      <c r="H486">
        <f t="shared" si="131"/>
        <v>65535</v>
      </c>
    </row>
    <row r="487" spans="1:14" x14ac:dyDescent="0.2">
      <c r="A487">
        <f t="shared" si="140"/>
        <v>485</v>
      </c>
      <c r="B487" s="1" t="s">
        <v>0</v>
      </c>
      <c r="C487">
        <v>9</v>
      </c>
      <c r="D487">
        <v>0</v>
      </c>
      <c r="E487">
        <v>0</v>
      </c>
      <c r="F487">
        <v>0</v>
      </c>
      <c r="G487">
        <v>0</v>
      </c>
      <c r="H487">
        <f t="shared" si="131"/>
        <v>65535</v>
      </c>
    </row>
    <row r="488" spans="1:14" x14ac:dyDescent="0.2">
      <c r="A488">
        <f t="shared" si="140"/>
        <v>486</v>
      </c>
      <c r="B488" s="1" t="s">
        <v>106</v>
      </c>
      <c r="C488">
        <v>8</v>
      </c>
      <c r="D488">
        <v>4</v>
      </c>
      <c r="E488">
        <v>0</v>
      </c>
      <c r="F488">
        <v>0</v>
      </c>
      <c r="G488">
        <v>0</v>
      </c>
      <c r="H488">
        <f t="shared" si="131"/>
        <v>65535</v>
      </c>
    </row>
    <row r="489" spans="1:14" x14ac:dyDescent="0.2">
      <c r="A489">
        <f t="shared" si="140"/>
        <v>487</v>
      </c>
      <c r="B489" s="1" t="s">
        <v>107</v>
      </c>
      <c r="C489">
        <v>8</v>
      </c>
      <c r="D489">
        <v>3</v>
      </c>
      <c r="E489">
        <v>0</v>
      </c>
      <c r="F489">
        <v>0</v>
      </c>
      <c r="G489">
        <v>0</v>
      </c>
      <c r="H489">
        <f t="shared" si="131"/>
        <v>65535</v>
      </c>
    </row>
    <row r="490" spans="1:14" x14ac:dyDescent="0.2">
      <c r="A490">
        <f t="shared" si="140"/>
        <v>488</v>
      </c>
      <c r="B490" s="1" t="s">
        <v>108</v>
      </c>
      <c r="C490">
        <v>8</v>
      </c>
      <c r="D490">
        <v>2</v>
      </c>
      <c r="E490">
        <v>0</v>
      </c>
      <c r="F490">
        <v>0</v>
      </c>
      <c r="G490">
        <v>0</v>
      </c>
      <c r="H490">
        <f t="shared" si="131"/>
        <v>65535</v>
      </c>
    </row>
    <row r="491" spans="1:14" x14ac:dyDescent="0.2">
      <c r="A491">
        <f t="shared" si="140"/>
        <v>489</v>
      </c>
      <c r="B491" s="1" t="s">
        <v>109</v>
      </c>
      <c r="C491">
        <v>8</v>
      </c>
      <c r="D491">
        <v>-1</v>
      </c>
      <c r="E491">
        <v>0</v>
      </c>
      <c r="F491">
        <v>0</v>
      </c>
      <c r="G491">
        <v>0</v>
      </c>
      <c r="H491">
        <f t="shared" si="131"/>
        <v>65535</v>
      </c>
    </row>
    <row r="492" spans="1:14" x14ac:dyDescent="0.2">
      <c r="A492">
        <f t="shared" si="140"/>
        <v>490</v>
      </c>
      <c r="B492" s="1" t="s">
        <v>110</v>
      </c>
      <c r="C492">
        <v>8</v>
      </c>
      <c r="D492">
        <v>0</v>
      </c>
      <c r="E492">
        <v>0</v>
      </c>
      <c r="F492">
        <v>0</v>
      </c>
      <c r="G492">
        <v>0</v>
      </c>
      <c r="H492">
        <f t="shared" si="131"/>
        <v>474</v>
      </c>
      <c r="I492" s="1" t="s">
        <v>42</v>
      </c>
    </row>
    <row r="493" spans="1:14" ht="30" customHeight="1" x14ac:dyDescent="0.2">
      <c r="A493">
        <f t="shared" si="140"/>
        <v>491</v>
      </c>
      <c r="B493" s="1" t="s">
        <v>160</v>
      </c>
      <c r="C493">
        <v>13</v>
      </c>
      <c r="D493">
        <v>0</v>
      </c>
      <c r="E493">
        <v>0</v>
      </c>
      <c r="F493">
        <v>0</v>
      </c>
      <c r="G493">
        <v>0</v>
      </c>
      <c r="H493">
        <f t="shared" si="131"/>
        <v>65535</v>
      </c>
      <c r="J493">
        <f t="shared" ref="J493:J524" si="141">C493-C109</f>
        <v>8</v>
      </c>
      <c r="K493">
        <f t="shared" ref="K493:K524" si="142">D493-D109</f>
        <v>0</v>
      </c>
      <c r="L493">
        <f t="shared" ref="L493:L524" si="143">E493+E109</f>
        <v>0</v>
      </c>
      <c r="M493">
        <f t="shared" ref="M493:M524" si="144">F493+F109</f>
        <v>0</v>
      </c>
      <c r="N493">
        <f t="shared" ref="N493:N524" si="145">G493+G109</f>
        <v>0</v>
      </c>
    </row>
    <row r="494" spans="1:14" x14ac:dyDescent="0.2">
      <c r="A494">
        <f t="shared" si="140"/>
        <v>492</v>
      </c>
      <c r="B494" s="1" t="s">
        <v>111</v>
      </c>
      <c r="C494">
        <v>12</v>
      </c>
      <c r="D494">
        <v>0</v>
      </c>
      <c r="E494">
        <v>5</v>
      </c>
      <c r="F494">
        <v>2</v>
      </c>
      <c r="G494">
        <v>1</v>
      </c>
      <c r="H494">
        <f t="shared" si="131"/>
        <v>65535</v>
      </c>
      <c r="J494">
        <f t="shared" si="141"/>
        <v>8</v>
      </c>
      <c r="K494">
        <f t="shared" si="142"/>
        <v>0</v>
      </c>
      <c r="L494">
        <f t="shared" si="143"/>
        <v>0</v>
      </c>
      <c r="M494">
        <f t="shared" si="144"/>
        <v>0</v>
      </c>
      <c r="N494">
        <f t="shared" si="145"/>
        <v>0</v>
      </c>
    </row>
    <row r="495" spans="1:14" x14ac:dyDescent="0.2">
      <c r="A495">
        <f t="shared" si="140"/>
        <v>493</v>
      </c>
      <c r="B495" s="1" t="s">
        <v>112</v>
      </c>
      <c r="C495">
        <v>13</v>
      </c>
      <c r="D495">
        <v>0</v>
      </c>
      <c r="E495">
        <v>5</v>
      </c>
      <c r="F495">
        <v>2</v>
      </c>
      <c r="G495">
        <v>0</v>
      </c>
      <c r="H495">
        <f t="shared" si="131"/>
        <v>65535</v>
      </c>
      <c r="J495">
        <f t="shared" si="141"/>
        <v>8</v>
      </c>
      <c r="K495">
        <f t="shared" si="142"/>
        <v>0</v>
      </c>
      <c r="L495">
        <f t="shared" si="143"/>
        <v>0</v>
      </c>
      <c r="M495">
        <f t="shared" si="144"/>
        <v>0</v>
      </c>
      <c r="N495">
        <f t="shared" si="145"/>
        <v>0</v>
      </c>
    </row>
    <row r="496" spans="1:14" x14ac:dyDescent="0.2">
      <c r="A496">
        <f t="shared" si="140"/>
        <v>494</v>
      </c>
      <c r="B496" s="1" t="s">
        <v>113</v>
      </c>
      <c r="C496">
        <v>14</v>
      </c>
      <c r="D496">
        <v>0</v>
      </c>
      <c r="E496">
        <v>5</v>
      </c>
      <c r="F496">
        <v>2</v>
      </c>
      <c r="G496">
        <v>1</v>
      </c>
      <c r="H496">
        <f t="shared" si="131"/>
        <v>65535</v>
      </c>
      <c r="J496">
        <f t="shared" si="141"/>
        <v>8</v>
      </c>
      <c r="K496">
        <f t="shared" si="142"/>
        <v>0</v>
      </c>
      <c r="L496">
        <f t="shared" si="143"/>
        <v>0</v>
      </c>
      <c r="M496">
        <f t="shared" si="144"/>
        <v>0</v>
      </c>
      <c r="N496">
        <f t="shared" si="145"/>
        <v>0</v>
      </c>
    </row>
    <row r="497" spans="1:14" x14ac:dyDescent="0.2">
      <c r="A497">
        <f t="shared" si="140"/>
        <v>495</v>
      </c>
      <c r="B497" s="1" t="s">
        <v>114</v>
      </c>
      <c r="C497">
        <v>13</v>
      </c>
      <c r="D497">
        <v>0</v>
      </c>
      <c r="E497">
        <v>5</v>
      </c>
      <c r="F497">
        <v>2</v>
      </c>
      <c r="G497">
        <v>0</v>
      </c>
      <c r="H497">
        <f t="shared" si="131"/>
        <v>65535</v>
      </c>
      <c r="J497">
        <f t="shared" si="141"/>
        <v>8</v>
      </c>
      <c r="K497">
        <f t="shared" si="142"/>
        <v>0</v>
      </c>
      <c r="L497">
        <f t="shared" si="143"/>
        <v>0</v>
      </c>
      <c r="M497">
        <f t="shared" si="144"/>
        <v>0</v>
      </c>
      <c r="N497">
        <f t="shared" si="145"/>
        <v>0</v>
      </c>
    </row>
    <row r="498" spans="1:14" x14ac:dyDescent="0.2">
      <c r="A498">
        <f t="shared" si="140"/>
        <v>496</v>
      </c>
      <c r="B498" s="1" t="s">
        <v>674</v>
      </c>
      <c r="C498">
        <v>12</v>
      </c>
      <c r="D498">
        <v>0</v>
      </c>
      <c r="E498">
        <v>5</v>
      </c>
      <c r="F498">
        <v>2</v>
      </c>
      <c r="G498">
        <v>1</v>
      </c>
      <c r="H498">
        <f t="shared" si="131"/>
        <v>65535</v>
      </c>
      <c r="J498">
        <f t="shared" si="141"/>
        <v>8</v>
      </c>
      <c r="K498">
        <f t="shared" si="142"/>
        <v>0</v>
      </c>
      <c r="L498">
        <f t="shared" si="143"/>
        <v>0</v>
      </c>
      <c r="M498">
        <f t="shared" si="144"/>
        <v>0</v>
      </c>
      <c r="N498">
        <f t="shared" si="145"/>
        <v>0</v>
      </c>
    </row>
    <row r="499" spans="1:14" x14ac:dyDescent="0.2">
      <c r="A499">
        <f t="shared" si="140"/>
        <v>497</v>
      </c>
      <c r="B499" s="1" t="s">
        <v>675</v>
      </c>
      <c r="C499">
        <v>13</v>
      </c>
      <c r="D499">
        <v>0</v>
      </c>
      <c r="E499">
        <v>5</v>
      </c>
      <c r="F499">
        <v>2</v>
      </c>
      <c r="G499">
        <v>0</v>
      </c>
      <c r="H499">
        <f t="shared" si="131"/>
        <v>65535</v>
      </c>
      <c r="J499">
        <f t="shared" si="141"/>
        <v>8</v>
      </c>
      <c r="K499">
        <f t="shared" si="142"/>
        <v>0</v>
      </c>
      <c r="L499">
        <f t="shared" si="143"/>
        <v>0</v>
      </c>
      <c r="M499">
        <f t="shared" si="144"/>
        <v>0</v>
      </c>
      <c r="N499">
        <f t="shared" si="145"/>
        <v>0</v>
      </c>
    </row>
    <row r="500" spans="1:14" x14ac:dyDescent="0.2">
      <c r="A500">
        <f t="shared" si="140"/>
        <v>498</v>
      </c>
      <c r="B500" s="1" t="s">
        <v>676</v>
      </c>
      <c r="C500">
        <v>14</v>
      </c>
      <c r="D500">
        <v>0</v>
      </c>
      <c r="E500">
        <v>5</v>
      </c>
      <c r="F500">
        <v>2</v>
      </c>
      <c r="G500">
        <v>1</v>
      </c>
      <c r="H500">
        <f t="shared" si="131"/>
        <v>65535</v>
      </c>
      <c r="J500">
        <f t="shared" si="141"/>
        <v>8</v>
      </c>
      <c r="K500">
        <f t="shared" si="142"/>
        <v>0</v>
      </c>
      <c r="L500">
        <f t="shared" si="143"/>
        <v>0</v>
      </c>
      <c r="M500">
        <f t="shared" si="144"/>
        <v>0</v>
      </c>
      <c r="N500">
        <f t="shared" si="145"/>
        <v>0</v>
      </c>
    </row>
    <row r="501" spans="1:14" x14ac:dyDescent="0.2">
      <c r="A501">
        <f t="shared" si="140"/>
        <v>499</v>
      </c>
      <c r="B501" s="1" t="s">
        <v>677</v>
      </c>
      <c r="C501">
        <v>13</v>
      </c>
      <c r="D501">
        <v>0</v>
      </c>
      <c r="E501">
        <v>5</v>
      </c>
      <c r="F501">
        <v>2</v>
      </c>
      <c r="G501">
        <v>0</v>
      </c>
      <c r="H501">
        <f t="shared" si="131"/>
        <v>65535</v>
      </c>
      <c r="J501">
        <f t="shared" si="141"/>
        <v>8</v>
      </c>
      <c r="K501">
        <f t="shared" si="142"/>
        <v>0</v>
      </c>
      <c r="L501">
        <f t="shared" si="143"/>
        <v>0</v>
      </c>
      <c r="M501">
        <f t="shared" si="144"/>
        <v>0</v>
      </c>
      <c r="N501">
        <f t="shared" si="145"/>
        <v>0</v>
      </c>
    </row>
    <row r="502" spans="1:14" x14ac:dyDescent="0.2">
      <c r="A502">
        <f t="shared" si="140"/>
        <v>500</v>
      </c>
      <c r="B502" s="1" t="s">
        <v>177</v>
      </c>
      <c r="C502">
        <v>12</v>
      </c>
      <c r="D502">
        <v>0</v>
      </c>
      <c r="E502">
        <v>5</v>
      </c>
      <c r="F502">
        <v>2</v>
      </c>
      <c r="G502">
        <v>1</v>
      </c>
      <c r="H502">
        <f t="shared" si="131"/>
        <v>65535</v>
      </c>
      <c r="J502">
        <f t="shared" si="141"/>
        <v>8</v>
      </c>
      <c r="K502">
        <f t="shared" si="142"/>
        <v>0</v>
      </c>
      <c r="L502">
        <f t="shared" si="143"/>
        <v>0</v>
      </c>
      <c r="M502">
        <f t="shared" si="144"/>
        <v>0</v>
      </c>
      <c r="N502">
        <f t="shared" si="145"/>
        <v>0</v>
      </c>
    </row>
    <row r="503" spans="1:14" x14ac:dyDescent="0.2">
      <c r="A503">
        <f t="shared" si="140"/>
        <v>501</v>
      </c>
      <c r="B503" s="1" t="s">
        <v>178</v>
      </c>
      <c r="C503">
        <v>13</v>
      </c>
      <c r="D503">
        <v>0</v>
      </c>
      <c r="E503">
        <v>5</v>
      </c>
      <c r="F503">
        <v>2</v>
      </c>
      <c r="G503">
        <v>0</v>
      </c>
      <c r="H503">
        <f t="shared" si="131"/>
        <v>65535</v>
      </c>
      <c r="J503">
        <f t="shared" si="141"/>
        <v>8</v>
      </c>
      <c r="K503">
        <f t="shared" si="142"/>
        <v>0</v>
      </c>
      <c r="L503">
        <f t="shared" si="143"/>
        <v>0</v>
      </c>
      <c r="M503">
        <f t="shared" si="144"/>
        <v>0</v>
      </c>
      <c r="N503">
        <f t="shared" si="145"/>
        <v>0</v>
      </c>
    </row>
    <row r="504" spans="1:14" x14ac:dyDescent="0.2">
      <c r="A504">
        <f t="shared" si="140"/>
        <v>502</v>
      </c>
      <c r="B504" s="1" t="s">
        <v>179</v>
      </c>
      <c r="C504">
        <v>14</v>
      </c>
      <c r="D504">
        <v>0</v>
      </c>
      <c r="E504">
        <v>5</v>
      </c>
      <c r="F504">
        <v>2</v>
      </c>
      <c r="G504">
        <v>1</v>
      </c>
      <c r="H504">
        <f t="shared" si="131"/>
        <v>65535</v>
      </c>
      <c r="J504">
        <f t="shared" si="141"/>
        <v>8</v>
      </c>
      <c r="K504">
        <f t="shared" si="142"/>
        <v>0</v>
      </c>
      <c r="L504">
        <f t="shared" si="143"/>
        <v>0</v>
      </c>
      <c r="M504">
        <f t="shared" si="144"/>
        <v>0</v>
      </c>
      <c r="N504">
        <f t="shared" si="145"/>
        <v>0</v>
      </c>
    </row>
    <row r="505" spans="1:14" x14ac:dyDescent="0.2">
      <c r="A505">
        <f t="shared" si="140"/>
        <v>503</v>
      </c>
      <c r="B505" s="1" t="s">
        <v>180</v>
      </c>
      <c r="C505">
        <v>13</v>
      </c>
      <c r="D505">
        <v>0</v>
      </c>
      <c r="E505">
        <v>5</v>
      </c>
      <c r="F505">
        <v>2</v>
      </c>
      <c r="G505">
        <v>0</v>
      </c>
      <c r="H505">
        <f t="shared" si="131"/>
        <v>65535</v>
      </c>
      <c r="J505">
        <f t="shared" si="141"/>
        <v>8</v>
      </c>
      <c r="K505">
        <f t="shared" si="142"/>
        <v>0</v>
      </c>
      <c r="L505">
        <f t="shared" si="143"/>
        <v>0</v>
      </c>
      <c r="M505">
        <f t="shared" si="144"/>
        <v>0</v>
      </c>
      <c r="N505">
        <f t="shared" si="145"/>
        <v>0</v>
      </c>
    </row>
    <row r="506" spans="1:14" x14ac:dyDescent="0.2">
      <c r="A506">
        <f t="shared" si="140"/>
        <v>504</v>
      </c>
      <c r="B506" s="1" t="s">
        <v>181</v>
      </c>
      <c r="C506">
        <v>12</v>
      </c>
      <c r="D506">
        <v>2</v>
      </c>
      <c r="E506">
        <v>5</v>
      </c>
      <c r="F506">
        <v>2</v>
      </c>
      <c r="G506">
        <v>1</v>
      </c>
      <c r="H506">
        <f t="shared" si="131"/>
        <v>65535</v>
      </c>
      <c r="J506">
        <f t="shared" si="141"/>
        <v>8</v>
      </c>
      <c r="K506">
        <f t="shared" si="142"/>
        <v>0</v>
      </c>
      <c r="L506">
        <f t="shared" si="143"/>
        <v>0</v>
      </c>
      <c r="M506">
        <f t="shared" si="144"/>
        <v>0</v>
      </c>
      <c r="N506">
        <f t="shared" si="145"/>
        <v>0</v>
      </c>
    </row>
    <row r="507" spans="1:14" x14ac:dyDescent="0.2">
      <c r="A507">
        <f t="shared" si="140"/>
        <v>505</v>
      </c>
      <c r="B507" s="1" t="s">
        <v>182</v>
      </c>
      <c r="C507">
        <v>13</v>
      </c>
      <c r="D507">
        <v>2</v>
      </c>
      <c r="E507">
        <v>5</v>
      </c>
      <c r="F507">
        <v>2</v>
      </c>
      <c r="G507">
        <v>0</v>
      </c>
      <c r="H507">
        <f t="shared" si="131"/>
        <v>65535</v>
      </c>
      <c r="J507">
        <f t="shared" si="141"/>
        <v>8</v>
      </c>
      <c r="K507">
        <f t="shared" si="142"/>
        <v>0</v>
      </c>
      <c r="L507">
        <f t="shared" si="143"/>
        <v>0</v>
      </c>
      <c r="M507">
        <f t="shared" si="144"/>
        <v>0</v>
      </c>
      <c r="N507">
        <f t="shared" si="145"/>
        <v>0</v>
      </c>
    </row>
    <row r="508" spans="1:14" x14ac:dyDescent="0.2">
      <c r="A508">
        <f t="shared" si="140"/>
        <v>506</v>
      </c>
      <c r="B508" s="1" t="s">
        <v>183</v>
      </c>
      <c r="C508">
        <v>14</v>
      </c>
      <c r="D508">
        <v>2</v>
      </c>
      <c r="E508">
        <v>5</v>
      </c>
      <c r="F508">
        <v>2</v>
      </c>
      <c r="G508">
        <v>1</v>
      </c>
      <c r="H508">
        <f t="shared" si="131"/>
        <v>65535</v>
      </c>
      <c r="J508">
        <f t="shared" si="141"/>
        <v>8</v>
      </c>
      <c r="K508">
        <f t="shared" si="142"/>
        <v>0</v>
      </c>
      <c r="L508">
        <f t="shared" si="143"/>
        <v>0</v>
      </c>
      <c r="M508">
        <f t="shared" si="144"/>
        <v>0</v>
      </c>
      <c r="N508">
        <f t="shared" si="145"/>
        <v>0</v>
      </c>
    </row>
    <row r="509" spans="1:14" x14ac:dyDescent="0.2">
      <c r="A509">
        <f t="shared" si="140"/>
        <v>507</v>
      </c>
      <c r="B509" s="1" t="s">
        <v>184</v>
      </c>
      <c r="C509">
        <v>13</v>
      </c>
      <c r="D509">
        <v>2</v>
      </c>
      <c r="E509">
        <v>5</v>
      </c>
      <c r="F509">
        <v>2</v>
      </c>
      <c r="G509">
        <v>0</v>
      </c>
      <c r="H509">
        <f t="shared" si="131"/>
        <v>65535</v>
      </c>
      <c r="J509">
        <f t="shared" si="141"/>
        <v>8</v>
      </c>
      <c r="K509">
        <f t="shared" si="142"/>
        <v>0</v>
      </c>
      <c r="L509">
        <f t="shared" si="143"/>
        <v>0</v>
      </c>
      <c r="M509">
        <f t="shared" si="144"/>
        <v>0</v>
      </c>
      <c r="N509">
        <f t="shared" si="145"/>
        <v>0</v>
      </c>
    </row>
    <row r="510" spans="1:14" x14ac:dyDescent="0.2">
      <c r="A510">
        <f t="shared" si="140"/>
        <v>508</v>
      </c>
      <c r="B510" s="1" t="s">
        <v>428</v>
      </c>
      <c r="C510">
        <v>12</v>
      </c>
      <c r="D510">
        <v>4</v>
      </c>
      <c r="E510">
        <v>5</v>
      </c>
      <c r="F510">
        <v>2</v>
      </c>
      <c r="G510">
        <v>1</v>
      </c>
      <c r="H510">
        <f t="shared" si="131"/>
        <v>65535</v>
      </c>
      <c r="J510">
        <f t="shared" si="141"/>
        <v>8</v>
      </c>
      <c r="K510">
        <f t="shared" si="142"/>
        <v>0</v>
      </c>
      <c r="L510">
        <f t="shared" si="143"/>
        <v>0</v>
      </c>
      <c r="M510">
        <f t="shared" si="144"/>
        <v>0</v>
      </c>
      <c r="N510">
        <f t="shared" si="145"/>
        <v>0</v>
      </c>
    </row>
    <row r="511" spans="1:14" x14ac:dyDescent="0.2">
      <c r="A511">
        <f t="shared" si="140"/>
        <v>509</v>
      </c>
      <c r="B511" s="1" t="s">
        <v>431</v>
      </c>
      <c r="C511">
        <v>13</v>
      </c>
      <c r="D511">
        <v>2</v>
      </c>
      <c r="E511">
        <v>5</v>
      </c>
      <c r="F511">
        <v>2</v>
      </c>
      <c r="G511">
        <v>0</v>
      </c>
      <c r="H511">
        <f t="shared" si="131"/>
        <v>65535</v>
      </c>
      <c r="J511">
        <f t="shared" si="141"/>
        <v>8</v>
      </c>
      <c r="K511">
        <f t="shared" si="142"/>
        <v>0</v>
      </c>
      <c r="L511">
        <f t="shared" si="143"/>
        <v>0</v>
      </c>
      <c r="M511">
        <f t="shared" si="144"/>
        <v>0</v>
      </c>
      <c r="N511">
        <f t="shared" si="145"/>
        <v>0</v>
      </c>
    </row>
    <row r="512" spans="1:14" x14ac:dyDescent="0.2">
      <c r="A512">
        <f t="shared" si="140"/>
        <v>510</v>
      </c>
      <c r="B512" s="1" t="s">
        <v>430</v>
      </c>
      <c r="C512">
        <v>14</v>
      </c>
      <c r="D512">
        <v>2</v>
      </c>
      <c r="E512">
        <v>5</v>
      </c>
      <c r="F512">
        <v>2</v>
      </c>
      <c r="G512">
        <v>1</v>
      </c>
      <c r="H512">
        <f t="shared" si="131"/>
        <v>65535</v>
      </c>
      <c r="J512">
        <f t="shared" si="141"/>
        <v>8</v>
      </c>
      <c r="K512">
        <f t="shared" si="142"/>
        <v>0</v>
      </c>
      <c r="L512">
        <f t="shared" si="143"/>
        <v>0</v>
      </c>
      <c r="M512">
        <f t="shared" si="144"/>
        <v>0</v>
      </c>
      <c r="N512">
        <f t="shared" si="145"/>
        <v>0</v>
      </c>
    </row>
    <row r="513" spans="1:14" x14ac:dyDescent="0.2">
      <c r="A513">
        <f t="shared" si="140"/>
        <v>511</v>
      </c>
      <c r="B513" s="1" t="s">
        <v>429</v>
      </c>
      <c r="C513">
        <v>13</v>
      </c>
      <c r="D513">
        <v>0</v>
      </c>
      <c r="E513">
        <v>5</v>
      </c>
      <c r="F513">
        <v>2</v>
      </c>
      <c r="G513">
        <v>0</v>
      </c>
      <c r="H513">
        <f t="shared" si="131"/>
        <v>65535</v>
      </c>
      <c r="J513">
        <f t="shared" si="141"/>
        <v>8</v>
      </c>
      <c r="K513">
        <f t="shared" si="142"/>
        <v>0</v>
      </c>
      <c r="L513">
        <f t="shared" si="143"/>
        <v>0</v>
      </c>
      <c r="M513">
        <f t="shared" si="144"/>
        <v>0</v>
      </c>
      <c r="N513">
        <f t="shared" si="145"/>
        <v>0</v>
      </c>
    </row>
    <row r="514" spans="1:14" x14ac:dyDescent="0.2">
      <c r="A514">
        <f t="shared" si="140"/>
        <v>512</v>
      </c>
      <c r="B514" s="1" t="s">
        <v>185</v>
      </c>
      <c r="C514">
        <v>12</v>
      </c>
      <c r="D514">
        <v>0</v>
      </c>
      <c r="E514">
        <v>5</v>
      </c>
      <c r="F514">
        <v>2</v>
      </c>
      <c r="G514">
        <v>1</v>
      </c>
      <c r="H514">
        <f t="shared" ref="H514:H577" si="146">_xlfn.XLOOKUP(I514,$B$2:$B$982,$A$2:$A$982,65535)</f>
        <v>65535</v>
      </c>
      <c r="J514">
        <f t="shared" si="141"/>
        <v>8</v>
      </c>
      <c r="K514">
        <f t="shared" si="142"/>
        <v>0</v>
      </c>
      <c r="L514">
        <f t="shared" si="143"/>
        <v>0</v>
      </c>
      <c r="M514">
        <f t="shared" si="144"/>
        <v>0</v>
      </c>
      <c r="N514">
        <f t="shared" si="145"/>
        <v>0</v>
      </c>
    </row>
    <row r="515" spans="1:14" x14ac:dyDescent="0.2">
      <c r="A515">
        <f t="shared" si="140"/>
        <v>513</v>
      </c>
      <c r="B515" s="1" t="s">
        <v>186</v>
      </c>
      <c r="C515">
        <v>13</v>
      </c>
      <c r="D515">
        <v>0</v>
      </c>
      <c r="E515">
        <v>5</v>
      </c>
      <c r="F515">
        <v>2</v>
      </c>
      <c r="G515">
        <v>0</v>
      </c>
      <c r="H515">
        <f t="shared" si="146"/>
        <v>65535</v>
      </c>
      <c r="J515">
        <f t="shared" si="141"/>
        <v>8</v>
      </c>
      <c r="K515">
        <f t="shared" si="142"/>
        <v>0</v>
      </c>
      <c r="L515">
        <f t="shared" si="143"/>
        <v>0</v>
      </c>
      <c r="M515">
        <f t="shared" si="144"/>
        <v>0</v>
      </c>
      <c r="N515">
        <f t="shared" si="145"/>
        <v>0</v>
      </c>
    </row>
    <row r="516" spans="1:14" x14ac:dyDescent="0.2">
      <c r="A516">
        <f t="shared" si="140"/>
        <v>514</v>
      </c>
      <c r="B516" s="1" t="s">
        <v>187</v>
      </c>
      <c r="C516">
        <v>14</v>
      </c>
      <c r="D516">
        <v>0</v>
      </c>
      <c r="E516">
        <v>5</v>
      </c>
      <c r="F516">
        <v>2</v>
      </c>
      <c r="G516">
        <v>1</v>
      </c>
      <c r="H516">
        <f t="shared" si="146"/>
        <v>65535</v>
      </c>
      <c r="J516">
        <f t="shared" si="141"/>
        <v>8</v>
      </c>
      <c r="K516">
        <f t="shared" si="142"/>
        <v>0</v>
      </c>
      <c r="L516">
        <f t="shared" si="143"/>
        <v>0</v>
      </c>
      <c r="M516">
        <f t="shared" si="144"/>
        <v>0</v>
      </c>
      <c r="N516">
        <f t="shared" si="145"/>
        <v>0</v>
      </c>
    </row>
    <row r="517" spans="1:14" x14ac:dyDescent="0.2">
      <c r="A517">
        <f t="shared" si="140"/>
        <v>515</v>
      </c>
      <c r="B517" s="1" t="s">
        <v>188</v>
      </c>
      <c r="C517">
        <v>13</v>
      </c>
      <c r="D517">
        <v>0</v>
      </c>
      <c r="E517">
        <v>5</v>
      </c>
      <c r="F517">
        <v>2</v>
      </c>
      <c r="G517">
        <v>0</v>
      </c>
      <c r="H517">
        <f t="shared" si="146"/>
        <v>65535</v>
      </c>
      <c r="J517">
        <f t="shared" si="141"/>
        <v>8</v>
      </c>
      <c r="K517">
        <f t="shared" si="142"/>
        <v>0</v>
      </c>
      <c r="L517">
        <f t="shared" si="143"/>
        <v>0</v>
      </c>
      <c r="M517">
        <f t="shared" si="144"/>
        <v>0</v>
      </c>
      <c r="N517">
        <f t="shared" si="145"/>
        <v>0</v>
      </c>
    </row>
    <row r="518" spans="1:14" x14ac:dyDescent="0.2">
      <c r="A518">
        <f t="shared" si="140"/>
        <v>516</v>
      </c>
      <c r="B518" s="1" t="s">
        <v>189</v>
      </c>
      <c r="C518">
        <v>12</v>
      </c>
      <c r="D518">
        <v>-2</v>
      </c>
      <c r="E518">
        <v>5</v>
      </c>
      <c r="F518">
        <v>2</v>
      </c>
      <c r="G518">
        <v>1</v>
      </c>
      <c r="H518">
        <f t="shared" si="146"/>
        <v>65535</v>
      </c>
      <c r="J518">
        <f t="shared" si="141"/>
        <v>8</v>
      </c>
      <c r="K518">
        <f t="shared" si="142"/>
        <v>0</v>
      </c>
      <c r="L518">
        <f t="shared" si="143"/>
        <v>0</v>
      </c>
      <c r="M518">
        <f t="shared" si="144"/>
        <v>0</v>
      </c>
      <c r="N518">
        <f t="shared" si="145"/>
        <v>0</v>
      </c>
    </row>
    <row r="519" spans="1:14" x14ac:dyDescent="0.2">
      <c r="A519">
        <f t="shared" si="140"/>
        <v>517</v>
      </c>
      <c r="B519" s="1" t="s">
        <v>190</v>
      </c>
      <c r="C519">
        <v>13</v>
      </c>
      <c r="D519">
        <v>-2</v>
      </c>
      <c r="E519">
        <v>5</v>
      </c>
      <c r="F519">
        <v>2</v>
      </c>
      <c r="G519">
        <v>0</v>
      </c>
      <c r="H519">
        <f t="shared" si="146"/>
        <v>65535</v>
      </c>
      <c r="J519">
        <f t="shared" si="141"/>
        <v>8</v>
      </c>
      <c r="K519">
        <f t="shared" si="142"/>
        <v>0</v>
      </c>
      <c r="L519">
        <f t="shared" si="143"/>
        <v>0</v>
      </c>
      <c r="M519">
        <f t="shared" si="144"/>
        <v>0</v>
      </c>
      <c r="N519">
        <f t="shared" si="145"/>
        <v>0</v>
      </c>
    </row>
    <row r="520" spans="1:14" x14ac:dyDescent="0.2">
      <c r="A520">
        <f t="shared" si="140"/>
        <v>518</v>
      </c>
      <c r="B520" s="1" t="s">
        <v>191</v>
      </c>
      <c r="C520">
        <v>14</v>
      </c>
      <c r="D520">
        <v>-2</v>
      </c>
      <c r="E520">
        <v>5</v>
      </c>
      <c r="F520">
        <v>2</v>
      </c>
      <c r="G520">
        <v>1</v>
      </c>
      <c r="H520">
        <f t="shared" si="146"/>
        <v>65535</v>
      </c>
      <c r="J520">
        <f t="shared" si="141"/>
        <v>8</v>
      </c>
      <c r="K520">
        <f t="shared" si="142"/>
        <v>0</v>
      </c>
      <c r="L520">
        <f t="shared" si="143"/>
        <v>0</v>
      </c>
      <c r="M520">
        <f t="shared" si="144"/>
        <v>0</v>
      </c>
      <c r="N520">
        <f t="shared" si="145"/>
        <v>0</v>
      </c>
    </row>
    <row r="521" spans="1:14" x14ac:dyDescent="0.2">
      <c r="A521">
        <f t="shared" si="140"/>
        <v>519</v>
      </c>
      <c r="B521" s="1" t="s">
        <v>192</v>
      </c>
      <c r="C521">
        <v>13</v>
      </c>
      <c r="D521">
        <v>-2</v>
      </c>
      <c r="E521">
        <v>5</v>
      </c>
      <c r="F521">
        <v>2</v>
      </c>
      <c r="G521">
        <v>0</v>
      </c>
      <c r="H521">
        <f t="shared" si="146"/>
        <v>65535</v>
      </c>
      <c r="J521">
        <f t="shared" si="141"/>
        <v>8</v>
      </c>
      <c r="K521">
        <f t="shared" si="142"/>
        <v>0</v>
      </c>
      <c r="L521">
        <f t="shared" si="143"/>
        <v>0</v>
      </c>
      <c r="M521">
        <f t="shared" si="144"/>
        <v>0</v>
      </c>
      <c r="N521">
        <f t="shared" si="145"/>
        <v>0</v>
      </c>
    </row>
    <row r="522" spans="1:14" x14ac:dyDescent="0.2">
      <c r="A522">
        <f t="shared" si="140"/>
        <v>520</v>
      </c>
      <c r="B522" s="1" t="s">
        <v>432</v>
      </c>
      <c r="C522">
        <v>12</v>
      </c>
      <c r="D522">
        <v>0</v>
      </c>
      <c r="E522">
        <v>5</v>
      </c>
      <c r="F522">
        <v>2</v>
      </c>
      <c r="G522">
        <v>1</v>
      </c>
      <c r="H522">
        <f t="shared" si="146"/>
        <v>65535</v>
      </c>
      <c r="J522">
        <f t="shared" si="141"/>
        <v>8</v>
      </c>
      <c r="K522">
        <f t="shared" si="142"/>
        <v>0</v>
      </c>
      <c r="L522">
        <f t="shared" si="143"/>
        <v>0</v>
      </c>
      <c r="M522">
        <f t="shared" si="144"/>
        <v>0</v>
      </c>
      <c r="N522">
        <f t="shared" si="145"/>
        <v>0</v>
      </c>
    </row>
    <row r="523" spans="1:14" x14ac:dyDescent="0.2">
      <c r="A523">
        <f t="shared" si="140"/>
        <v>521</v>
      </c>
      <c r="B523" s="1" t="s">
        <v>433</v>
      </c>
      <c r="C523">
        <v>13</v>
      </c>
      <c r="D523">
        <v>-2</v>
      </c>
      <c r="E523">
        <v>5</v>
      </c>
      <c r="F523">
        <v>2</v>
      </c>
      <c r="G523">
        <v>0</v>
      </c>
      <c r="H523">
        <f t="shared" si="146"/>
        <v>65535</v>
      </c>
      <c r="J523">
        <f t="shared" si="141"/>
        <v>8</v>
      </c>
      <c r="K523">
        <f t="shared" si="142"/>
        <v>0</v>
      </c>
      <c r="L523">
        <f t="shared" si="143"/>
        <v>0</v>
      </c>
      <c r="M523">
        <f t="shared" si="144"/>
        <v>0</v>
      </c>
      <c r="N523">
        <f t="shared" si="145"/>
        <v>0</v>
      </c>
    </row>
    <row r="524" spans="1:14" x14ac:dyDescent="0.2">
      <c r="A524">
        <f t="shared" si="140"/>
        <v>522</v>
      </c>
      <c r="B524" s="1" t="s">
        <v>434</v>
      </c>
      <c r="C524">
        <v>14</v>
      </c>
      <c r="D524">
        <v>-2</v>
      </c>
      <c r="E524">
        <v>5</v>
      </c>
      <c r="F524">
        <v>2</v>
      </c>
      <c r="G524">
        <v>1</v>
      </c>
      <c r="H524">
        <f t="shared" si="146"/>
        <v>65535</v>
      </c>
      <c r="J524">
        <f t="shared" si="141"/>
        <v>8</v>
      </c>
      <c r="K524">
        <f t="shared" si="142"/>
        <v>0</v>
      </c>
      <c r="L524">
        <f t="shared" si="143"/>
        <v>0</v>
      </c>
      <c r="M524">
        <f t="shared" si="144"/>
        <v>0</v>
      </c>
      <c r="N524">
        <f t="shared" si="145"/>
        <v>0</v>
      </c>
    </row>
    <row r="525" spans="1:14" x14ac:dyDescent="0.2">
      <c r="A525">
        <f t="shared" si="140"/>
        <v>523</v>
      </c>
      <c r="B525" s="1" t="s">
        <v>435</v>
      </c>
      <c r="C525">
        <v>13</v>
      </c>
      <c r="D525">
        <v>-4</v>
      </c>
      <c r="E525">
        <v>5</v>
      </c>
      <c r="F525">
        <v>2</v>
      </c>
      <c r="G525">
        <v>0</v>
      </c>
      <c r="H525">
        <f t="shared" si="146"/>
        <v>65535</v>
      </c>
      <c r="J525">
        <f t="shared" ref="J525:J556" si="147">C525-C141</f>
        <v>8</v>
      </c>
      <c r="K525">
        <f t="shared" ref="K525:K556" si="148">D525-D141</f>
        <v>0</v>
      </c>
      <c r="L525">
        <f t="shared" ref="L525:L556" si="149">E525+E141</f>
        <v>0</v>
      </c>
      <c r="M525">
        <f t="shared" ref="M525:M556" si="150">F525+F141</f>
        <v>0</v>
      </c>
      <c r="N525">
        <f t="shared" ref="N525:N556" si="151">G525+G141</f>
        <v>0</v>
      </c>
    </row>
    <row r="526" spans="1:14" x14ac:dyDescent="0.2">
      <c r="A526">
        <f t="shared" si="140"/>
        <v>524</v>
      </c>
      <c r="B526" s="1" t="s">
        <v>26</v>
      </c>
      <c r="C526">
        <v>13</v>
      </c>
      <c r="D526">
        <v>0</v>
      </c>
      <c r="E526">
        <v>5</v>
      </c>
      <c r="F526">
        <v>2</v>
      </c>
      <c r="G526">
        <v>0</v>
      </c>
      <c r="H526">
        <f t="shared" si="146"/>
        <v>65535</v>
      </c>
      <c r="J526">
        <f t="shared" si="147"/>
        <v>8</v>
      </c>
      <c r="K526">
        <f t="shared" si="148"/>
        <v>0</v>
      </c>
      <c r="L526">
        <f t="shared" si="149"/>
        <v>0</v>
      </c>
      <c r="M526">
        <f t="shared" si="150"/>
        <v>0</v>
      </c>
      <c r="N526">
        <f t="shared" si="151"/>
        <v>0</v>
      </c>
    </row>
    <row r="527" spans="1:14" x14ac:dyDescent="0.2">
      <c r="A527">
        <f t="shared" si="140"/>
        <v>525</v>
      </c>
      <c r="B527" s="1" t="s">
        <v>27</v>
      </c>
      <c r="C527">
        <v>12</v>
      </c>
      <c r="D527">
        <v>0</v>
      </c>
      <c r="E527">
        <v>5</v>
      </c>
      <c r="F527">
        <v>2</v>
      </c>
      <c r="G527">
        <v>1</v>
      </c>
      <c r="H527">
        <f t="shared" si="146"/>
        <v>65535</v>
      </c>
      <c r="J527">
        <f t="shared" si="147"/>
        <v>8</v>
      </c>
      <c r="K527">
        <f t="shared" si="148"/>
        <v>0</v>
      </c>
      <c r="L527">
        <f t="shared" si="149"/>
        <v>0</v>
      </c>
      <c r="M527">
        <f t="shared" si="150"/>
        <v>0</v>
      </c>
      <c r="N527">
        <f t="shared" si="151"/>
        <v>0</v>
      </c>
    </row>
    <row r="528" spans="1:14" x14ac:dyDescent="0.2">
      <c r="A528">
        <f t="shared" si="140"/>
        <v>526</v>
      </c>
      <c r="B528" s="1" t="s">
        <v>28</v>
      </c>
      <c r="C528">
        <v>13</v>
      </c>
      <c r="D528">
        <v>-1</v>
      </c>
      <c r="E528">
        <v>5</v>
      </c>
      <c r="F528">
        <v>2</v>
      </c>
      <c r="G528">
        <v>0</v>
      </c>
      <c r="H528">
        <f t="shared" si="146"/>
        <v>65535</v>
      </c>
      <c r="J528">
        <f t="shared" si="147"/>
        <v>8</v>
      </c>
      <c r="K528">
        <f t="shared" si="148"/>
        <v>0</v>
      </c>
      <c r="L528">
        <f t="shared" si="149"/>
        <v>0</v>
      </c>
      <c r="M528">
        <f t="shared" si="150"/>
        <v>0</v>
      </c>
      <c r="N528">
        <f t="shared" si="151"/>
        <v>0</v>
      </c>
    </row>
    <row r="529" spans="1:14" x14ac:dyDescent="0.2">
      <c r="A529">
        <f t="shared" si="140"/>
        <v>527</v>
      </c>
      <c r="B529" s="1" t="s">
        <v>29</v>
      </c>
      <c r="C529">
        <v>13</v>
      </c>
      <c r="D529">
        <v>-1</v>
      </c>
      <c r="E529">
        <v>5</v>
      </c>
      <c r="F529">
        <v>1</v>
      </c>
      <c r="G529">
        <v>1</v>
      </c>
      <c r="H529">
        <f t="shared" si="146"/>
        <v>65535</v>
      </c>
      <c r="J529">
        <f t="shared" si="147"/>
        <v>8</v>
      </c>
      <c r="K529">
        <f t="shared" si="148"/>
        <v>0</v>
      </c>
      <c r="L529">
        <f t="shared" si="149"/>
        <v>0</v>
      </c>
      <c r="M529">
        <f t="shared" si="150"/>
        <v>0</v>
      </c>
      <c r="N529">
        <f t="shared" si="151"/>
        <v>0</v>
      </c>
    </row>
    <row r="530" spans="1:14" x14ac:dyDescent="0.2">
      <c r="A530">
        <f t="shared" si="140"/>
        <v>528</v>
      </c>
      <c r="B530" s="1" t="s">
        <v>30</v>
      </c>
      <c r="C530">
        <v>13</v>
      </c>
      <c r="D530">
        <v>-2</v>
      </c>
      <c r="E530">
        <v>5</v>
      </c>
      <c r="F530">
        <v>1</v>
      </c>
      <c r="G530">
        <v>0</v>
      </c>
      <c r="H530">
        <f t="shared" si="146"/>
        <v>65535</v>
      </c>
      <c r="J530">
        <f t="shared" si="147"/>
        <v>8</v>
      </c>
      <c r="K530">
        <f t="shared" si="148"/>
        <v>0</v>
      </c>
      <c r="L530">
        <f t="shared" si="149"/>
        <v>0</v>
      </c>
      <c r="M530">
        <f t="shared" si="150"/>
        <v>0</v>
      </c>
      <c r="N530">
        <f t="shared" si="151"/>
        <v>0</v>
      </c>
    </row>
    <row r="531" spans="1:14" x14ac:dyDescent="0.2">
      <c r="A531">
        <f t="shared" si="140"/>
        <v>529</v>
      </c>
      <c r="B531" s="1" t="s">
        <v>31</v>
      </c>
      <c r="C531">
        <v>13</v>
      </c>
      <c r="D531">
        <v>-4</v>
      </c>
      <c r="E531">
        <v>0</v>
      </c>
      <c r="F531">
        <v>0</v>
      </c>
      <c r="G531">
        <v>0</v>
      </c>
      <c r="H531">
        <f t="shared" si="146"/>
        <v>493</v>
      </c>
      <c r="I531" s="1" t="s">
        <v>112</v>
      </c>
      <c r="J531">
        <f t="shared" si="147"/>
        <v>8</v>
      </c>
      <c r="K531">
        <f t="shared" si="148"/>
        <v>0</v>
      </c>
      <c r="L531">
        <f t="shared" si="149"/>
        <v>0</v>
      </c>
      <c r="M531">
        <f t="shared" si="150"/>
        <v>0</v>
      </c>
      <c r="N531">
        <f t="shared" si="151"/>
        <v>0</v>
      </c>
    </row>
    <row r="532" spans="1:14" x14ac:dyDescent="0.2">
      <c r="A532">
        <f t="shared" si="140"/>
        <v>530</v>
      </c>
      <c r="B532" s="1" t="s">
        <v>32</v>
      </c>
      <c r="C532">
        <v>13</v>
      </c>
      <c r="D532">
        <v>-4</v>
      </c>
      <c r="E532">
        <v>0</v>
      </c>
      <c r="F532">
        <v>0</v>
      </c>
      <c r="G532">
        <v>0</v>
      </c>
      <c r="H532">
        <f t="shared" si="146"/>
        <v>65535</v>
      </c>
      <c r="J532">
        <f t="shared" si="147"/>
        <v>8</v>
      </c>
      <c r="K532">
        <f t="shared" si="148"/>
        <v>0</v>
      </c>
      <c r="L532">
        <f t="shared" si="149"/>
        <v>0</v>
      </c>
      <c r="M532">
        <f t="shared" si="150"/>
        <v>0</v>
      </c>
      <c r="N532">
        <f t="shared" si="151"/>
        <v>0</v>
      </c>
    </row>
    <row r="533" spans="1:14" x14ac:dyDescent="0.2">
      <c r="A533">
        <f t="shared" si="140"/>
        <v>531</v>
      </c>
      <c r="B533" s="1" t="s">
        <v>33</v>
      </c>
      <c r="C533">
        <v>13</v>
      </c>
      <c r="D533">
        <v>-4</v>
      </c>
      <c r="E533">
        <v>0</v>
      </c>
      <c r="F533">
        <v>0</v>
      </c>
      <c r="G533">
        <v>0</v>
      </c>
      <c r="H533">
        <f t="shared" si="146"/>
        <v>493</v>
      </c>
      <c r="I533" s="1" t="s">
        <v>112</v>
      </c>
      <c r="J533">
        <f t="shared" si="147"/>
        <v>8</v>
      </c>
      <c r="K533">
        <f t="shared" si="148"/>
        <v>0</v>
      </c>
      <c r="L533">
        <f t="shared" si="149"/>
        <v>0</v>
      </c>
      <c r="M533">
        <f t="shared" si="150"/>
        <v>0</v>
      </c>
      <c r="N533">
        <f t="shared" si="151"/>
        <v>0</v>
      </c>
    </row>
    <row r="534" spans="1:14" x14ac:dyDescent="0.2">
      <c r="A534">
        <f t="shared" si="140"/>
        <v>532</v>
      </c>
      <c r="B534" s="1" t="s">
        <v>38</v>
      </c>
      <c r="C534">
        <v>13</v>
      </c>
      <c r="D534">
        <v>-4</v>
      </c>
      <c r="E534">
        <v>0</v>
      </c>
      <c r="F534">
        <v>0</v>
      </c>
      <c r="G534">
        <v>0</v>
      </c>
      <c r="H534">
        <f t="shared" si="146"/>
        <v>65535</v>
      </c>
      <c r="J534">
        <f t="shared" si="147"/>
        <v>8</v>
      </c>
      <c r="K534">
        <f t="shared" si="148"/>
        <v>0</v>
      </c>
      <c r="L534">
        <f t="shared" si="149"/>
        <v>0</v>
      </c>
      <c r="M534">
        <f t="shared" si="150"/>
        <v>0</v>
      </c>
      <c r="N534">
        <f t="shared" si="151"/>
        <v>0</v>
      </c>
    </row>
    <row r="535" spans="1:14" x14ac:dyDescent="0.2">
      <c r="A535">
        <f t="shared" si="140"/>
        <v>533</v>
      </c>
      <c r="B535" s="1" t="s">
        <v>41</v>
      </c>
      <c r="C535">
        <v>13</v>
      </c>
      <c r="D535">
        <v>-4</v>
      </c>
      <c r="E535">
        <v>0</v>
      </c>
      <c r="F535">
        <v>0</v>
      </c>
      <c r="G535">
        <v>0</v>
      </c>
      <c r="H535">
        <f t="shared" si="146"/>
        <v>65535</v>
      </c>
      <c r="J535">
        <f t="shared" si="147"/>
        <v>8</v>
      </c>
      <c r="K535">
        <f t="shared" si="148"/>
        <v>0</v>
      </c>
      <c r="L535">
        <f t="shared" si="149"/>
        <v>0</v>
      </c>
      <c r="M535">
        <f t="shared" si="150"/>
        <v>0</v>
      </c>
      <c r="N535">
        <f t="shared" si="151"/>
        <v>0</v>
      </c>
    </row>
    <row r="536" spans="1:14" x14ac:dyDescent="0.2">
      <c r="A536">
        <f t="shared" si="140"/>
        <v>534</v>
      </c>
      <c r="B536" s="1" t="s">
        <v>40</v>
      </c>
      <c r="C536">
        <v>15</v>
      </c>
      <c r="D536">
        <v>0</v>
      </c>
      <c r="E536">
        <v>0</v>
      </c>
      <c r="F536">
        <v>0</v>
      </c>
      <c r="G536">
        <v>0</v>
      </c>
      <c r="H536">
        <f t="shared" si="146"/>
        <v>65535</v>
      </c>
      <c r="J536">
        <f t="shared" si="147"/>
        <v>8</v>
      </c>
      <c r="K536">
        <f t="shared" si="148"/>
        <v>0</v>
      </c>
      <c r="L536">
        <f t="shared" si="149"/>
        <v>0</v>
      </c>
      <c r="M536">
        <f t="shared" si="150"/>
        <v>0</v>
      </c>
      <c r="N536">
        <f t="shared" si="151"/>
        <v>0</v>
      </c>
    </row>
    <row r="537" spans="1:14" x14ac:dyDescent="0.2">
      <c r="A537">
        <f t="shared" si="140"/>
        <v>535</v>
      </c>
      <c r="B537" s="1" t="s">
        <v>39</v>
      </c>
      <c r="C537">
        <v>13</v>
      </c>
      <c r="D537">
        <v>0</v>
      </c>
      <c r="E537">
        <v>0</v>
      </c>
      <c r="F537">
        <v>0</v>
      </c>
      <c r="G537">
        <v>0</v>
      </c>
      <c r="H537">
        <f t="shared" si="146"/>
        <v>65535</v>
      </c>
      <c r="J537">
        <f t="shared" si="147"/>
        <v>8</v>
      </c>
      <c r="K537">
        <f t="shared" si="148"/>
        <v>0</v>
      </c>
      <c r="L537">
        <f t="shared" si="149"/>
        <v>0</v>
      </c>
      <c r="M537">
        <f t="shared" si="150"/>
        <v>0</v>
      </c>
      <c r="N537">
        <f t="shared" si="151"/>
        <v>0</v>
      </c>
    </row>
    <row r="538" spans="1:14" x14ac:dyDescent="0.2">
      <c r="A538">
        <f t="shared" si="140"/>
        <v>536</v>
      </c>
      <c r="B538" s="1" t="s">
        <v>115</v>
      </c>
      <c r="C538">
        <v>13</v>
      </c>
      <c r="D538">
        <v>0</v>
      </c>
      <c r="E538">
        <v>0</v>
      </c>
      <c r="F538">
        <v>0</v>
      </c>
      <c r="G538">
        <v>0</v>
      </c>
      <c r="H538">
        <f t="shared" si="146"/>
        <v>65535</v>
      </c>
      <c r="J538">
        <f t="shared" si="147"/>
        <v>9</v>
      </c>
      <c r="K538">
        <f t="shared" si="148"/>
        <v>0</v>
      </c>
      <c r="L538">
        <f t="shared" si="149"/>
        <v>0</v>
      </c>
      <c r="M538">
        <f t="shared" si="150"/>
        <v>0</v>
      </c>
      <c r="N538">
        <f t="shared" si="151"/>
        <v>0</v>
      </c>
    </row>
    <row r="539" spans="1:14" x14ac:dyDescent="0.2">
      <c r="A539">
        <f t="shared" si="140"/>
        <v>537</v>
      </c>
      <c r="B539" s="1" t="s">
        <v>116</v>
      </c>
      <c r="C539">
        <v>13</v>
      </c>
      <c r="D539">
        <v>4</v>
      </c>
      <c r="E539">
        <v>0</v>
      </c>
      <c r="F539">
        <v>0</v>
      </c>
      <c r="G539">
        <v>0</v>
      </c>
      <c r="H539">
        <f t="shared" si="146"/>
        <v>65535</v>
      </c>
      <c r="J539">
        <f t="shared" si="147"/>
        <v>8</v>
      </c>
      <c r="K539">
        <f t="shared" si="148"/>
        <v>0</v>
      </c>
      <c r="L539">
        <f t="shared" si="149"/>
        <v>0</v>
      </c>
      <c r="M539">
        <f t="shared" si="150"/>
        <v>0</v>
      </c>
      <c r="N539">
        <f t="shared" si="151"/>
        <v>0</v>
      </c>
    </row>
    <row r="540" spans="1:14" x14ac:dyDescent="0.2">
      <c r="A540">
        <f t="shared" si="140"/>
        <v>538</v>
      </c>
      <c r="B540" s="1" t="s">
        <v>117</v>
      </c>
      <c r="C540">
        <v>13</v>
      </c>
      <c r="D540">
        <v>3</v>
      </c>
      <c r="E540">
        <v>0</v>
      </c>
      <c r="F540">
        <v>0</v>
      </c>
      <c r="G540">
        <v>0</v>
      </c>
      <c r="H540">
        <f t="shared" si="146"/>
        <v>65535</v>
      </c>
      <c r="J540">
        <f t="shared" si="147"/>
        <v>8</v>
      </c>
      <c r="K540">
        <f t="shared" si="148"/>
        <v>0</v>
      </c>
      <c r="L540">
        <f t="shared" si="149"/>
        <v>0</v>
      </c>
      <c r="M540">
        <f t="shared" si="150"/>
        <v>0</v>
      </c>
      <c r="N540">
        <f t="shared" si="151"/>
        <v>0</v>
      </c>
    </row>
    <row r="541" spans="1:14" x14ac:dyDescent="0.2">
      <c r="A541">
        <f t="shared" si="140"/>
        <v>539</v>
      </c>
      <c r="B541" s="1" t="s">
        <v>118</v>
      </c>
      <c r="C541">
        <v>13</v>
      </c>
      <c r="D541">
        <v>2</v>
      </c>
      <c r="E541">
        <v>0</v>
      </c>
      <c r="F541">
        <v>0</v>
      </c>
      <c r="G541">
        <v>0</v>
      </c>
      <c r="H541">
        <f t="shared" si="146"/>
        <v>65535</v>
      </c>
      <c r="J541">
        <f t="shared" si="147"/>
        <v>8</v>
      </c>
      <c r="K541">
        <f t="shared" si="148"/>
        <v>0</v>
      </c>
      <c r="L541">
        <f t="shared" si="149"/>
        <v>0</v>
      </c>
      <c r="M541">
        <f t="shared" si="150"/>
        <v>0</v>
      </c>
      <c r="N541">
        <f t="shared" si="151"/>
        <v>0</v>
      </c>
    </row>
    <row r="542" spans="1:14" x14ac:dyDescent="0.2">
      <c r="A542">
        <f t="shared" si="140"/>
        <v>540</v>
      </c>
      <c r="B542" s="1" t="s">
        <v>119</v>
      </c>
      <c r="C542">
        <v>13</v>
      </c>
      <c r="D542">
        <v>-2</v>
      </c>
      <c r="E542">
        <v>0</v>
      </c>
      <c r="F542">
        <v>0</v>
      </c>
      <c r="G542">
        <v>0</v>
      </c>
      <c r="H542">
        <f t="shared" si="146"/>
        <v>65535</v>
      </c>
      <c r="J542">
        <f t="shared" si="147"/>
        <v>8</v>
      </c>
      <c r="K542">
        <f t="shared" si="148"/>
        <v>0</v>
      </c>
      <c r="L542">
        <f t="shared" si="149"/>
        <v>0</v>
      </c>
      <c r="M542">
        <f t="shared" si="150"/>
        <v>0</v>
      </c>
      <c r="N542">
        <f t="shared" si="151"/>
        <v>0</v>
      </c>
    </row>
    <row r="543" spans="1:14" x14ac:dyDescent="0.2">
      <c r="A543">
        <f t="shared" si="140"/>
        <v>541</v>
      </c>
      <c r="B543" s="1" t="s">
        <v>120</v>
      </c>
      <c r="C543">
        <v>14</v>
      </c>
      <c r="D543">
        <v>-3</v>
      </c>
      <c r="E543">
        <v>0</v>
      </c>
      <c r="F543">
        <v>0</v>
      </c>
      <c r="G543">
        <v>0</v>
      </c>
      <c r="H543">
        <f t="shared" si="146"/>
        <v>65535</v>
      </c>
      <c r="J543">
        <f t="shared" si="147"/>
        <v>8</v>
      </c>
      <c r="K543">
        <f t="shared" si="148"/>
        <v>0</v>
      </c>
      <c r="L543">
        <f t="shared" si="149"/>
        <v>0</v>
      </c>
      <c r="M543">
        <f t="shared" si="150"/>
        <v>0</v>
      </c>
      <c r="N543">
        <f t="shared" si="151"/>
        <v>0</v>
      </c>
    </row>
    <row r="544" spans="1:14" x14ac:dyDescent="0.2">
      <c r="A544">
        <f t="shared" si="140"/>
        <v>542</v>
      </c>
      <c r="B544" s="1" t="s">
        <v>121</v>
      </c>
      <c r="C544">
        <v>13</v>
      </c>
      <c r="D544">
        <v>-4</v>
      </c>
      <c r="E544">
        <v>0</v>
      </c>
      <c r="F544">
        <v>0</v>
      </c>
      <c r="G544">
        <v>0</v>
      </c>
      <c r="H544">
        <f t="shared" si="146"/>
        <v>65535</v>
      </c>
      <c r="J544">
        <f t="shared" si="147"/>
        <v>8</v>
      </c>
      <c r="K544">
        <f t="shared" si="148"/>
        <v>0</v>
      </c>
      <c r="L544">
        <f t="shared" si="149"/>
        <v>0</v>
      </c>
      <c r="M544">
        <f t="shared" si="150"/>
        <v>0</v>
      </c>
      <c r="N544">
        <f t="shared" si="151"/>
        <v>0</v>
      </c>
    </row>
    <row r="545" spans="1:14" x14ac:dyDescent="0.2">
      <c r="A545">
        <f t="shared" ref="A545:A608" si="152">A544+1</f>
        <v>543</v>
      </c>
      <c r="B545" s="1" t="s">
        <v>193</v>
      </c>
      <c r="C545">
        <v>13</v>
      </c>
      <c r="D545">
        <v>1</v>
      </c>
      <c r="E545">
        <v>0</v>
      </c>
      <c r="F545">
        <v>0</v>
      </c>
      <c r="G545">
        <v>0</v>
      </c>
      <c r="H545">
        <f t="shared" si="146"/>
        <v>65535</v>
      </c>
      <c r="J545">
        <f t="shared" si="147"/>
        <v>8</v>
      </c>
      <c r="K545">
        <f t="shared" si="148"/>
        <v>0</v>
      </c>
      <c r="L545">
        <f t="shared" si="149"/>
        <v>0</v>
      </c>
      <c r="M545">
        <f t="shared" si="150"/>
        <v>0</v>
      </c>
      <c r="N545">
        <f t="shared" si="151"/>
        <v>0</v>
      </c>
    </row>
    <row r="546" spans="1:14" x14ac:dyDescent="0.2">
      <c r="A546">
        <f t="shared" si="152"/>
        <v>544</v>
      </c>
      <c r="B546" s="1" t="s">
        <v>194</v>
      </c>
      <c r="C546">
        <v>15</v>
      </c>
      <c r="D546">
        <v>0</v>
      </c>
      <c r="E546">
        <v>0</v>
      </c>
      <c r="F546">
        <v>0</v>
      </c>
      <c r="G546">
        <v>0</v>
      </c>
      <c r="H546">
        <f t="shared" si="146"/>
        <v>65535</v>
      </c>
      <c r="J546">
        <f t="shared" si="147"/>
        <v>8</v>
      </c>
      <c r="K546">
        <f t="shared" si="148"/>
        <v>0</v>
      </c>
      <c r="L546">
        <f t="shared" si="149"/>
        <v>0</v>
      </c>
      <c r="M546">
        <f t="shared" si="150"/>
        <v>0</v>
      </c>
      <c r="N546">
        <f t="shared" si="151"/>
        <v>0</v>
      </c>
    </row>
    <row r="547" spans="1:14" x14ac:dyDescent="0.2">
      <c r="A547">
        <f t="shared" si="152"/>
        <v>545</v>
      </c>
      <c r="B547" s="1" t="s">
        <v>195</v>
      </c>
      <c r="C547">
        <v>13</v>
      </c>
      <c r="D547">
        <v>-1</v>
      </c>
      <c r="E547">
        <v>0</v>
      </c>
      <c r="F547">
        <v>0</v>
      </c>
      <c r="G547">
        <v>0</v>
      </c>
      <c r="H547">
        <f t="shared" si="146"/>
        <v>65535</v>
      </c>
      <c r="J547">
        <f t="shared" si="147"/>
        <v>8</v>
      </c>
      <c r="K547">
        <f t="shared" si="148"/>
        <v>0</v>
      </c>
      <c r="L547">
        <f t="shared" si="149"/>
        <v>0</v>
      </c>
      <c r="M547">
        <f t="shared" si="150"/>
        <v>0</v>
      </c>
      <c r="N547">
        <f t="shared" si="151"/>
        <v>0</v>
      </c>
    </row>
    <row r="548" spans="1:14" x14ac:dyDescent="0.2">
      <c r="A548">
        <f t="shared" si="152"/>
        <v>546</v>
      </c>
      <c r="B548" s="1" t="s">
        <v>122</v>
      </c>
      <c r="C548">
        <v>12</v>
      </c>
      <c r="D548" s="3">
        <v>4</v>
      </c>
      <c r="E548">
        <v>0</v>
      </c>
      <c r="F548">
        <v>0</v>
      </c>
      <c r="G548">
        <v>0</v>
      </c>
      <c r="H548">
        <f t="shared" si="146"/>
        <v>65535</v>
      </c>
      <c r="J548">
        <f t="shared" si="147"/>
        <v>8</v>
      </c>
      <c r="K548">
        <f t="shared" si="148"/>
        <v>0</v>
      </c>
      <c r="L548">
        <f t="shared" si="149"/>
        <v>0</v>
      </c>
      <c r="M548">
        <f t="shared" si="150"/>
        <v>0</v>
      </c>
      <c r="N548">
        <f t="shared" si="151"/>
        <v>0</v>
      </c>
    </row>
    <row r="549" spans="1:14" x14ac:dyDescent="0.2">
      <c r="A549">
        <f t="shared" si="152"/>
        <v>547</v>
      </c>
      <c r="B549" s="1" t="s">
        <v>123</v>
      </c>
      <c r="C549">
        <v>12</v>
      </c>
      <c r="D549">
        <v>3</v>
      </c>
      <c r="E549">
        <v>0</v>
      </c>
      <c r="F549">
        <v>0</v>
      </c>
      <c r="G549">
        <v>0</v>
      </c>
      <c r="H549">
        <f t="shared" si="146"/>
        <v>65535</v>
      </c>
      <c r="J549">
        <f t="shared" si="147"/>
        <v>8</v>
      </c>
      <c r="K549">
        <f t="shared" si="148"/>
        <v>0</v>
      </c>
      <c r="L549">
        <f t="shared" si="149"/>
        <v>0</v>
      </c>
      <c r="M549">
        <f t="shared" si="150"/>
        <v>0</v>
      </c>
      <c r="N549">
        <f t="shared" si="151"/>
        <v>0</v>
      </c>
    </row>
    <row r="550" spans="1:14" x14ac:dyDescent="0.2">
      <c r="A550">
        <f t="shared" si="152"/>
        <v>548</v>
      </c>
      <c r="B550" s="1" t="s">
        <v>124</v>
      </c>
      <c r="C550">
        <v>12</v>
      </c>
      <c r="D550">
        <v>2</v>
      </c>
      <c r="E550">
        <v>0</v>
      </c>
      <c r="F550">
        <v>0</v>
      </c>
      <c r="G550">
        <v>0</v>
      </c>
      <c r="H550">
        <f t="shared" si="146"/>
        <v>65535</v>
      </c>
      <c r="J550">
        <f t="shared" si="147"/>
        <v>8</v>
      </c>
      <c r="K550">
        <f t="shared" si="148"/>
        <v>0</v>
      </c>
      <c r="L550">
        <f t="shared" si="149"/>
        <v>0</v>
      </c>
      <c r="M550">
        <f t="shared" si="150"/>
        <v>0</v>
      </c>
      <c r="N550">
        <f t="shared" si="151"/>
        <v>0</v>
      </c>
    </row>
    <row r="551" spans="1:14" x14ac:dyDescent="0.2">
      <c r="A551">
        <f t="shared" si="152"/>
        <v>549</v>
      </c>
      <c r="B551" s="1" t="s">
        <v>125</v>
      </c>
      <c r="C551">
        <v>12</v>
      </c>
      <c r="D551">
        <v>1</v>
      </c>
      <c r="E551">
        <v>0</v>
      </c>
      <c r="F551">
        <v>0</v>
      </c>
      <c r="G551">
        <v>0</v>
      </c>
      <c r="H551">
        <f t="shared" si="146"/>
        <v>65535</v>
      </c>
      <c r="J551">
        <f t="shared" si="147"/>
        <v>8</v>
      </c>
      <c r="K551">
        <f t="shared" si="148"/>
        <v>0</v>
      </c>
      <c r="L551">
        <f t="shared" si="149"/>
        <v>0</v>
      </c>
      <c r="M551">
        <f t="shared" si="150"/>
        <v>0</v>
      </c>
      <c r="N551">
        <f t="shared" si="151"/>
        <v>0</v>
      </c>
    </row>
    <row r="552" spans="1:14" x14ac:dyDescent="0.2">
      <c r="A552">
        <f t="shared" si="152"/>
        <v>550</v>
      </c>
      <c r="B552" s="1" t="s">
        <v>126</v>
      </c>
      <c r="C552">
        <v>13</v>
      </c>
      <c r="D552">
        <v>-1</v>
      </c>
      <c r="E552">
        <v>0</v>
      </c>
      <c r="F552">
        <v>0</v>
      </c>
      <c r="G552">
        <v>0</v>
      </c>
      <c r="H552">
        <f t="shared" si="146"/>
        <v>65535</v>
      </c>
      <c r="J552">
        <f t="shared" si="147"/>
        <v>8</v>
      </c>
      <c r="K552">
        <f t="shared" si="148"/>
        <v>0</v>
      </c>
      <c r="L552">
        <f t="shared" si="149"/>
        <v>0</v>
      </c>
      <c r="M552">
        <f t="shared" si="150"/>
        <v>0</v>
      </c>
      <c r="N552">
        <f t="shared" si="151"/>
        <v>0</v>
      </c>
    </row>
    <row r="553" spans="1:14" x14ac:dyDescent="0.2">
      <c r="A553">
        <f t="shared" si="152"/>
        <v>551</v>
      </c>
      <c r="B553" s="1" t="s">
        <v>127</v>
      </c>
      <c r="C553">
        <v>13</v>
      </c>
      <c r="D553">
        <v>-1</v>
      </c>
      <c r="E553">
        <v>0</v>
      </c>
      <c r="F553">
        <v>0</v>
      </c>
      <c r="G553">
        <v>0</v>
      </c>
      <c r="H553">
        <f t="shared" si="146"/>
        <v>493</v>
      </c>
      <c r="I553" s="1" t="s">
        <v>112</v>
      </c>
      <c r="J553">
        <f t="shared" si="147"/>
        <v>8</v>
      </c>
      <c r="K553">
        <f t="shared" si="148"/>
        <v>0</v>
      </c>
      <c r="L553">
        <f t="shared" si="149"/>
        <v>0</v>
      </c>
      <c r="M553">
        <f t="shared" si="150"/>
        <v>0</v>
      </c>
      <c r="N553">
        <f t="shared" si="151"/>
        <v>0</v>
      </c>
    </row>
    <row r="554" spans="1:14" x14ac:dyDescent="0.2">
      <c r="A554">
        <f t="shared" si="152"/>
        <v>552</v>
      </c>
      <c r="B554" s="1" t="s">
        <v>6</v>
      </c>
      <c r="C554">
        <v>12</v>
      </c>
      <c r="D554">
        <v>3</v>
      </c>
      <c r="E554">
        <v>0</v>
      </c>
      <c r="F554">
        <v>0</v>
      </c>
      <c r="G554">
        <v>0</v>
      </c>
      <c r="H554">
        <f t="shared" si="146"/>
        <v>65535</v>
      </c>
      <c r="J554">
        <f t="shared" si="147"/>
        <v>8</v>
      </c>
      <c r="K554">
        <f t="shared" si="148"/>
        <v>0</v>
      </c>
      <c r="L554">
        <f t="shared" si="149"/>
        <v>0</v>
      </c>
      <c r="M554">
        <f t="shared" si="150"/>
        <v>0</v>
      </c>
      <c r="N554">
        <f t="shared" si="151"/>
        <v>0</v>
      </c>
    </row>
    <row r="555" spans="1:14" x14ac:dyDescent="0.2">
      <c r="A555">
        <f t="shared" si="152"/>
        <v>553</v>
      </c>
      <c r="B555" s="1" t="s">
        <v>13</v>
      </c>
      <c r="C555">
        <v>12</v>
      </c>
      <c r="D555">
        <v>3</v>
      </c>
      <c r="E555">
        <v>0</v>
      </c>
      <c r="F555">
        <v>0</v>
      </c>
      <c r="G555">
        <v>0</v>
      </c>
      <c r="H555">
        <f t="shared" si="146"/>
        <v>65535</v>
      </c>
      <c r="J555">
        <f t="shared" si="147"/>
        <v>8</v>
      </c>
      <c r="K555">
        <f t="shared" si="148"/>
        <v>0</v>
      </c>
      <c r="L555">
        <f t="shared" si="149"/>
        <v>0</v>
      </c>
      <c r="M555">
        <f t="shared" si="150"/>
        <v>0</v>
      </c>
      <c r="N555">
        <f t="shared" si="151"/>
        <v>0</v>
      </c>
    </row>
    <row r="556" spans="1:14" x14ac:dyDescent="0.2">
      <c r="A556">
        <f t="shared" si="152"/>
        <v>554</v>
      </c>
      <c r="B556" s="1" t="s">
        <v>14</v>
      </c>
      <c r="C556">
        <v>12</v>
      </c>
      <c r="D556">
        <v>2</v>
      </c>
      <c r="E556">
        <v>5</v>
      </c>
      <c r="F556">
        <v>2</v>
      </c>
      <c r="G556">
        <v>0</v>
      </c>
      <c r="H556">
        <f t="shared" si="146"/>
        <v>65535</v>
      </c>
      <c r="J556">
        <f t="shared" si="147"/>
        <v>8</v>
      </c>
      <c r="K556">
        <f t="shared" si="148"/>
        <v>0</v>
      </c>
      <c r="L556">
        <f t="shared" si="149"/>
        <v>0</v>
      </c>
      <c r="M556">
        <f t="shared" si="150"/>
        <v>0</v>
      </c>
      <c r="N556">
        <f t="shared" si="151"/>
        <v>0</v>
      </c>
    </row>
    <row r="557" spans="1:14" x14ac:dyDescent="0.2">
      <c r="A557">
        <f t="shared" si="152"/>
        <v>555</v>
      </c>
      <c r="B557" s="1" t="s">
        <v>15</v>
      </c>
      <c r="C557">
        <v>12</v>
      </c>
      <c r="D557">
        <v>1</v>
      </c>
      <c r="E557">
        <v>5</v>
      </c>
      <c r="F557">
        <v>2</v>
      </c>
      <c r="G557">
        <v>1</v>
      </c>
      <c r="H557">
        <f t="shared" si="146"/>
        <v>65535</v>
      </c>
      <c r="J557">
        <f t="shared" ref="J557:J588" si="153">C557-C173</f>
        <v>8</v>
      </c>
      <c r="K557">
        <f t="shared" ref="K557:K588" si="154">D557-D173</f>
        <v>0</v>
      </c>
      <c r="L557">
        <f t="shared" ref="L557:L588" si="155">E557+E173</f>
        <v>0</v>
      </c>
      <c r="M557">
        <f t="shared" ref="M557:M588" si="156">F557+F173</f>
        <v>0</v>
      </c>
      <c r="N557">
        <f t="shared" ref="N557:N588" si="157">G557+G173</f>
        <v>0</v>
      </c>
    </row>
    <row r="558" spans="1:14" x14ac:dyDescent="0.2">
      <c r="A558">
        <f t="shared" si="152"/>
        <v>556</v>
      </c>
      <c r="B558" s="1" t="s">
        <v>16</v>
      </c>
      <c r="C558">
        <v>12</v>
      </c>
      <c r="D558">
        <v>0</v>
      </c>
      <c r="E558">
        <v>5</v>
      </c>
      <c r="F558">
        <v>2</v>
      </c>
      <c r="G558">
        <v>0</v>
      </c>
      <c r="H558">
        <f t="shared" si="146"/>
        <v>65535</v>
      </c>
      <c r="J558">
        <f t="shared" si="153"/>
        <v>8</v>
      </c>
      <c r="K558">
        <f t="shared" si="154"/>
        <v>0</v>
      </c>
      <c r="L558">
        <f t="shared" si="155"/>
        <v>0</v>
      </c>
      <c r="M558">
        <f t="shared" si="156"/>
        <v>0</v>
      </c>
      <c r="N558">
        <f t="shared" si="157"/>
        <v>0</v>
      </c>
    </row>
    <row r="559" spans="1:14" x14ac:dyDescent="0.2">
      <c r="A559">
        <f t="shared" si="152"/>
        <v>557</v>
      </c>
      <c r="B559" s="1" t="s">
        <v>17</v>
      </c>
      <c r="C559">
        <v>13</v>
      </c>
      <c r="D559">
        <v>-1</v>
      </c>
      <c r="E559">
        <v>5</v>
      </c>
      <c r="F559">
        <v>2</v>
      </c>
      <c r="G559">
        <v>1</v>
      </c>
      <c r="H559">
        <f t="shared" si="146"/>
        <v>493</v>
      </c>
      <c r="I559" s="1" t="s">
        <v>112</v>
      </c>
      <c r="J559">
        <f t="shared" si="153"/>
        <v>8</v>
      </c>
      <c r="K559">
        <f t="shared" si="154"/>
        <v>0</v>
      </c>
      <c r="L559">
        <f t="shared" si="155"/>
        <v>0</v>
      </c>
      <c r="M559">
        <f t="shared" si="156"/>
        <v>0</v>
      </c>
      <c r="N559">
        <f t="shared" si="157"/>
        <v>0</v>
      </c>
    </row>
    <row r="560" spans="1:14" x14ac:dyDescent="0.2">
      <c r="A560">
        <f t="shared" si="152"/>
        <v>558</v>
      </c>
      <c r="B560" s="1" t="s">
        <v>128</v>
      </c>
      <c r="C560">
        <v>12</v>
      </c>
      <c r="D560">
        <v>0</v>
      </c>
      <c r="E560">
        <v>5</v>
      </c>
      <c r="F560">
        <v>0</v>
      </c>
      <c r="G560">
        <v>1</v>
      </c>
      <c r="H560">
        <f t="shared" si="146"/>
        <v>65535</v>
      </c>
      <c r="J560">
        <f t="shared" si="153"/>
        <v>8</v>
      </c>
      <c r="K560">
        <f t="shared" si="154"/>
        <v>0</v>
      </c>
      <c r="L560">
        <f t="shared" si="155"/>
        <v>0</v>
      </c>
      <c r="M560">
        <f t="shared" si="156"/>
        <v>0</v>
      </c>
      <c r="N560">
        <f t="shared" si="157"/>
        <v>0</v>
      </c>
    </row>
    <row r="561" spans="1:14" x14ac:dyDescent="0.2">
      <c r="A561">
        <f t="shared" si="152"/>
        <v>559</v>
      </c>
      <c r="B561" s="1" t="s">
        <v>129</v>
      </c>
      <c r="C561">
        <v>12</v>
      </c>
      <c r="D561">
        <v>4</v>
      </c>
      <c r="E561">
        <v>5</v>
      </c>
      <c r="F561">
        <v>2</v>
      </c>
      <c r="G561">
        <v>0</v>
      </c>
      <c r="H561">
        <f t="shared" si="146"/>
        <v>65535</v>
      </c>
      <c r="J561">
        <f t="shared" si="153"/>
        <v>8</v>
      </c>
      <c r="K561">
        <f t="shared" si="154"/>
        <v>0</v>
      </c>
      <c r="L561">
        <f t="shared" si="155"/>
        <v>0</v>
      </c>
      <c r="M561">
        <f t="shared" si="156"/>
        <v>0</v>
      </c>
      <c r="N561">
        <f t="shared" si="157"/>
        <v>0</v>
      </c>
    </row>
    <row r="562" spans="1:14" x14ac:dyDescent="0.2">
      <c r="A562">
        <f t="shared" si="152"/>
        <v>560</v>
      </c>
      <c r="B562" s="1" t="s">
        <v>130</v>
      </c>
      <c r="C562">
        <v>12</v>
      </c>
      <c r="D562">
        <v>3</v>
      </c>
      <c r="E562">
        <v>5</v>
      </c>
      <c r="F562">
        <v>1</v>
      </c>
      <c r="G562">
        <v>1</v>
      </c>
      <c r="H562">
        <f t="shared" si="146"/>
        <v>65535</v>
      </c>
      <c r="J562">
        <f t="shared" si="153"/>
        <v>8</v>
      </c>
      <c r="K562">
        <f t="shared" si="154"/>
        <v>0</v>
      </c>
      <c r="L562">
        <f t="shared" si="155"/>
        <v>0</v>
      </c>
      <c r="M562">
        <f t="shared" si="156"/>
        <v>0</v>
      </c>
      <c r="N562">
        <f t="shared" si="157"/>
        <v>0</v>
      </c>
    </row>
    <row r="563" spans="1:14" x14ac:dyDescent="0.2">
      <c r="A563">
        <f t="shared" si="152"/>
        <v>561</v>
      </c>
      <c r="B563" s="1" t="s">
        <v>131</v>
      </c>
      <c r="C563">
        <v>12</v>
      </c>
      <c r="D563">
        <v>2</v>
      </c>
      <c r="E563">
        <v>0</v>
      </c>
      <c r="F563">
        <v>0</v>
      </c>
      <c r="G563">
        <v>0</v>
      </c>
      <c r="H563">
        <f t="shared" si="146"/>
        <v>65535</v>
      </c>
      <c r="J563">
        <f t="shared" si="153"/>
        <v>8</v>
      </c>
      <c r="K563">
        <f t="shared" si="154"/>
        <v>0</v>
      </c>
      <c r="L563">
        <f t="shared" si="155"/>
        <v>0</v>
      </c>
      <c r="M563">
        <f t="shared" si="156"/>
        <v>0</v>
      </c>
      <c r="N563">
        <f t="shared" si="157"/>
        <v>0</v>
      </c>
    </row>
    <row r="564" spans="1:14" x14ac:dyDescent="0.2">
      <c r="A564">
        <f t="shared" si="152"/>
        <v>562</v>
      </c>
      <c r="B564" s="1" t="s">
        <v>132</v>
      </c>
      <c r="C564">
        <v>12</v>
      </c>
      <c r="D564">
        <v>0</v>
      </c>
      <c r="E564">
        <v>5</v>
      </c>
      <c r="F564">
        <v>1</v>
      </c>
      <c r="G564">
        <v>1</v>
      </c>
      <c r="H564">
        <f t="shared" si="146"/>
        <v>65535</v>
      </c>
      <c r="J564">
        <f t="shared" si="153"/>
        <v>8</v>
      </c>
      <c r="K564">
        <f t="shared" si="154"/>
        <v>0</v>
      </c>
      <c r="L564">
        <f t="shared" si="155"/>
        <v>0</v>
      </c>
      <c r="M564">
        <f t="shared" si="156"/>
        <v>0</v>
      </c>
      <c r="N564">
        <f t="shared" si="157"/>
        <v>0</v>
      </c>
    </row>
    <row r="565" spans="1:14" x14ac:dyDescent="0.2">
      <c r="A565">
        <f t="shared" si="152"/>
        <v>563</v>
      </c>
      <c r="B565" s="1" t="s">
        <v>133</v>
      </c>
      <c r="C565">
        <v>12</v>
      </c>
      <c r="D565">
        <v>-2</v>
      </c>
      <c r="E565">
        <v>5</v>
      </c>
      <c r="F565">
        <v>1</v>
      </c>
      <c r="G565">
        <v>0</v>
      </c>
      <c r="H565">
        <f t="shared" si="146"/>
        <v>65535</v>
      </c>
      <c r="J565">
        <f t="shared" si="153"/>
        <v>8</v>
      </c>
      <c r="K565">
        <f t="shared" si="154"/>
        <v>0</v>
      </c>
      <c r="L565">
        <f t="shared" si="155"/>
        <v>0</v>
      </c>
      <c r="M565">
        <f t="shared" si="156"/>
        <v>0</v>
      </c>
      <c r="N565">
        <f t="shared" si="157"/>
        <v>0</v>
      </c>
    </row>
    <row r="566" spans="1:14" x14ac:dyDescent="0.2">
      <c r="A566">
        <f t="shared" si="152"/>
        <v>564</v>
      </c>
      <c r="B566" s="1" t="s">
        <v>134</v>
      </c>
      <c r="C566">
        <v>14</v>
      </c>
      <c r="D566">
        <v>-3</v>
      </c>
      <c r="E566">
        <v>5</v>
      </c>
      <c r="F566">
        <v>1</v>
      </c>
      <c r="G566">
        <v>1</v>
      </c>
      <c r="H566">
        <f t="shared" si="146"/>
        <v>65535</v>
      </c>
      <c r="J566">
        <f t="shared" si="153"/>
        <v>8</v>
      </c>
      <c r="K566">
        <f t="shared" si="154"/>
        <v>0</v>
      </c>
      <c r="L566">
        <f t="shared" si="155"/>
        <v>0</v>
      </c>
      <c r="M566">
        <f t="shared" si="156"/>
        <v>0</v>
      </c>
      <c r="N566">
        <f t="shared" si="157"/>
        <v>0</v>
      </c>
    </row>
    <row r="567" spans="1:14" x14ac:dyDescent="0.2">
      <c r="A567">
        <f t="shared" si="152"/>
        <v>565</v>
      </c>
      <c r="B567" s="1" t="s">
        <v>135</v>
      </c>
      <c r="C567">
        <v>13</v>
      </c>
      <c r="D567">
        <v>-4</v>
      </c>
      <c r="E567">
        <v>0</v>
      </c>
      <c r="F567">
        <v>0</v>
      </c>
      <c r="G567">
        <v>0</v>
      </c>
      <c r="H567">
        <f t="shared" si="146"/>
        <v>65535</v>
      </c>
      <c r="J567">
        <f t="shared" si="153"/>
        <v>8</v>
      </c>
      <c r="K567">
        <f t="shared" si="154"/>
        <v>0</v>
      </c>
      <c r="L567">
        <f t="shared" si="155"/>
        <v>0</v>
      </c>
      <c r="M567">
        <f t="shared" si="156"/>
        <v>0</v>
      </c>
      <c r="N567">
        <f t="shared" si="157"/>
        <v>0</v>
      </c>
    </row>
    <row r="568" spans="1:14" x14ac:dyDescent="0.2">
      <c r="A568">
        <f t="shared" si="152"/>
        <v>566</v>
      </c>
      <c r="B568" s="1" t="s">
        <v>136</v>
      </c>
      <c r="C568">
        <v>12</v>
      </c>
      <c r="D568" s="2">
        <v>0</v>
      </c>
      <c r="E568">
        <v>5</v>
      </c>
      <c r="F568">
        <v>0</v>
      </c>
      <c r="G568">
        <v>1</v>
      </c>
      <c r="H568">
        <f t="shared" si="146"/>
        <v>65535</v>
      </c>
      <c r="J568">
        <f t="shared" si="153"/>
        <v>8</v>
      </c>
      <c r="K568">
        <f t="shared" si="154"/>
        <v>0</v>
      </c>
      <c r="L568">
        <f t="shared" si="155"/>
        <v>0</v>
      </c>
      <c r="M568">
        <f t="shared" si="156"/>
        <v>0</v>
      </c>
      <c r="N568">
        <f t="shared" si="157"/>
        <v>0</v>
      </c>
    </row>
    <row r="569" spans="1:14" x14ac:dyDescent="0.2">
      <c r="A569">
        <f t="shared" si="152"/>
        <v>567</v>
      </c>
      <c r="B569" s="1" t="s">
        <v>137</v>
      </c>
      <c r="C569">
        <v>12</v>
      </c>
      <c r="D569">
        <v>4</v>
      </c>
      <c r="E569">
        <v>5</v>
      </c>
      <c r="F569">
        <v>2</v>
      </c>
      <c r="G569">
        <v>0</v>
      </c>
      <c r="H569">
        <f t="shared" si="146"/>
        <v>65535</v>
      </c>
      <c r="J569">
        <f t="shared" si="153"/>
        <v>8</v>
      </c>
      <c r="K569">
        <f t="shared" si="154"/>
        <v>0</v>
      </c>
      <c r="L569">
        <f t="shared" si="155"/>
        <v>0</v>
      </c>
      <c r="M569">
        <f t="shared" si="156"/>
        <v>0</v>
      </c>
      <c r="N569">
        <f t="shared" si="157"/>
        <v>0</v>
      </c>
    </row>
    <row r="570" spans="1:14" x14ac:dyDescent="0.2">
      <c r="A570">
        <f t="shared" si="152"/>
        <v>568</v>
      </c>
      <c r="B570" s="1" t="s">
        <v>138</v>
      </c>
      <c r="C570">
        <v>12</v>
      </c>
      <c r="D570">
        <v>3</v>
      </c>
      <c r="E570">
        <v>5</v>
      </c>
      <c r="F570">
        <v>2</v>
      </c>
      <c r="G570">
        <v>1</v>
      </c>
      <c r="H570">
        <f t="shared" si="146"/>
        <v>65535</v>
      </c>
      <c r="J570">
        <f t="shared" si="153"/>
        <v>8</v>
      </c>
      <c r="K570">
        <f t="shared" si="154"/>
        <v>0</v>
      </c>
      <c r="L570">
        <f t="shared" si="155"/>
        <v>0</v>
      </c>
      <c r="M570">
        <f t="shared" si="156"/>
        <v>0</v>
      </c>
      <c r="N570">
        <f t="shared" si="157"/>
        <v>0</v>
      </c>
    </row>
    <row r="571" spans="1:14" x14ac:dyDescent="0.2">
      <c r="A571">
        <f t="shared" si="152"/>
        <v>569</v>
      </c>
      <c r="B571" s="1" t="s">
        <v>139</v>
      </c>
      <c r="C571">
        <v>12</v>
      </c>
      <c r="D571">
        <v>2</v>
      </c>
      <c r="E571">
        <v>5</v>
      </c>
      <c r="F571">
        <v>2</v>
      </c>
      <c r="G571">
        <v>0</v>
      </c>
      <c r="H571">
        <f t="shared" si="146"/>
        <v>65535</v>
      </c>
      <c r="J571">
        <f t="shared" si="153"/>
        <v>8</v>
      </c>
      <c r="K571">
        <f t="shared" si="154"/>
        <v>0</v>
      </c>
      <c r="L571">
        <f t="shared" si="155"/>
        <v>0</v>
      </c>
      <c r="M571">
        <f t="shared" si="156"/>
        <v>0</v>
      </c>
      <c r="N571">
        <f t="shared" si="157"/>
        <v>0</v>
      </c>
    </row>
    <row r="572" spans="1:14" x14ac:dyDescent="0.2">
      <c r="A572">
        <f t="shared" si="152"/>
        <v>570</v>
      </c>
      <c r="B572" s="1" t="s">
        <v>140</v>
      </c>
      <c r="C572">
        <v>12</v>
      </c>
      <c r="D572">
        <v>0</v>
      </c>
      <c r="E572">
        <v>5</v>
      </c>
      <c r="F572">
        <v>2</v>
      </c>
      <c r="G572">
        <v>1</v>
      </c>
      <c r="H572">
        <f t="shared" si="146"/>
        <v>65535</v>
      </c>
      <c r="J572">
        <f t="shared" si="153"/>
        <v>8</v>
      </c>
      <c r="K572">
        <f t="shared" si="154"/>
        <v>0</v>
      </c>
      <c r="L572">
        <f t="shared" si="155"/>
        <v>0</v>
      </c>
      <c r="M572">
        <f t="shared" si="156"/>
        <v>0</v>
      </c>
      <c r="N572">
        <f t="shared" si="157"/>
        <v>0</v>
      </c>
    </row>
    <row r="573" spans="1:14" x14ac:dyDescent="0.2">
      <c r="A573">
        <f t="shared" si="152"/>
        <v>571</v>
      </c>
      <c r="B573" s="1" t="s">
        <v>141</v>
      </c>
      <c r="C573">
        <v>12</v>
      </c>
      <c r="D573">
        <v>-2</v>
      </c>
      <c r="E573">
        <v>5</v>
      </c>
      <c r="F573">
        <v>2</v>
      </c>
      <c r="G573">
        <v>0</v>
      </c>
      <c r="H573">
        <f t="shared" si="146"/>
        <v>65535</v>
      </c>
      <c r="J573">
        <f t="shared" si="153"/>
        <v>8</v>
      </c>
      <c r="K573">
        <f t="shared" si="154"/>
        <v>0</v>
      </c>
      <c r="L573">
        <f t="shared" si="155"/>
        <v>0</v>
      </c>
      <c r="M573">
        <f t="shared" si="156"/>
        <v>0</v>
      </c>
      <c r="N573">
        <f t="shared" si="157"/>
        <v>0</v>
      </c>
    </row>
    <row r="574" spans="1:14" x14ac:dyDescent="0.2">
      <c r="A574">
        <f t="shared" si="152"/>
        <v>572</v>
      </c>
      <c r="B574" s="1" t="s">
        <v>142</v>
      </c>
      <c r="C574">
        <v>14</v>
      </c>
      <c r="D574">
        <v>-3</v>
      </c>
      <c r="E574">
        <v>5</v>
      </c>
      <c r="F574">
        <v>2</v>
      </c>
      <c r="G574">
        <v>1</v>
      </c>
      <c r="H574">
        <f t="shared" si="146"/>
        <v>65535</v>
      </c>
      <c r="J574">
        <f t="shared" si="153"/>
        <v>8</v>
      </c>
      <c r="K574">
        <f t="shared" si="154"/>
        <v>0</v>
      </c>
      <c r="L574">
        <f t="shared" si="155"/>
        <v>0</v>
      </c>
      <c r="M574">
        <f t="shared" si="156"/>
        <v>0</v>
      </c>
      <c r="N574">
        <f t="shared" si="157"/>
        <v>0</v>
      </c>
    </row>
    <row r="575" spans="1:14" x14ac:dyDescent="0.2">
      <c r="A575">
        <f t="shared" si="152"/>
        <v>573</v>
      </c>
      <c r="B575" s="1" t="s">
        <v>143</v>
      </c>
      <c r="C575">
        <v>13</v>
      </c>
      <c r="D575">
        <v>-4</v>
      </c>
      <c r="E575">
        <v>5</v>
      </c>
      <c r="F575">
        <v>2</v>
      </c>
      <c r="G575">
        <v>0</v>
      </c>
      <c r="H575">
        <f t="shared" si="146"/>
        <v>65535</v>
      </c>
      <c r="J575">
        <f t="shared" si="153"/>
        <v>8</v>
      </c>
      <c r="K575">
        <f t="shared" si="154"/>
        <v>0</v>
      </c>
      <c r="L575">
        <f t="shared" si="155"/>
        <v>0</v>
      </c>
      <c r="M575">
        <f t="shared" si="156"/>
        <v>0</v>
      </c>
      <c r="N575">
        <f t="shared" si="157"/>
        <v>0</v>
      </c>
    </row>
    <row r="576" spans="1:14" s="7" customFormat="1" x14ac:dyDescent="0.2">
      <c r="A576">
        <f t="shared" si="152"/>
        <v>574</v>
      </c>
      <c r="B576" s="5" t="s">
        <v>278</v>
      </c>
      <c r="C576" s="7">
        <v>12</v>
      </c>
      <c r="D576" s="7">
        <v>0</v>
      </c>
      <c r="E576" s="7">
        <v>5</v>
      </c>
      <c r="F576" s="7">
        <v>2</v>
      </c>
      <c r="G576" s="7">
        <v>1</v>
      </c>
      <c r="H576">
        <f t="shared" si="146"/>
        <v>65535</v>
      </c>
      <c r="J576">
        <f t="shared" si="153"/>
        <v>8</v>
      </c>
      <c r="K576">
        <f t="shared" si="154"/>
        <v>0</v>
      </c>
      <c r="L576">
        <f t="shared" si="155"/>
        <v>0</v>
      </c>
      <c r="M576">
        <f t="shared" si="156"/>
        <v>0</v>
      </c>
      <c r="N576">
        <f t="shared" si="157"/>
        <v>0</v>
      </c>
    </row>
    <row r="577" spans="1:14" s="4" customFormat="1" x14ac:dyDescent="0.2">
      <c r="A577">
        <f t="shared" si="152"/>
        <v>575</v>
      </c>
      <c r="B577" s="5" t="s">
        <v>279</v>
      </c>
      <c r="C577" s="4">
        <v>12</v>
      </c>
      <c r="D577" s="4">
        <v>2</v>
      </c>
      <c r="E577" s="4">
        <v>5</v>
      </c>
      <c r="F577" s="7">
        <v>2</v>
      </c>
      <c r="G577" s="4">
        <v>0</v>
      </c>
      <c r="H577">
        <f t="shared" si="146"/>
        <v>65535</v>
      </c>
      <c r="J577">
        <f t="shared" si="153"/>
        <v>8</v>
      </c>
      <c r="K577">
        <f t="shared" si="154"/>
        <v>0</v>
      </c>
      <c r="L577">
        <f t="shared" si="155"/>
        <v>0</v>
      </c>
      <c r="M577">
        <f t="shared" si="156"/>
        <v>0</v>
      </c>
      <c r="N577">
        <f t="shared" si="157"/>
        <v>0</v>
      </c>
    </row>
    <row r="578" spans="1:14" s="4" customFormat="1" x14ac:dyDescent="0.2">
      <c r="A578">
        <f t="shared" si="152"/>
        <v>576</v>
      </c>
      <c r="B578" s="5" t="s">
        <v>280</v>
      </c>
      <c r="C578" s="4">
        <v>12</v>
      </c>
      <c r="D578" s="4">
        <v>2</v>
      </c>
      <c r="E578" s="4">
        <v>5</v>
      </c>
      <c r="F578" s="7">
        <v>2</v>
      </c>
      <c r="G578" s="4">
        <v>1</v>
      </c>
      <c r="H578">
        <f t="shared" ref="H578:H641" si="158">_xlfn.XLOOKUP(I578,$B$2:$B$982,$A$2:$A$982,65535)</f>
        <v>65535</v>
      </c>
      <c r="J578">
        <f t="shared" si="153"/>
        <v>8</v>
      </c>
      <c r="K578">
        <f t="shared" si="154"/>
        <v>0</v>
      </c>
      <c r="L578">
        <f t="shared" si="155"/>
        <v>0</v>
      </c>
      <c r="M578">
        <f t="shared" si="156"/>
        <v>0</v>
      </c>
      <c r="N578">
        <f t="shared" si="157"/>
        <v>0</v>
      </c>
    </row>
    <row r="579" spans="1:14" s="4" customFormat="1" x14ac:dyDescent="0.2">
      <c r="A579">
        <f t="shared" si="152"/>
        <v>577</v>
      </c>
      <c r="B579" s="5" t="s">
        <v>281</v>
      </c>
      <c r="C579" s="4">
        <v>12</v>
      </c>
      <c r="D579" s="4">
        <v>1</v>
      </c>
      <c r="E579" s="7">
        <v>5</v>
      </c>
      <c r="F579" s="7">
        <v>2</v>
      </c>
      <c r="G579" s="4">
        <v>0</v>
      </c>
      <c r="H579">
        <f t="shared" si="158"/>
        <v>65535</v>
      </c>
      <c r="J579">
        <f t="shared" si="153"/>
        <v>8</v>
      </c>
      <c r="K579">
        <f t="shared" si="154"/>
        <v>0</v>
      </c>
      <c r="L579">
        <f t="shared" si="155"/>
        <v>0</v>
      </c>
      <c r="M579">
        <f t="shared" si="156"/>
        <v>0</v>
      </c>
      <c r="N579">
        <f t="shared" si="157"/>
        <v>0</v>
      </c>
    </row>
    <row r="580" spans="1:14" s="4" customFormat="1" x14ac:dyDescent="0.2">
      <c r="A580">
        <f t="shared" si="152"/>
        <v>578</v>
      </c>
      <c r="B580" s="5" t="s">
        <v>282</v>
      </c>
      <c r="C580" s="4">
        <v>12</v>
      </c>
      <c r="D580" s="4">
        <v>1</v>
      </c>
      <c r="E580" s="4">
        <v>5</v>
      </c>
      <c r="F580" s="7">
        <v>3</v>
      </c>
      <c r="G580" s="4">
        <v>1</v>
      </c>
      <c r="H580">
        <f t="shared" si="158"/>
        <v>65535</v>
      </c>
      <c r="J580">
        <f t="shared" si="153"/>
        <v>8</v>
      </c>
      <c r="K580">
        <f t="shared" si="154"/>
        <v>0</v>
      </c>
      <c r="L580">
        <f t="shared" si="155"/>
        <v>0</v>
      </c>
      <c r="M580">
        <f t="shared" si="156"/>
        <v>0</v>
      </c>
      <c r="N580">
        <f t="shared" si="157"/>
        <v>0</v>
      </c>
    </row>
    <row r="581" spans="1:14" s="4" customFormat="1" x14ac:dyDescent="0.2">
      <c r="A581">
        <f t="shared" si="152"/>
        <v>579</v>
      </c>
      <c r="B581" s="5" t="s">
        <v>283</v>
      </c>
      <c r="C581" s="4">
        <v>12</v>
      </c>
      <c r="D581" s="4">
        <v>0</v>
      </c>
      <c r="E581" s="4">
        <v>5</v>
      </c>
      <c r="F581" s="7">
        <v>3</v>
      </c>
      <c r="G581" s="4">
        <v>0</v>
      </c>
      <c r="H581">
        <f t="shared" si="158"/>
        <v>65535</v>
      </c>
      <c r="J581">
        <f t="shared" si="153"/>
        <v>8</v>
      </c>
      <c r="K581">
        <f t="shared" si="154"/>
        <v>0</v>
      </c>
      <c r="L581">
        <f t="shared" si="155"/>
        <v>0</v>
      </c>
      <c r="M581">
        <f t="shared" si="156"/>
        <v>0</v>
      </c>
      <c r="N581">
        <f t="shared" si="157"/>
        <v>0</v>
      </c>
    </row>
    <row r="582" spans="1:14" s="4" customFormat="1" x14ac:dyDescent="0.2">
      <c r="A582">
        <f t="shared" si="152"/>
        <v>580</v>
      </c>
      <c r="B582" s="5" t="s">
        <v>284</v>
      </c>
      <c r="C582" s="4">
        <v>12</v>
      </c>
      <c r="D582" s="4">
        <v>0</v>
      </c>
      <c r="E582" s="4">
        <v>5</v>
      </c>
      <c r="F582" s="7">
        <v>2</v>
      </c>
      <c r="G582" s="4">
        <v>1</v>
      </c>
      <c r="H582">
        <f t="shared" si="158"/>
        <v>65535</v>
      </c>
      <c r="J582">
        <f t="shared" si="153"/>
        <v>8</v>
      </c>
      <c r="K582">
        <f t="shared" si="154"/>
        <v>0</v>
      </c>
      <c r="L582">
        <f t="shared" si="155"/>
        <v>0</v>
      </c>
      <c r="M582">
        <f t="shared" si="156"/>
        <v>0</v>
      </c>
      <c r="N582">
        <f t="shared" si="157"/>
        <v>0</v>
      </c>
    </row>
    <row r="583" spans="1:14" s="4" customFormat="1" x14ac:dyDescent="0.2">
      <c r="A583">
        <f t="shared" si="152"/>
        <v>581</v>
      </c>
      <c r="B583" s="5" t="s">
        <v>285</v>
      </c>
      <c r="C583" s="4">
        <v>12</v>
      </c>
      <c r="D583" s="4">
        <v>-1</v>
      </c>
      <c r="E583" s="4">
        <v>5</v>
      </c>
      <c r="F583" s="7">
        <v>2</v>
      </c>
      <c r="G583" s="4">
        <v>0</v>
      </c>
      <c r="H583">
        <f t="shared" si="158"/>
        <v>65535</v>
      </c>
      <c r="J583">
        <f t="shared" si="153"/>
        <v>8</v>
      </c>
      <c r="K583">
        <f t="shared" si="154"/>
        <v>0</v>
      </c>
      <c r="L583">
        <f t="shared" si="155"/>
        <v>0</v>
      </c>
      <c r="M583">
        <f t="shared" si="156"/>
        <v>0</v>
      </c>
      <c r="N583">
        <f t="shared" si="157"/>
        <v>0</v>
      </c>
    </row>
    <row r="584" spans="1:14" s="4" customFormat="1" x14ac:dyDescent="0.2">
      <c r="A584">
        <f t="shared" si="152"/>
        <v>582</v>
      </c>
      <c r="B584" s="5" t="s">
        <v>286</v>
      </c>
      <c r="C584" s="4">
        <v>12</v>
      </c>
      <c r="D584" s="4">
        <v>-1</v>
      </c>
      <c r="E584" s="4">
        <v>5</v>
      </c>
      <c r="F584" s="7">
        <v>2</v>
      </c>
      <c r="G584" s="4">
        <v>1</v>
      </c>
      <c r="H584">
        <f t="shared" si="158"/>
        <v>65535</v>
      </c>
      <c r="J584">
        <f t="shared" si="153"/>
        <v>8</v>
      </c>
      <c r="K584">
        <f t="shared" si="154"/>
        <v>0</v>
      </c>
      <c r="L584">
        <f t="shared" si="155"/>
        <v>0</v>
      </c>
      <c r="M584">
        <f t="shared" si="156"/>
        <v>0</v>
      </c>
      <c r="N584">
        <f t="shared" si="157"/>
        <v>0</v>
      </c>
    </row>
    <row r="585" spans="1:14" s="4" customFormat="1" x14ac:dyDescent="0.2">
      <c r="A585">
        <f t="shared" si="152"/>
        <v>583</v>
      </c>
      <c r="B585" s="5" t="s">
        <v>287</v>
      </c>
      <c r="C585" s="4">
        <v>14</v>
      </c>
      <c r="D585" s="4">
        <v>-2</v>
      </c>
      <c r="E585" s="4">
        <v>5</v>
      </c>
      <c r="F585" s="7">
        <v>2</v>
      </c>
      <c r="G585" s="4">
        <v>0</v>
      </c>
      <c r="H585">
        <f t="shared" si="158"/>
        <v>65535</v>
      </c>
      <c r="J585">
        <f t="shared" si="153"/>
        <v>8</v>
      </c>
      <c r="K585">
        <f t="shared" si="154"/>
        <v>0</v>
      </c>
      <c r="L585">
        <f t="shared" si="155"/>
        <v>0</v>
      </c>
      <c r="M585">
        <f t="shared" si="156"/>
        <v>0</v>
      </c>
      <c r="N585">
        <f t="shared" si="157"/>
        <v>0</v>
      </c>
    </row>
    <row r="586" spans="1:14" s="4" customFormat="1" x14ac:dyDescent="0.2">
      <c r="A586">
        <f t="shared" si="152"/>
        <v>584</v>
      </c>
      <c r="B586" s="5" t="s">
        <v>288</v>
      </c>
      <c r="C586" s="4">
        <v>13</v>
      </c>
      <c r="D586" s="4">
        <v>-2</v>
      </c>
      <c r="E586" s="7">
        <v>5</v>
      </c>
      <c r="F586" s="7">
        <v>2</v>
      </c>
      <c r="G586" s="4">
        <v>1</v>
      </c>
      <c r="H586">
        <f t="shared" si="158"/>
        <v>65535</v>
      </c>
      <c r="J586">
        <f t="shared" si="153"/>
        <v>8</v>
      </c>
      <c r="K586">
        <f t="shared" si="154"/>
        <v>0</v>
      </c>
      <c r="L586">
        <f t="shared" si="155"/>
        <v>0</v>
      </c>
      <c r="M586">
        <f t="shared" si="156"/>
        <v>0</v>
      </c>
      <c r="N586">
        <f t="shared" si="157"/>
        <v>0</v>
      </c>
    </row>
    <row r="587" spans="1:14" s="2" customFormat="1" x14ac:dyDescent="0.2">
      <c r="A587">
        <f t="shared" si="152"/>
        <v>585</v>
      </c>
      <c r="B587" s="1" t="s">
        <v>289</v>
      </c>
      <c r="C587" s="2">
        <v>12</v>
      </c>
      <c r="D587" s="2">
        <v>0</v>
      </c>
      <c r="E587" s="2">
        <v>5</v>
      </c>
      <c r="F587" s="2">
        <v>2</v>
      </c>
      <c r="G587" s="2">
        <v>1</v>
      </c>
      <c r="H587">
        <f t="shared" si="158"/>
        <v>65535</v>
      </c>
      <c r="J587">
        <f t="shared" si="153"/>
        <v>8</v>
      </c>
      <c r="K587">
        <f t="shared" si="154"/>
        <v>0</v>
      </c>
      <c r="L587">
        <f t="shared" si="155"/>
        <v>0</v>
      </c>
      <c r="M587">
        <f t="shared" si="156"/>
        <v>0</v>
      </c>
      <c r="N587">
        <f t="shared" si="157"/>
        <v>0</v>
      </c>
    </row>
    <row r="588" spans="1:14" x14ac:dyDescent="0.2">
      <c r="A588">
        <f t="shared" si="152"/>
        <v>586</v>
      </c>
      <c r="B588" s="1" t="s">
        <v>290</v>
      </c>
      <c r="C588">
        <v>12</v>
      </c>
      <c r="D588">
        <v>2</v>
      </c>
      <c r="E588">
        <v>5</v>
      </c>
      <c r="F588" s="2">
        <v>2</v>
      </c>
      <c r="G588">
        <v>0</v>
      </c>
      <c r="H588">
        <f t="shared" si="158"/>
        <v>65535</v>
      </c>
      <c r="J588">
        <f t="shared" si="153"/>
        <v>8</v>
      </c>
      <c r="K588">
        <f t="shared" si="154"/>
        <v>0</v>
      </c>
      <c r="L588">
        <f t="shared" si="155"/>
        <v>0</v>
      </c>
      <c r="M588">
        <f t="shared" si="156"/>
        <v>0</v>
      </c>
      <c r="N588">
        <f t="shared" si="157"/>
        <v>0</v>
      </c>
    </row>
    <row r="589" spans="1:14" x14ac:dyDescent="0.2">
      <c r="A589">
        <f t="shared" si="152"/>
        <v>587</v>
      </c>
      <c r="B589" s="1" t="s">
        <v>291</v>
      </c>
      <c r="C589">
        <v>12</v>
      </c>
      <c r="D589">
        <v>1</v>
      </c>
      <c r="E589">
        <v>5</v>
      </c>
      <c r="F589" s="2">
        <v>2</v>
      </c>
      <c r="G589">
        <v>1</v>
      </c>
      <c r="H589">
        <f t="shared" si="158"/>
        <v>65535</v>
      </c>
      <c r="J589">
        <f t="shared" ref="J589:J620" si="159">C589-C205</f>
        <v>8</v>
      </c>
      <c r="K589">
        <f t="shared" ref="K589:K620" si="160">D589-D205</f>
        <v>0</v>
      </c>
      <c r="L589">
        <f t="shared" ref="L589:L620" si="161">E589+E205</f>
        <v>0</v>
      </c>
      <c r="M589">
        <f t="shared" ref="M589:M620" si="162">F589+F205</f>
        <v>0</v>
      </c>
      <c r="N589">
        <f t="shared" ref="N589:N620" si="163">G589+G205</f>
        <v>0</v>
      </c>
    </row>
    <row r="590" spans="1:14" x14ac:dyDescent="0.2">
      <c r="A590">
        <f t="shared" si="152"/>
        <v>588</v>
      </c>
      <c r="B590" s="1" t="s">
        <v>292</v>
      </c>
      <c r="C590">
        <v>12</v>
      </c>
      <c r="D590">
        <v>0</v>
      </c>
      <c r="E590" s="2">
        <v>5</v>
      </c>
      <c r="F590" s="2">
        <v>2</v>
      </c>
      <c r="G590">
        <v>0</v>
      </c>
      <c r="H590">
        <f t="shared" si="158"/>
        <v>65535</v>
      </c>
      <c r="J590">
        <f t="shared" si="159"/>
        <v>8</v>
      </c>
      <c r="K590">
        <f t="shared" si="160"/>
        <v>0</v>
      </c>
      <c r="L590">
        <f t="shared" si="161"/>
        <v>0</v>
      </c>
      <c r="M590">
        <f t="shared" si="162"/>
        <v>0</v>
      </c>
      <c r="N590">
        <f t="shared" si="163"/>
        <v>0</v>
      </c>
    </row>
    <row r="591" spans="1:14" x14ac:dyDescent="0.2">
      <c r="A591">
        <f t="shared" si="152"/>
        <v>589</v>
      </c>
      <c r="B591" s="1" t="s">
        <v>293</v>
      </c>
      <c r="C591">
        <v>12</v>
      </c>
      <c r="D591">
        <v>-1</v>
      </c>
      <c r="E591">
        <v>5</v>
      </c>
      <c r="F591" s="2">
        <v>3</v>
      </c>
      <c r="G591">
        <v>1</v>
      </c>
      <c r="H591">
        <f t="shared" si="158"/>
        <v>65535</v>
      </c>
      <c r="J591">
        <f t="shared" si="159"/>
        <v>8</v>
      </c>
      <c r="K591">
        <f t="shared" si="160"/>
        <v>0</v>
      </c>
      <c r="L591">
        <f t="shared" si="161"/>
        <v>0</v>
      </c>
      <c r="M591">
        <f t="shared" si="162"/>
        <v>0</v>
      </c>
      <c r="N591">
        <f t="shared" si="163"/>
        <v>0</v>
      </c>
    </row>
    <row r="592" spans="1:14" x14ac:dyDescent="0.2">
      <c r="A592">
        <f t="shared" si="152"/>
        <v>590</v>
      </c>
      <c r="B592" s="1" t="s">
        <v>294</v>
      </c>
      <c r="C592">
        <v>12</v>
      </c>
      <c r="D592">
        <v>-1</v>
      </c>
      <c r="E592">
        <v>5</v>
      </c>
      <c r="F592" s="2">
        <v>3</v>
      </c>
      <c r="G592">
        <v>0</v>
      </c>
      <c r="H592">
        <f t="shared" si="158"/>
        <v>65535</v>
      </c>
      <c r="J592">
        <f t="shared" si="159"/>
        <v>8</v>
      </c>
      <c r="K592">
        <f t="shared" si="160"/>
        <v>0</v>
      </c>
      <c r="L592">
        <f t="shared" si="161"/>
        <v>0</v>
      </c>
      <c r="M592">
        <f t="shared" si="162"/>
        <v>0</v>
      </c>
      <c r="N592">
        <f t="shared" si="163"/>
        <v>0</v>
      </c>
    </row>
    <row r="593" spans="1:14" x14ac:dyDescent="0.2">
      <c r="A593">
        <f t="shared" si="152"/>
        <v>591</v>
      </c>
      <c r="B593" s="1" t="s">
        <v>295</v>
      </c>
      <c r="C593">
        <v>12</v>
      </c>
      <c r="D593">
        <v>-2</v>
      </c>
      <c r="E593">
        <v>5</v>
      </c>
      <c r="F593" s="2">
        <v>2</v>
      </c>
      <c r="G593">
        <v>1</v>
      </c>
      <c r="H593">
        <f t="shared" si="158"/>
        <v>65535</v>
      </c>
      <c r="J593">
        <f t="shared" si="159"/>
        <v>8</v>
      </c>
      <c r="K593">
        <f t="shared" si="160"/>
        <v>0</v>
      </c>
      <c r="L593">
        <f t="shared" si="161"/>
        <v>0</v>
      </c>
      <c r="M593">
        <f t="shared" si="162"/>
        <v>0</v>
      </c>
      <c r="N593">
        <f t="shared" si="163"/>
        <v>0</v>
      </c>
    </row>
    <row r="594" spans="1:14" x14ac:dyDescent="0.2">
      <c r="A594">
        <f t="shared" si="152"/>
        <v>592</v>
      </c>
      <c r="B594" s="1" t="s">
        <v>296</v>
      </c>
      <c r="C594">
        <v>12</v>
      </c>
      <c r="D594">
        <v>-3</v>
      </c>
      <c r="E594">
        <v>5</v>
      </c>
      <c r="F594" s="2">
        <v>2</v>
      </c>
      <c r="G594">
        <v>0</v>
      </c>
      <c r="H594">
        <f t="shared" si="158"/>
        <v>65535</v>
      </c>
      <c r="J594">
        <f t="shared" si="159"/>
        <v>8</v>
      </c>
      <c r="K594">
        <f t="shared" si="160"/>
        <v>0</v>
      </c>
      <c r="L594">
        <f t="shared" si="161"/>
        <v>0</v>
      </c>
      <c r="M594">
        <f t="shared" si="162"/>
        <v>0</v>
      </c>
      <c r="N594">
        <f t="shared" si="163"/>
        <v>0</v>
      </c>
    </row>
    <row r="595" spans="1:14" x14ac:dyDescent="0.2">
      <c r="A595">
        <f t="shared" si="152"/>
        <v>593</v>
      </c>
      <c r="B595" s="1" t="s">
        <v>297</v>
      </c>
      <c r="C595">
        <v>13</v>
      </c>
      <c r="D595">
        <v>-4</v>
      </c>
      <c r="E595">
        <v>5</v>
      </c>
      <c r="F595" s="2">
        <v>2</v>
      </c>
      <c r="G595">
        <v>1</v>
      </c>
      <c r="H595">
        <f t="shared" si="158"/>
        <v>65535</v>
      </c>
      <c r="J595">
        <f t="shared" si="159"/>
        <v>8</v>
      </c>
      <c r="K595">
        <f t="shared" si="160"/>
        <v>0</v>
      </c>
      <c r="L595">
        <f t="shared" si="161"/>
        <v>0</v>
      </c>
      <c r="M595">
        <f t="shared" si="162"/>
        <v>0</v>
      </c>
      <c r="N595">
        <f t="shared" si="163"/>
        <v>0</v>
      </c>
    </row>
    <row r="596" spans="1:14" x14ac:dyDescent="0.2">
      <c r="A596">
        <f t="shared" si="152"/>
        <v>594</v>
      </c>
      <c r="B596" s="1" t="s">
        <v>298</v>
      </c>
      <c r="C596">
        <v>14</v>
      </c>
      <c r="D596">
        <v>0</v>
      </c>
      <c r="E596">
        <v>5</v>
      </c>
      <c r="F596" s="2">
        <v>2</v>
      </c>
      <c r="G596">
        <v>0</v>
      </c>
      <c r="H596">
        <f t="shared" si="158"/>
        <v>65535</v>
      </c>
      <c r="J596">
        <f t="shared" si="159"/>
        <v>8</v>
      </c>
      <c r="K596">
        <f t="shared" si="160"/>
        <v>0</v>
      </c>
      <c r="L596">
        <f t="shared" si="161"/>
        <v>0</v>
      </c>
      <c r="M596">
        <f t="shared" si="162"/>
        <v>0</v>
      </c>
      <c r="N596">
        <f t="shared" si="163"/>
        <v>0</v>
      </c>
    </row>
    <row r="597" spans="1:14" x14ac:dyDescent="0.2">
      <c r="A597">
        <f t="shared" si="152"/>
        <v>595</v>
      </c>
      <c r="B597" s="1" t="s">
        <v>299</v>
      </c>
      <c r="C597">
        <v>12</v>
      </c>
      <c r="D597">
        <v>0</v>
      </c>
      <c r="E597" s="2">
        <v>5</v>
      </c>
      <c r="F597" s="2">
        <v>2</v>
      </c>
      <c r="G597">
        <v>1</v>
      </c>
      <c r="H597">
        <f t="shared" si="158"/>
        <v>65535</v>
      </c>
      <c r="J597">
        <f t="shared" si="159"/>
        <v>8</v>
      </c>
      <c r="K597">
        <f t="shared" si="160"/>
        <v>0</v>
      </c>
      <c r="L597">
        <f t="shared" si="161"/>
        <v>0</v>
      </c>
      <c r="M597">
        <f t="shared" si="162"/>
        <v>0</v>
      </c>
      <c r="N597">
        <f t="shared" si="163"/>
        <v>0</v>
      </c>
    </row>
    <row r="598" spans="1:14" s="2" customFormat="1" x14ac:dyDescent="0.2">
      <c r="A598">
        <f t="shared" si="152"/>
        <v>596</v>
      </c>
      <c r="B598" s="1" t="s">
        <v>573</v>
      </c>
      <c r="C598" s="2">
        <v>12</v>
      </c>
      <c r="D598" s="2">
        <v>0</v>
      </c>
      <c r="E598" s="2">
        <v>5</v>
      </c>
      <c r="F598" s="2">
        <v>2</v>
      </c>
      <c r="G598" s="2">
        <v>1</v>
      </c>
      <c r="H598">
        <f t="shared" si="158"/>
        <v>65535</v>
      </c>
      <c r="J598">
        <f t="shared" si="159"/>
        <v>8</v>
      </c>
      <c r="K598">
        <f t="shared" si="160"/>
        <v>0</v>
      </c>
      <c r="L598">
        <f t="shared" si="161"/>
        <v>0</v>
      </c>
      <c r="M598">
        <f t="shared" si="162"/>
        <v>0</v>
      </c>
      <c r="N598">
        <f t="shared" si="163"/>
        <v>0</v>
      </c>
    </row>
    <row r="599" spans="1:14" x14ac:dyDescent="0.2">
      <c r="A599">
        <f t="shared" si="152"/>
        <v>597</v>
      </c>
      <c r="B599" s="1" t="s">
        <v>574</v>
      </c>
      <c r="C599">
        <v>12</v>
      </c>
      <c r="D599">
        <v>2</v>
      </c>
      <c r="E599">
        <v>5</v>
      </c>
      <c r="F599" s="2">
        <v>2</v>
      </c>
      <c r="G599">
        <v>0</v>
      </c>
      <c r="H599">
        <f t="shared" si="158"/>
        <v>65535</v>
      </c>
      <c r="J599">
        <f t="shared" si="159"/>
        <v>8</v>
      </c>
      <c r="K599">
        <f t="shared" si="160"/>
        <v>0</v>
      </c>
      <c r="L599">
        <f t="shared" si="161"/>
        <v>0</v>
      </c>
      <c r="M599">
        <f t="shared" si="162"/>
        <v>0</v>
      </c>
      <c r="N599">
        <f t="shared" si="163"/>
        <v>0</v>
      </c>
    </row>
    <row r="600" spans="1:14" x14ac:dyDescent="0.2">
      <c r="A600">
        <f t="shared" si="152"/>
        <v>598</v>
      </c>
      <c r="B600" s="1" t="s">
        <v>575</v>
      </c>
      <c r="C600">
        <v>12</v>
      </c>
      <c r="D600">
        <v>1</v>
      </c>
      <c r="E600">
        <v>5</v>
      </c>
      <c r="F600" s="2">
        <v>2</v>
      </c>
      <c r="G600">
        <v>1</v>
      </c>
      <c r="H600">
        <f t="shared" si="158"/>
        <v>65535</v>
      </c>
      <c r="J600">
        <f t="shared" si="159"/>
        <v>8</v>
      </c>
      <c r="K600">
        <f t="shared" si="160"/>
        <v>0</v>
      </c>
      <c r="L600">
        <f t="shared" si="161"/>
        <v>0</v>
      </c>
      <c r="M600">
        <f t="shared" si="162"/>
        <v>0</v>
      </c>
      <c r="N600">
        <f t="shared" si="163"/>
        <v>0</v>
      </c>
    </row>
    <row r="601" spans="1:14" x14ac:dyDescent="0.2">
      <c r="A601">
        <f t="shared" si="152"/>
        <v>599</v>
      </c>
      <c r="B601" s="1" t="s">
        <v>576</v>
      </c>
      <c r="C601">
        <v>12</v>
      </c>
      <c r="D601">
        <v>0</v>
      </c>
      <c r="E601" s="2">
        <v>5</v>
      </c>
      <c r="F601" s="2">
        <v>2</v>
      </c>
      <c r="G601">
        <v>0</v>
      </c>
      <c r="H601">
        <f t="shared" si="158"/>
        <v>65535</v>
      </c>
      <c r="J601">
        <f t="shared" si="159"/>
        <v>8</v>
      </c>
      <c r="K601">
        <f t="shared" si="160"/>
        <v>0</v>
      </c>
      <c r="L601">
        <f t="shared" si="161"/>
        <v>0</v>
      </c>
      <c r="M601">
        <f t="shared" si="162"/>
        <v>0</v>
      </c>
      <c r="N601">
        <f t="shared" si="163"/>
        <v>0</v>
      </c>
    </row>
    <row r="602" spans="1:14" x14ac:dyDescent="0.2">
      <c r="A602">
        <f t="shared" si="152"/>
        <v>600</v>
      </c>
      <c r="B602" s="1" t="s">
        <v>577</v>
      </c>
      <c r="C602">
        <v>12</v>
      </c>
      <c r="D602">
        <v>-1</v>
      </c>
      <c r="E602">
        <v>5</v>
      </c>
      <c r="F602" s="2">
        <v>3</v>
      </c>
      <c r="G602">
        <v>1</v>
      </c>
      <c r="H602">
        <f t="shared" si="158"/>
        <v>65535</v>
      </c>
      <c r="J602">
        <f t="shared" si="159"/>
        <v>8</v>
      </c>
      <c r="K602">
        <f t="shared" si="160"/>
        <v>0</v>
      </c>
      <c r="L602">
        <f t="shared" si="161"/>
        <v>0</v>
      </c>
      <c r="M602">
        <f t="shared" si="162"/>
        <v>0</v>
      </c>
      <c r="N602">
        <f t="shared" si="163"/>
        <v>0</v>
      </c>
    </row>
    <row r="603" spans="1:14" x14ac:dyDescent="0.2">
      <c r="A603">
        <f t="shared" si="152"/>
        <v>601</v>
      </c>
      <c r="B603" s="1" t="s">
        <v>578</v>
      </c>
      <c r="C603">
        <v>12</v>
      </c>
      <c r="D603">
        <v>-1</v>
      </c>
      <c r="E603">
        <v>5</v>
      </c>
      <c r="F603" s="2">
        <v>3</v>
      </c>
      <c r="G603">
        <v>0</v>
      </c>
      <c r="H603">
        <f t="shared" si="158"/>
        <v>65535</v>
      </c>
      <c r="J603">
        <f t="shared" si="159"/>
        <v>8</v>
      </c>
      <c r="K603">
        <f t="shared" si="160"/>
        <v>0</v>
      </c>
      <c r="L603">
        <f t="shared" si="161"/>
        <v>0</v>
      </c>
      <c r="M603">
        <f t="shared" si="162"/>
        <v>0</v>
      </c>
      <c r="N603">
        <f t="shared" si="163"/>
        <v>0</v>
      </c>
    </row>
    <row r="604" spans="1:14" x14ac:dyDescent="0.2">
      <c r="A604">
        <f t="shared" si="152"/>
        <v>602</v>
      </c>
      <c r="B604" s="1" t="s">
        <v>579</v>
      </c>
      <c r="C604">
        <v>12</v>
      </c>
      <c r="D604">
        <v>-2</v>
      </c>
      <c r="E604">
        <v>5</v>
      </c>
      <c r="F604" s="2">
        <v>2</v>
      </c>
      <c r="G604">
        <v>1</v>
      </c>
      <c r="H604">
        <f t="shared" si="158"/>
        <v>65535</v>
      </c>
      <c r="J604">
        <f t="shared" si="159"/>
        <v>8</v>
      </c>
      <c r="K604">
        <f t="shared" si="160"/>
        <v>0</v>
      </c>
      <c r="L604">
        <f t="shared" si="161"/>
        <v>0</v>
      </c>
      <c r="M604">
        <f t="shared" si="162"/>
        <v>0</v>
      </c>
      <c r="N604">
        <f t="shared" si="163"/>
        <v>0</v>
      </c>
    </row>
    <row r="605" spans="1:14" x14ac:dyDescent="0.2">
      <c r="A605">
        <f t="shared" si="152"/>
        <v>603</v>
      </c>
      <c r="B605" s="1" t="s">
        <v>580</v>
      </c>
      <c r="C605">
        <v>12</v>
      </c>
      <c r="D605">
        <v>-3</v>
      </c>
      <c r="E605">
        <v>5</v>
      </c>
      <c r="F605" s="2">
        <v>2</v>
      </c>
      <c r="G605">
        <v>0</v>
      </c>
      <c r="H605">
        <f t="shared" si="158"/>
        <v>65535</v>
      </c>
      <c r="J605">
        <f t="shared" si="159"/>
        <v>8</v>
      </c>
      <c r="K605">
        <f t="shared" si="160"/>
        <v>0</v>
      </c>
      <c r="L605">
        <f t="shared" si="161"/>
        <v>0</v>
      </c>
      <c r="M605">
        <f t="shared" si="162"/>
        <v>0</v>
      </c>
      <c r="N605">
        <f t="shared" si="163"/>
        <v>0</v>
      </c>
    </row>
    <row r="606" spans="1:14" x14ac:dyDescent="0.2">
      <c r="A606">
        <f t="shared" si="152"/>
        <v>604</v>
      </c>
      <c r="B606" s="1" t="s">
        <v>581</v>
      </c>
      <c r="C606">
        <v>12</v>
      </c>
      <c r="D606">
        <v>-4</v>
      </c>
      <c r="E606">
        <v>5</v>
      </c>
      <c r="F606" s="2">
        <v>2</v>
      </c>
      <c r="G606">
        <v>1</v>
      </c>
      <c r="H606">
        <f t="shared" si="158"/>
        <v>65535</v>
      </c>
      <c r="J606">
        <f t="shared" si="159"/>
        <v>8</v>
      </c>
      <c r="K606">
        <f t="shared" si="160"/>
        <v>0</v>
      </c>
      <c r="L606">
        <f t="shared" si="161"/>
        <v>0</v>
      </c>
      <c r="M606">
        <f t="shared" si="162"/>
        <v>0</v>
      </c>
      <c r="N606">
        <f t="shared" si="163"/>
        <v>0</v>
      </c>
    </row>
    <row r="607" spans="1:14" x14ac:dyDescent="0.2">
      <c r="A607">
        <f t="shared" si="152"/>
        <v>605</v>
      </c>
      <c r="B607" s="1" t="s">
        <v>582</v>
      </c>
      <c r="C607">
        <v>14</v>
      </c>
      <c r="D607">
        <v>-4</v>
      </c>
      <c r="E607">
        <v>5</v>
      </c>
      <c r="F607" s="2">
        <v>2</v>
      </c>
      <c r="G607">
        <v>0</v>
      </c>
      <c r="H607">
        <f t="shared" si="158"/>
        <v>65535</v>
      </c>
      <c r="J607">
        <f t="shared" si="159"/>
        <v>8</v>
      </c>
      <c r="K607">
        <f t="shared" si="160"/>
        <v>0</v>
      </c>
      <c r="L607">
        <f t="shared" si="161"/>
        <v>0</v>
      </c>
      <c r="M607">
        <f t="shared" si="162"/>
        <v>0</v>
      </c>
      <c r="N607">
        <f t="shared" si="163"/>
        <v>0</v>
      </c>
    </row>
    <row r="608" spans="1:14" x14ac:dyDescent="0.2">
      <c r="A608">
        <f t="shared" si="152"/>
        <v>606</v>
      </c>
      <c r="B608" s="1" t="s">
        <v>583</v>
      </c>
      <c r="C608">
        <v>13</v>
      </c>
      <c r="D608">
        <v>-4</v>
      </c>
      <c r="E608" s="2">
        <v>5</v>
      </c>
      <c r="F608" s="2">
        <v>2</v>
      </c>
      <c r="G608">
        <v>1</v>
      </c>
      <c r="H608">
        <f t="shared" si="158"/>
        <v>65535</v>
      </c>
      <c r="J608">
        <f t="shared" si="159"/>
        <v>8</v>
      </c>
      <c r="K608">
        <f t="shared" si="160"/>
        <v>0</v>
      </c>
      <c r="L608">
        <f t="shared" si="161"/>
        <v>0</v>
      </c>
      <c r="M608">
        <f t="shared" si="162"/>
        <v>0</v>
      </c>
      <c r="N608">
        <f t="shared" si="163"/>
        <v>0</v>
      </c>
    </row>
    <row r="609" spans="1:14" s="4" customFormat="1" x14ac:dyDescent="0.2">
      <c r="A609">
        <f t="shared" ref="A609:A672" si="164">A608+1</f>
        <v>607</v>
      </c>
      <c r="B609" s="5" t="s">
        <v>144</v>
      </c>
      <c r="C609" s="4">
        <v>12</v>
      </c>
      <c r="D609" s="4">
        <v>0</v>
      </c>
      <c r="E609" s="4">
        <v>5</v>
      </c>
      <c r="F609" s="4">
        <v>2</v>
      </c>
      <c r="G609" s="4">
        <v>0</v>
      </c>
      <c r="H609">
        <f t="shared" si="158"/>
        <v>65535</v>
      </c>
      <c r="J609">
        <f t="shared" si="159"/>
        <v>8</v>
      </c>
      <c r="K609">
        <f t="shared" si="160"/>
        <v>0</v>
      </c>
      <c r="L609">
        <f t="shared" si="161"/>
        <v>0</v>
      </c>
      <c r="M609">
        <f t="shared" si="162"/>
        <v>0</v>
      </c>
      <c r="N609">
        <f t="shared" si="163"/>
        <v>0</v>
      </c>
    </row>
    <row r="610" spans="1:14" s="4" customFormat="1" x14ac:dyDescent="0.2">
      <c r="A610">
        <f t="shared" si="164"/>
        <v>608</v>
      </c>
      <c r="B610" s="5" t="s">
        <v>145</v>
      </c>
      <c r="C610" s="4">
        <v>12</v>
      </c>
      <c r="D610" s="4">
        <v>4</v>
      </c>
      <c r="E610" s="4">
        <v>5</v>
      </c>
      <c r="F610" s="4">
        <v>2</v>
      </c>
      <c r="G610" s="4">
        <v>0</v>
      </c>
      <c r="H610">
        <f t="shared" si="158"/>
        <v>65535</v>
      </c>
      <c r="J610">
        <f t="shared" si="159"/>
        <v>8</v>
      </c>
      <c r="K610">
        <f t="shared" si="160"/>
        <v>0</v>
      </c>
      <c r="L610">
        <f t="shared" si="161"/>
        <v>0</v>
      </c>
      <c r="M610">
        <f t="shared" si="162"/>
        <v>0</v>
      </c>
      <c r="N610">
        <f t="shared" si="163"/>
        <v>0</v>
      </c>
    </row>
    <row r="611" spans="1:14" s="4" customFormat="1" x14ac:dyDescent="0.2">
      <c r="A611">
        <f t="shared" si="164"/>
        <v>609</v>
      </c>
      <c r="B611" s="5" t="s">
        <v>146</v>
      </c>
      <c r="C611" s="4">
        <v>12</v>
      </c>
      <c r="D611" s="4">
        <v>3</v>
      </c>
      <c r="E611" s="4">
        <v>5</v>
      </c>
      <c r="F611" s="4">
        <v>1</v>
      </c>
      <c r="G611" s="4">
        <v>1</v>
      </c>
      <c r="H611">
        <f t="shared" si="158"/>
        <v>65535</v>
      </c>
      <c r="J611">
        <f t="shared" si="159"/>
        <v>8</v>
      </c>
      <c r="K611">
        <f t="shared" si="160"/>
        <v>0</v>
      </c>
      <c r="L611">
        <f t="shared" si="161"/>
        <v>0</v>
      </c>
      <c r="M611">
        <f t="shared" si="162"/>
        <v>0</v>
      </c>
      <c r="N611">
        <f t="shared" si="163"/>
        <v>0</v>
      </c>
    </row>
    <row r="612" spans="1:14" s="4" customFormat="1" x14ac:dyDescent="0.2">
      <c r="A612">
        <f t="shared" si="164"/>
        <v>610</v>
      </c>
      <c r="B612" s="5" t="s">
        <v>147</v>
      </c>
      <c r="C612" s="4">
        <v>14</v>
      </c>
      <c r="D612" s="4">
        <v>2</v>
      </c>
      <c r="E612" s="4">
        <v>5</v>
      </c>
      <c r="F612" s="4">
        <v>1</v>
      </c>
      <c r="G612" s="4">
        <v>0</v>
      </c>
      <c r="H612">
        <f t="shared" si="158"/>
        <v>65535</v>
      </c>
      <c r="J612">
        <f t="shared" si="159"/>
        <v>8</v>
      </c>
      <c r="K612">
        <f t="shared" si="160"/>
        <v>0</v>
      </c>
      <c r="L612">
        <f t="shared" si="161"/>
        <v>0</v>
      </c>
      <c r="M612">
        <f t="shared" si="162"/>
        <v>0</v>
      </c>
      <c r="N612">
        <f t="shared" si="163"/>
        <v>0</v>
      </c>
    </row>
    <row r="613" spans="1:14" s="4" customFormat="1" x14ac:dyDescent="0.2">
      <c r="A613">
        <f t="shared" si="164"/>
        <v>611</v>
      </c>
      <c r="B613" s="5" t="s">
        <v>148</v>
      </c>
      <c r="C613" s="4">
        <v>13</v>
      </c>
      <c r="D613" s="4">
        <v>-1</v>
      </c>
      <c r="E613" s="4">
        <v>0</v>
      </c>
      <c r="F613" s="4">
        <v>0</v>
      </c>
      <c r="G613" s="4">
        <v>0</v>
      </c>
      <c r="H613">
        <f t="shared" si="158"/>
        <v>493</v>
      </c>
      <c r="I613" s="5" t="s">
        <v>112</v>
      </c>
      <c r="J613">
        <f t="shared" si="159"/>
        <v>8</v>
      </c>
      <c r="K613">
        <f t="shared" si="160"/>
        <v>0</v>
      </c>
      <c r="L613">
        <f t="shared" si="161"/>
        <v>0</v>
      </c>
      <c r="M613">
        <f t="shared" si="162"/>
        <v>0</v>
      </c>
      <c r="N613">
        <f t="shared" si="163"/>
        <v>0</v>
      </c>
    </row>
    <row r="614" spans="1:14" s="2" customFormat="1" x14ac:dyDescent="0.2">
      <c r="A614">
        <f t="shared" si="164"/>
        <v>612</v>
      </c>
      <c r="B614" s="8" t="s">
        <v>313</v>
      </c>
      <c r="C614" s="9">
        <v>0</v>
      </c>
      <c r="D614" s="9">
        <v>0</v>
      </c>
      <c r="E614" s="9">
        <v>0</v>
      </c>
      <c r="F614" s="9">
        <v>0</v>
      </c>
      <c r="G614" s="9">
        <v>0</v>
      </c>
      <c r="H614">
        <f t="shared" si="158"/>
        <v>65535</v>
      </c>
      <c r="I614" s="9"/>
      <c r="J614">
        <f t="shared" si="159"/>
        <v>0</v>
      </c>
      <c r="K614">
        <f t="shared" si="160"/>
        <v>0</v>
      </c>
      <c r="L614">
        <f t="shared" si="161"/>
        <v>0</v>
      </c>
      <c r="M614">
        <f t="shared" si="162"/>
        <v>0</v>
      </c>
      <c r="N614">
        <f t="shared" si="163"/>
        <v>0</v>
      </c>
    </row>
    <row r="615" spans="1:14" x14ac:dyDescent="0.2">
      <c r="A615">
        <f t="shared" si="164"/>
        <v>613</v>
      </c>
      <c r="B615" s="8" t="s">
        <v>314</v>
      </c>
      <c r="C615" s="10">
        <v>33</v>
      </c>
      <c r="D615" s="10">
        <v>2</v>
      </c>
      <c r="E615" s="10">
        <v>0</v>
      </c>
      <c r="F615" s="9">
        <v>0</v>
      </c>
      <c r="G615" s="10">
        <v>0</v>
      </c>
      <c r="H615">
        <f t="shared" si="158"/>
        <v>65535</v>
      </c>
      <c r="I615" s="10"/>
      <c r="J615">
        <f t="shared" si="159"/>
        <v>1</v>
      </c>
      <c r="K615">
        <f t="shared" si="160"/>
        <v>0</v>
      </c>
      <c r="L615">
        <f t="shared" si="161"/>
        <v>0</v>
      </c>
      <c r="M615">
        <f t="shared" si="162"/>
        <v>0</v>
      </c>
      <c r="N615">
        <f t="shared" si="163"/>
        <v>0</v>
      </c>
    </row>
    <row r="616" spans="1:14" x14ac:dyDescent="0.2">
      <c r="A616">
        <f t="shared" si="164"/>
        <v>614</v>
      </c>
      <c r="B616" s="8" t="s">
        <v>315</v>
      </c>
      <c r="C616" s="10">
        <v>32</v>
      </c>
      <c r="D616" s="10">
        <v>2</v>
      </c>
      <c r="E616" s="10">
        <v>0</v>
      </c>
      <c r="F616" s="9">
        <v>0</v>
      </c>
      <c r="G616" s="10">
        <v>0</v>
      </c>
      <c r="H616">
        <f t="shared" si="158"/>
        <v>65535</v>
      </c>
      <c r="I616" s="10"/>
      <c r="J616">
        <f t="shared" si="159"/>
        <v>-1</v>
      </c>
      <c r="K616">
        <f t="shared" si="160"/>
        <v>0</v>
      </c>
      <c r="L616">
        <f t="shared" si="161"/>
        <v>0</v>
      </c>
      <c r="M616">
        <f t="shared" si="162"/>
        <v>0</v>
      </c>
      <c r="N616">
        <f t="shared" si="163"/>
        <v>0</v>
      </c>
    </row>
    <row r="617" spans="1:14" x14ac:dyDescent="0.2">
      <c r="A617">
        <f t="shared" si="164"/>
        <v>615</v>
      </c>
      <c r="B617" s="8" t="s">
        <v>316</v>
      </c>
      <c r="C617" s="10">
        <v>34</v>
      </c>
      <c r="D617" s="10">
        <v>0</v>
      </c>
      <c r="E617" s="9">
        <v>5</v>
      </c>
      <c r="F617" s="9">
        <v>2</v>
      </c>
      <c r="G617" s="10">
        <v>0</v>
      </c>
      <c r="H617">
        <f t="shared" si="158"/>
        <v>65535</v>
      </c>
      <c r="I617" s="10"/>
      <c r="J617">
        <f t="shared" si="159"/>
        <v>0</v>
      </c>
      <c r="K617">
        <f t="shared" si="160"/>
        <v>0</v>
      </c>
      <c r="L617">
        <f t="shared" si="161"/>
        <v>0</v>
      </c>
      <c r="M617">
        <f t="shared" si="162"/>
        <v>0</v>
      </c>
      <c r="N617">
        <f t="shared" si="163"/>
        <v>0</v>
      </c>
    </row>
    <row r="618" spans="1:14" x14ac:dyDescent="0.2">
      <c r="A618">
        <f t="shared" si="164"/>
        <v>616</v>
      </c>
      <c r="B618" s="8" t="s">
        <v>317</v>
      </c>
      <c r="C618" s="10">
        <v>33</v>
      </c>
      <c r="D618" s="10">
        <v>0</v>
      </c>
      <c r="E618" s="10">
        <v>5</v>
      </c>
      <c r="F618" s="9">
        <v>2</v>
      </c>
      <c r="G618" s="10">
        <v>1</v>
      </c>
      <c r="H618">
        <f t="shared" si="158"/>
        <v>65535</v>
      </c>
      <c r="I618" s="10"/>
      <c r="J618">
        <f t="shared" si="159"/>
        <v>1</v>
      </c>
      <c r="K618">
        <f t="shared" si="160"/>
        <v>0</v>
      </c>
      <c r="L618">
        <f t="shared" si="161"/>
        <v>0</v>
      </c>
      <c r="M618">
        <f t="shared" si="162"/>
        <v>0</v>
      </c>
      <c r="N618">
        <f t="shared" si="163"/>
        <v>0</v>
      </c>
    </row>
    <row r="619" spans="1:14" x14ac:dyDescent="0.2">
      <c r="A619">
        <f t="shared" si="164"/>
        <v>617</v>
      </c>
      <c r="B619" s="8" t="s">
        <v>318</v>
      </c>
      <c r="C619" s="10">
        <v>32</v>
      </c>
      <c r="D619" s="10">
        <v>0</v>
      </c>
      <c r="E619" s="10">
        <v>5</v>
      </c>
      <c r="F619" s="9">
        <v>2</v>
      </c>
      <c r="G619" s="10">
        <v>0</v>
      </c>
      <c r="H619">
        <f t="shared" si="158"/>
        <v>65535</v>
      </c>
      <c r="I619" s="10"/>
      <c r="J619">
        <f t="shared" si="159"/>
        <v>-1</v>
      </c>
      <c r="K619">
        <f t="shared" si="160"/>
        <v>0</v>
      </c>
      <c r="L619">
        <f t="shared" si="161"/>
        <v>0</v>
      </c>
      <c r="M619">
        <f t="shared" si="162"/>
        <v>0</v>
      </c>
      <c r="N619">
        <f t="shared" si="163"/>
        <v>0</v>
      </c>
    </row>
    <row r="620" spans="1:14" x14ac:dyDescent="0.2">
      <c r="A620">
        <f t="shared" si="164"/>
        <v>618</v>
      </c>
      <c r="B620" s="8" t="s">
        <v>319</v>
      </c>
      <c r="C620" s="10">
        <v>34</v>
      </c>
      <c r="D620" s="10">
        <v>0</v>
      </c>
      <c r="E620" s="10">
        <v>5</v>
      </c>
      <c r="F620" s="9">
        <v>2</v>
      </c>
      <c r="G620" s="10">
        <v>1</v>
      </c>
      <c r="H620">
        <f t="shared" si="158"/>
        <v>65535</v>
      </c>
      <c r="I620" s="10"/>
      <c r="J620">
        <f t="shared" si="159"/>
        <v>0</v>
      </c>
      <c r="K620">
        <f t="shared" si="160"/>
        <v>0</v>
      </c>
      <c r="L620">
        <f t="shared" si="161"/>
        <v>0</v>
      </c>
      <c r="M620">
        <f t="shared" si="162"/>
        <v>0</v>
      </c>
      <c r="N620">
        <f t="shared" si="163"/>
        <v>0</v>
      </c>
    </row>
    <row r="621" spans="1:14" s="2" customFormat="1" x14ac:dyDescent="0.2">
      <c r="A621">
        <f t="shared" si="164"/>
        <v>619</v>
      </c>
      <c r="B621" s="8" t="s">
        <v>320</v>
      </c>
      <c r="C621" s="9">
        <v>33</v>
      </c>
      <c r="D621" s="9">
        <v>0</v>
      </c>
      <c r="E621" s="9">
        <v>5</v>
      </c>
      <c r="F621" s="9">
        <v>2</v>
      </c>
      <c r="G621" s="9">
        <v>1</v>
      </c>
      <c r="H621">
        <f t="shared" si="158"/>
        <v>65535</v>
      </c>
      <c r="I621" s="9"/>
      <c r="J621">
        <f t="shared" ref="J621:J652" si="165">C621-C237</f>
        <v>1</v>
      </c>
      <c r="K621">
        <f t="shared" ref="K621:K652" si="166">D621-D237</f>
        <v>0</v>
      </c>
      <c r="L621">
        <f t="shared" ref="L621:L652" si="167">E621+E237</f>
        <v>0</v>
      </c>
      <c r="M621">
        <f t="shared" ref="M621:M652" si="168">F621+F237</f>
        <v>0</v>
      </c>
      <c r="N621">
        <f t="shared" ref="N621:N652" si="169">G621+G237</f>
        <v>0</v>
      </c>
    </row>
    <row r="622" spans="1:14" x14ac:dyDescent="0.2">
      <c r="A622">
        <f t="shared" si="164"/>
        <v>620</v>
      </c>
      <c r="B622" s="8" t="s">
        <v>321</v>
      </c>
      <c r="C622" s="10">
        <v>32</v>
      </c>
      <c r="D622" s="10">
        <v>0</v>
      </c>
      <c r="E622" s="10">
        <v>5</v>
      </c>
      <c r="F622" s="9">
        <v>2</v>
      </c>
      <c r="G622" s="10">
        <v>0</v>
      </c>
      <c r="H622">
        <f t="shared" si="158"/>
        <v>65535</v>
      </c>
      <c r="I622" s="10"/>
      <c r="J622">
        <f t="shared" si="165"/>
        <v>-1</v>
      </c>
      <c r="K622">
        <f t="shared" si="166"/>
        <v>0</v>
      </c>
      <c r="L622">
        <f t="shared" si="167"/>
        <v>0</v>
      </c>
      <c r="M622">
        <f t="shared" si="168"/>
        <v>0</v>
      </c>
      <c r="N622">
        <f t="shared" si="169"/>
        <v>0</v>
      </c>
    </row>
    <row r="623" spans="1:14" x14ac:dyDescent="0.2">
      <c r="A623">
        <f t="shared" si="164"/>
        <v>621</v>
      </c>
      <c r="B623" s="8" t="s">
        <v>322</v>
      </c>
      <c r="C623" s="10">
        <v>34</v>
      </c>
      <c r="D623" s="10">
        <v>0</v>
      </c>
      <c r="E623" s="10">
        <v>5</v>
      </c>
      <c r="F623" s="9">
        <v>2</v>
      </c>
      <c r="G623" s="10">
        <v>1</v>
      </c>
      <c r="H623">
        <f t="shared" si="158"/>
        <v>65535</v>
      </c>
      <c r="I623" s="10"/>
      <c r="J623">
        <f t="shared" si="165"/>
        <v>0</v>
      </c>
      <c r="K623">
        <f t="shared" si="166"/>
        <v>0</v>
      </c>
      <c r="L623">
        <f t="shared" si="167"/>
        <v>0</v>
      </c>
      <c r="M623">
        <f t="shared" si="168"/>
        <v>0</v>
      </c>
      <c r="N623">
        <f t="shared" si="169"/>
        <v>0</v>
      </c>
    </row>
    <row r="624" spans="1:14" x14ac:dyDescent="0.2">
      <c r="A624">
        <f t="shared" si="164"/>
        <v>622</v>
      </c>
      <c r="B624" s="8" t="s">
        <v>323</v>
      </c>
      <c r="C624" s="10">
        <v>34</v>
      </c>
      <c r="D624" s="10">
        <v>-2</v>
      </c>
      <c r="E624" s="9">
        <v>5</v>
      </c>
      <c r="F624" s="9">
        <v>2</v>
      </c>
      <c r="G624" s="10">
        <v>0</v>
      </c>
      <c r="H624">
        <f t="shared" si="158"/>
        <v>65535</v>
      </c>
      <c r="I624" s="10"/>
      <c r="J624">
        <f t="shared" si="165"/>
        <v>0</v>
      </c>
      <c r="K624">
        <f t="shared" si="166"/>
        <v>0</v>
      </c>
      <c r="L624">
        <f t="shared" si="167"/>
        <v>0</v>
      </c>
      <c r="M624">
        <f t="shared" si="168"/>
        <v>0</v>
      </c>
      <c r="N624">
        <f t="shared" si="169"/>
        <v>0</v>
      </c>
    </row>
    <row r="625" spans="1:14" x14ac:dyDescent="0.2">
      <c r="A625">
        <f t="shared" si="164"/>
        <v>623</v>
      </c>
      <c r="B625" s="8" t="s">
        <v>324</v>
      </c>
      <c r="C625" s="10">
        <v>32</v>
      </c>
      <c r="D625" s="10">
        <v>-2</v>
      </c>
      <c r="E625" s="10">
        <v>0</v>
      </c>
      <c r="F625" s="9">
        <v>0</v>
      </c>
      <c r="G625" s="10">
        <v>0</v>
      </c>
      <c r="H625">
        <f t="shared" si="158"/>
        <v>65535</v>
      </c>
      <c r="I625" s="10"/>
      <c r="J625">
        <f t="shared" si="165"/>
        <v>-1</v>
      </c>
      <c r="K625">
        <f t="shared" si="166"/>
        <v>0</v>
      </c>
      <c r="L625">
        <f t="shared" si="167"/>
        <v>0</v>
      </c>
      <c r="M625">
        <f t="shared" si="168"/>
        <v>0</v>
      </c>
      <c r="N625">
        <f t="shared" si="169"/>
        <v>0</v>
      </c>
    </row>
    <row r="626" spans="1:14" x14ac:dyDescent="0.2">
      <c r="A626">
        <f t="shared" si="164"/>
        <v>624</v>
      </c>
      <c r="B626" s="8" t="s">
        <v>325</v>
      </c>
      <c r="C626" s="10">
        <v>0</v>
      </c>
      <c r="D626" s="10">
        <v>0</v>
      </c>
      <c r="E626" s="10">
        <v>0</v>
      </c>
      <c r="F626" s="9">
        <v>0</v>
      </c>
      <c r="G626" s="10">
        <v>0</v>
      </c>
      <c r="H626">
        <f t="shared" si="158"/>
        <v>493</v>
      </c>
      <c r="I626" s="5" t="s">
        <v>112</v>
      </c>
      <c r="J626">
        <f t="shared" si="165"/>
        <v>0</v>
      </c>
      <c r="K626">
        <f t="shared" si="166"/>
        <v>0</v>
      </c>
      <c r="L626">
        <f t="shared" si="167"/>
        <v>0</v>
      </c>
      <c r="M626">
        <f t="shared" si="168"/>
        <v>0</v>
      </c>
      <c r="N626">
        <f t="shared" si="169"/>
        <v>0</v>
      </c>
    </row>
    <row r="627" spans="1:14" x14ac:dyDescent="0.2">
      <c r="A627">
        <f t="shared" si="164"/>
        <v>625</v>
      </c>
      <c r="B627" s="1" t="s">
        <v>364</v>
      </c>
      <c r="C627" s="2">
        <v>12</v>
      </c>
      <c r="D627" s="2">
        <v>0</v>
      </c>
      <c r="E627" s="2">
        <v>0</v>
      </c>
      <c r="F627" s="2">
        <v>0</v>
      </c>
      <c r="G627" s="2">
        <v>0</v>
      </c>
      <c r="H627">
        <f t="shared" si="158"/>
        <v>65535</v>
      </c>
      <c r="I627" s="2"/>
      <c r="J627">
        <f t="shared" si="165"/>
        <v>8</v>
      </c>
      <c r="K627">
        <f t="shared" si="166"/>
        <v>0</v>
      </c>
      <c r="L627">
        <f t="shared" si="167"/>
        <v>0</v>
      </c>
      <c r="M627">
        <f t="shared" si="168"/>
        <v>0</v>
      </c>
      <c r="N627">
        <f t="shared" si="169"/>
        <v>0</v>
      </c>
    </row>
    <row r="628" spans="1:14" x14ac:dyDescent="0.2">
      <c r="A628">
        <f t="shared" si="164"/>
        <v>626</v>
      </c>
      <c r="B628" s="1" t="s">
        <v>365</v>
      </c>
      <c r="C628">
        <v>12</v>
      </c>
      <c r="D628">
        <v>4</v>
      </c>
      <c r="E628">
        <v>0</v>
      </c>
      <c r="F628">
        <v>0</v>
      </c>
      <c r="G628">
        <v>0</v>
      </c>
      <c r="H628">
        <f t="shared" si="158"/>
        <v>65535</v>
      </c>
      <c r="J628">
        <f t="shared" si="165"/>
        <v>8</v>
      </c>
      <c r="K628">
        <f t="shared" si="166"/>
        <v>0</v>
      </c>
      <c r="L628">
        <f t="shared" si="167"/>
        <v>0</v>
      </c>
      <c r="M628">
        <f t="shared" si="168"/>
        <v>0</v>
      </c>
      <c r="N628">
        <f t="shared" si="169"/>
        <v>0</v>
      </c>
    </row>
    <row r="629" spans="1:14" x14ac:dyDescent="0.2">
      <c r="A629">
        <f t="shared" si="164"/>
        <v>627</v>
      </c>
      <c r="B629" s="1" t="s">
        <v>366</v>
      </c>
      <c r="C629">
        <v>34</v>
      </c>
      <c r="D629">
        <v>-1</v>
      </c>
      <c r="E629">
        <v>0</v>
      </c>
      <c r="F629">
        <v>0</v>
      </c>
      <c r="G629">
        <v>0</v>
      </c>
      <c r="H629">
        <f t="shared" si="158"/>
        <v>65535</v>
      </c>
      <c r="J629">
        <f t="shared" si="165"/>
        <v>0</v>
      </c>
      <c r="K629">
        <f t="shared" si="166"/>
        <v>0</v>
      </c>
      <c r="L629">
        <f t="shared" si="167"/>
        <v>0</v>
      </c>
      <c r="M629">
        <f t="shared" si="168"/>
        <v>0</v>
      </c>
      <c r="N629">
        <f t="shared" si="169"/>
        <v>0</v>
      </c>
    </row>
    <row r="630" spans="1:14" x14ac:dyDescent="0.2">
      <c r="A630">
        <f t="shared" si="164"/>
        <v>628</v>
      </c>
      <c r="B630" s="1" t="s">
        <v>367</v>
      </c>
      <c r="C630">
        <v>34</v>
      </c>
      <c r="D630">
        <v>1</v>
      </c>
      <c r="E630">
        <v>0</v>
      </c>
      <c r="F630">
        <v>0</v>
      </c>
      <c r="G630">
        <v>0</v>
      </c>
      <c r="H630">
        <f t="shared" si="158"/>
        <v>65535</v>
      </c>
      <c r="J630">
        <f t="shared" si="165"/>
        <v>0</v>
      </c>
      <c r="K630">
        <f t="shared" si="166"/>
        <v>0</v>
      </c>
      <c r="L630">
        <f t="shared" si="167"/>
        <v>0</v>
      </c>
      <c r="M630">
        <f t="shared" si="168"/>
        <v>0</v>
      </c>
      <c r="N630">
        <f t="shared" si="169"/>
        <v>0</v>
      </c>
    </row>
    <row r="631" spans="1:14" x14ac:dyDescent="0.2">
      <c r="A631">
        <f t="shared" si="164"/>
        <v>629</v>
      </c>
      <c r="B631" s="1" t="s">
        <v>368</v>
      </c>
      <c r="C631">
        <v>34</v>
      </c>
      <c r="D631">
        <v>2</v>
      </c>
      <c r="E631">
        <v>0</v>
      </c>
      <c r="F631">
        <v>0</v>
      </c>
      <c r="G631">
        <v>0</v>
      </c>
      <c r="H631">
        <f t="shared" si="158"/>
        <v>65535</v>
      </c>
      <c r="J631">
        <f t="shared" si="165"/>
        <v>0</v>
      </c>
      <c r="K631">
        <f t="shared" si="166"/>
        <v>0</v>
      </c>
      <c r="L631">
        <f t="shared" si="167"/>
        <v>0</v>
      </c>
      <c r="M631">
        <f t="shared" si="168"/>
        <v>0</v>
      </c>
      <c r="N631">
        <f t="shared" si="169"/>
        <v>0</v>
      </c>
    </row>
    <row r="632" spans="1:14" x14ac:dyDescent="0.2">
      <c r="A632">
        <f t="shared" si="164"/>
        <v>630</v>
      </c>
      <c r="B632" s="1" t="s">
        <v>369</v>
      </c>
      <c r="C632">
        <v>34</v>
      </c>
      <c r="D632">
        <v>1</v>
      </c>
      <c r="E632">
        <v>0</v>
      </c>
      <c r="F632">
        <v>0</v>
      </c>
      <c r="G632">
        <v>0</v>
      </c>
      <c r="H632">
        <f t="shared" si="158"/>
        <v>65535</v>
      </c>
      <c r="J632">
        <f t="shared" si="165"/>
        <v>0</v>
      </c>
      <c r="K632">
        <f t="shared" si="166"/>
        <v>0</v>
      </c>
      <c r="L632">
        <f t="shared" si="167"/>
        <v>0</v>
      </c>
      <c r="M632">
        <f t="shared" si="168"/>
        <v>0</v>
      </c>
      <c r="N632">
        <f t="shared" si="169"/>
        <v>0</v>
      </c>
    </row>
    <row r="633" spans="1:14" x14ac:dyDescent="0.2">
      <c r="A633">
        <f t="shared" si="164"/>
        <v>631</v>
      </c>
      <c r="B633" s="1" t="s">
        <v>370</v>
      </c>
      <c r="C633">
        <v>34</v>
      </c>
      <c r="D633">
        <v>0</v>
      </c>
      <c r="E633">
        <v>0</v>
      </c>
      <c r="F633">
        <v>0</v>
      </c>
      <c r="G633">
        <v>0</v>
      </c>
      <c r="H633">
        <f t="shared" si="158"/>
        <v>65535</v>
      </c>
      <c r="J633">
        <f t="shared" si="165"/>
        <v>0</v>
      </c>
      <c r="K633">
        <f t="shared" si="166"/>
        <v>0</v>
      </c>
      <c r="L633">
        <f t="shared" si="167"/>
        <v>0</v>
      </c>
      <c r="M633">
        <f t="shared" si="168"/>
        <v>0</v>
      </c>
      <c r="N633">
        <f t="shared" si="169"/>
        <v>0</v>
      </c>
    </row>
    <row r="634" spans="1:14" x14ac:dyDescent="0.2">
      <c r="A634">
        <f t="shared" si="164"/>
        <v>632</v>
      </c>
      <c r="B634" s="1" t="s">
        <v>371</v>
      </c>
      <c r="C634">
        <v>0</v>
      </c>
      <c r="D634">
        <v>-1</v>
      </c>
      <c r="E634">
        <v>0</v>
      </c>
      <c r="F634">
        <v>0</v>
      </c>
      <c r="G634">
        <v>0</v>
      </c>
      <c r="H634">
        <f t="shared" si="158"/>
        <v>65535</v>
      </c>
      <c r="J634">
        <f t="shared" si="165"/>
        <v>0</v>
      </c>
      <c r="K634">
        <f t="shared" si="166"/>
        <v>0</v>
      </c>
      <c r="L634">
        <f t="shared" si="167"/>
        <v>0</v>
      </c>
      <c r="M634">
        <f t="shared" si="168"/>
        <v>0</v>
      </c>
      <c r="N634">
        <f t="shared" si="169"/>
        <v>0</v>
      </c>
    </row>
    <row r="635" spans="1:14" x14ac:dyDescent="0.2">
      <c r="A635">
        <f t="shared" si="164"/>
        <v>633</v>
      </c>
      <c r="B635" s="1" t="s">
        <v>372</v>
      </c>
      <c r="C635">
        <v>0</v>
      </c>
      <c r="D635">
        <v>-2</v>
      </c>
      <c r="E635">
        <v>0</v>
      </c>
      <c r="F635">
        <v>0</v>
      </c>
      <c r="G635">
        <v>0</v>
      </c>
      <c r="H635">
        <f t="shared" si="158"/>
        <v>65535</v>
      </c>
      <c r="J635">
        <f t="shared" si="165"/>
        <v>0</v>
      </c>
      <c r="K635">
        <f t="shared" si="166"/>
        <v>0</v>
      </c>
      <c r="L635">
        <f t="shared" si="167"/>
        <v>0</v>
      </c>
      <c r="M635">
        <f t="shared" si="168"/>
        <v>0</v>
      </c>
      <c r="N635">
        <f t="shared" si="169"/>
        <v>0</v>
      </c>
    </row>
    <row r="636" spans="1:14" x14ac:dyDescent="0.2">
      <c r="A636">
        <f t="shared" si="164"/>
        <v>634</v>
      </c>
      <c r="B636" s="1" t="s">
        <v>373</v>
      </c>
      <c r="C636">
        <v>0</v>
      </c>
      <c r="D636">
        <v>-1</v>
      </c>
      <c r="E636">
        <v>0</v>
      </c>
      <c r="F636">
        <v>0</v>
      </c>
      <c r="G636">
        <v>0</v>
      </c>
      <c r="H636">
        <f t="shared" si="158"/>
        <v>65535</v>
      </c>
      <c r="J636">
        <f t="shared" si="165"/>
        <v>0</v>
      </c>
      <c r="K636">
        <f t="shared" si="166"/>
        <v>0</v>
      </c>
      <c r="L636">
        <f t="shared" si="167"/>
        <v>0</v>
      </c>
      <c r="M636">
        <f t="shared" si="168"/>
        <v>0</v>
      </c>
      <c r="N636">
        <f t="shared" si="169"/>
        <v>0</v>
      </c>
    </row>
    <row r="637" spans="1:14" x14ac:dyDescent="0.2">
      <c r="A637">
        <f t="shared" si="164"/>
        <v>635</v>
      </c>
      <c r="B637" s="1" t="s">
        <v>374</v>
      </c>
      <c r="C637">
        <v>0</v>
      </c>
      <c r="D637" s="2">
        <v>0</v>
      </c>
      <c r="E637" s="2">
        <v>0</v>
      </c>
      <c r="F637" s="2">
        <v>0</v>
      </c>
      <c r="G637" s="2">
        <v>0</v>
      </c>
      <c r="H637">
        <f t="shared" si="158"/>
        <v>65535</v>
      </c>
      <c r="I637" s="2"/>
      <c r="J637">
        <f t="shared" si="165"/>
        <v>0</v>
      </c>
      <c r="K637">
        <f t="shared" si="166"/>
        <v>0</v>
      </c>
      <c r="L637">
        <f t="shared" si="167"/>
        <v>0</v>
      </c>
      <c r="M637">
        <f t="shared" si="168"/>
        <v>0</v>
      </c>
      <c r="N637">
        <f t="shared" si="169"/>
        <v>0</v>
      </c>
    </row>
    <row r="638" spans="1:14" x14ac:dyDescent="0.2">
      <c r="A638">
        <f t="shared" si="164"/>
        <v>636</v>
      </c>
      <c r="B638" s="1" t="s">
        <v>375</v>
      </c>
      <c r="C638">
        <v>34</v>
      </c>
      <c r="D638">
        <v>1</v>
      </c>
      <c r="E638">
        <v>0</v>
      </c>
      <c r="F638">
        <v>0</v>
      </c>
      <c r="G638">
        <v>0</v>
      </c>
      <c r="H638">
        <f t="shared" si="158"/>
        <v>65535</v>
      </c>
      <c r="J638">
        <f t="shared" si="165"/>
        <v>0</v>
      </c>
      <c r="K638">
        <f t="shared" si="166"/>
        <v>0</v>
      </c>
      <c r="L638">
        <f t="shared" si="167"/>
        <v>0</v>
      </c>
      <c r="M638">
        <f t="shared" si="168"/>
        <v>0</v>
      </c>
      <c r="N638">
        <f t="shared" si="169"/>
        <v>0</v>
      </c>
    </row>
    <row r="639" spans="1:14" x14ac:dyDescent="0.2">
      <c r="A639">
        <f t="shared" si="164"/>
        <v>637</v>
      </c>
      <c r="B639" s="1" t="s">
        <v>376</v>
      </c>
      <c r="C639">
        <v>34</v>
      </c>
      <c r="D639">
        <v>2</v>
      </c>
      <c r="E639">
        <v>0</v>
      </c>
      <c r="F639">
        <v>0</v>
      </c>
      <c r="G639">
        <v>0</v>
      </c>
      <c r="H639">
        <f t="shared" si="158"/>
        <v>65535</v>
      </c>
      <c r="J639">
        <f t="shared" si="165"/>
        <v>0</v>
      </c>
      <c r="K639">
        <f t="shared" si="166"/>
        <v>0</v>
      </c>
      <c r="L639">
        <f t="shared" si="167"/>
        <v>0</v>
      </c>
      <c r="M639">
        <f t="shared" si="168"/>
        <v>0</v>
      </c>
      <c r="N639">
        <f t="shared" si="169"/>
        <v>0</v>
      </c>
    </row>
    <row r="640" spans="1:14" x14ac:dyDescent="0.2">
      <c r="A640">
        <f t="shared" si="164"/>
        <v>638</v>
      </c>
      <c r="B640" s="1" t="s">
        <v>377</v>
      </c>
      <c r="C640">
        <v>34</v>
      </c>
      <c r="D640">
        <v>3</v>
      </c>
      <c r="E640">
        <v>0</v>
      </c>
      <c r="F640">
        <v>0</v>
      </c>
      <c r="G640">
        <v>0</v>
      </c>
      <c r="H640">
        <f t="shared" si="158"/>
        <v>65535</v>
      </c>
      <c r="J640">
        <f t="shared" si="165"/>
        <v>0</v>
      </c>
      <c r="K640">
        <f t="shared" si="166"/>
        <v>0</v>
      </c>
      <c r="L640">
        <f t="shared" si="167"/>
        <v>0</v>
      </c>
      <c r="M640">
        <f t="shared" si="168"/>
        <v>0</v>
      </c>
      <c r="N640">
        <f t="shared" si="169"/>
        <v>0</v>
      </c>
    </row>
    <row r="641" spans="1:14" x14ac:dyDescent="0.2">
      <c r="A641">
        <f t="shared" si="164"/>
        <v>639</v>
      </c>
      <c r="B641" s="1" t="s">
        <v>378</v>
      </c>
      <c r="C641">
        <v>34</v>
      </c>
      <c r="D641">
        <v>3</v>
      </c>
      <c r="E641">
        <v>0</v>
      </c>
      <c r="F641">
        <v>0</v>
      </c>
      <c r="G641">
        <v>0</v>
      </c>
      <c r="H641">
        <f t="shared" si="158"/>
        <v>65535</v>
      </c>
      <c r="J641">
        <f t="shared" si="165"/>
        <v>0</v>
      </c>
      <c r="K641">
        <f t="shared" si="166"/>
        <v>0</v>
      </c>
      <c r="L641">
        <f t="shared" si="167"/>
        <v>0</v>
      </c>
      <c r="M641">
        <f t="shared" si="168"/>
        <v>0</v>
      </c>
      <c r="N641">
        <f t="shared" si="169"/>
        <v>0</v>
      </c>
    </row>
    <row r="642" spans="1:14" x14ac:dyDescent="0.2">
      <c r="A642">
        <f t="shared" si="164"/>
        <v>640</v>
      </c>
      <c r="B642" s="1" t="s">
        <v>379</v>
      </c>
      <c r="C642">
        <v>34</v>
      </c>
      <c r="D642">
        <v>2</v>
      </c>
      <c r="E642">
        <v>0</v>
      </c>
      <c r="F642">
        <v>0</v>
      </c>
      <c r="G642">
        <v>0</v>
      </c>
      <c r="H642">
        <f t="shared" ref="H642:H705" si="170">_xlfn.XLOOKUP(I642,$B$2:$B$982,$A$2:$A$982,65535)</f>
        <v>65535</v>
      </c>
      <c r="J642">
        <f t="shared" si="165"/>
        <v>0</v>
      </c>
      <c r="K642">
        <f t="shared" si="166"/>
        <v>0</v>
      </c>
      <c r="L642">
        <f t="shared" si="167"/>
        <v>0</v>
      </c>
      <c r="M642">
        <f t="shared" si="168"/>
        <v>0</v>
      </c>
      <c r="N642">
        <f t="shared" si="169"/>
        <v>0</v>
      </c>
    </row>
    <row r="643" spans="1:14" x14ac:dyDescent="0.2">
      <c r="A643">
        <f t="shared" si="164"/>
        <v>641</v>
      </c>
      <c r="B643" s="1" t="s">
        <v>380</v>
      </c>
      <c r="C643">
        <v>34</v>
      </c>
      <c r="D643">
        <v>1</v>
      </c>
      <c r="E643">
        <v>0</v>
      </c>
      <c r="F643">
        <v>0</v>
      </c>
      <c r="G643">
        <v>0</v>
      </c>
      <c r="H643">
        <f t="shared" si="170"/>
        <v>65535</v>
      </c>
      <c r="J643">
        <f t="shared" si="165"/>
        <v>0</v>
      </c>
      <c r="K643">
        <f t="shared" si="166"/>
        <v>0</v>
      </c>
      <c r="L643">
        <f t="shared" si="167"/>
        <v>0</v>
      </c>
      <c r="M643">
        <f t="shared" si="168"/>
        <v>0</v>
      </c>
      <c r="N643">
        <f t="shared" si="169"/>
        <v>0</v>
      </c>
    </row>
    <row r="644" spans="1:14" x14ac:dyDescent="0.2">
      <c r="A644">
        <f t="shared" si="164"/>
        <v>642</v>
      </c>
      <c r="B644" s="1" t="s">
        <v>381</v>
      </c>
      <c r="C644">
        <v>34</v>
      </c>
      <c r="D644">
        <v>0</v>
      </c>
      <c r="E644">
        <v>0</v>
      </c>
      <c r="F644">
        <v>0</v>
      </c>
      <c r="G644">
        <v>0</v>
      </c>
      <c r="H644">
        <f t="shared" si="170"/>
        <v>65535</v>
      </c>
      <c r="J644">
        <f t="shared" si="165"/>
        <v>0</v>
      </c>
      <c r="K644">
        <f t="shared" si="166"/>
        <v>0</v>
      </c>
      <c r="L644">
        <f t="shared" si="167"/>
        <v>0</v>
      </c>
      <c r="M644">
        <f t="shared" si="168"/>
        <v>0</v>
      </c>
      <c r="N644">
        <f t="shared" si="169"/>
        <v>0</v>
      </c>
    </row>
    <row r="645" spans="1:14" x14ac:dyDescent="0.2">
      <c r="A645">
        <f t="shared" si="164"/>
        <v>643</v>
      </c>
      <c r="B645" s="1" t="s">
        <v>382</v>
      </c>
      <c r="C645">
        <v>0</v>
      </c>
      <c r="D645">
        <v>-1</v>
      </c>
      <c r="E645">
        <v>0</v>
      </c>
      <c r="F645">
        <v>0</v>
      </c>
      <c r="G645">
        <v>0</v>
      </c>
      <c r="H645">
        <f t="shared" si="170"/>
        <v>65535</v>
      </c>
      <c r="J645">
        <f t="shared" si="165"/>
        <v>0</v>
      </c>
      <c r="K645">
        <f t="shared" si="166"/>
        <v>0</v>
      </c>
      <c r="L645">
        <f t="shared" si="167"/>
        <v>0</v>
      </c>
      <c r="M645">
        <f t="shared" si="168"/>
        <v>0</v>
      </c>
      <c r="N645">
        <f t="shared" si="169"/>
        <v>0</v>
      </c>
    </row>
    <row r="646" spans="1:14" x14ac:dyDescent="0.2">
      <c r="A646">
        <f t="shared" si="164"/>
        <v>644</v>
      </c>
      <c r="B646" s="1" t="s">
        <v>383</v>
      </c>
      <c r="C646">
        <v>0</v>
      </c>
      <c r="D646">
        <v>-2</v>
      </c>
      <c r="E646">
        <v>0</v>
      </c>
      <c r="F646">
        <v>0</v>
      </c>
      <c r="G646">
        <v>0</v>
      </c>
      <c r="H646">
        <f t="shared" si="170"/>
        <v>65535</v>
      </c>
      <c r="J646">
        <f t="shared" si="165"/>
        <v>0</v>
      </c>
      <c r="K646">
        <f t="shared" si="166"/>
        <v>0</v>
      </c>
      <c r="L646">
        <f t="shared" si="167"/>
        <v>0</v>
      </c>
      <c r="M646">
        <f t="shared" si="168"/>
        <v>0</v>
      </c>
      <c r="N646">
        <f t="shared" si="169"/>
        <v>0</v>
      </c>
    </row>
    <row r="647" spans="1:14" x14ac:dyDescent="0.2">
      <c r="A647">
        <f t="shared" si="164"/>
        <v>645</v>
      </c>
      <c r="B647" s="1" t="s">
        <v>384</v>
      </c>
      <c r="C647">
        <v>0</v>
      </c>
      <c r="D647">
        <v>-3</v>
      </c>
      <c r="E647">
        <v>0</v>
      </c>
      <c r="F647">
        <v>0</v>
      </c>
      <c r="G647">
        <v>0</v>
      </c>
      <c r="H647">
        <f t="shared" si="170"/>
        <v>65535</v>
      </c>
      <c r="J647">
        <f t="shared" si="165"/>
        <v>0</v>
      </c>
      <c r="K647">
        <f t="shared" si="166"/>
        <v>0</v>
      </c>
      <c r="L647">
        <f t="shared" si="167"/>
        <v>0</v>
      </c>
      <c r="M647">
        <f t="shared" si="168"/>
        <v>0</v>
      </c>
      <c r="N647">
        <f t="shared" si="169"/>
        <v>0</v>
      </c>
    </row>
    <row r="648" spans="1:14" x14ac:dyDescent="0.2">
      <c r="A648">
        <f t="shared" si="164"/>
        <v>646</v>
      </c>
      <c r="B648" s="1" t="s">
        <v>385</v>
      </c>
      <c r="C648">
        <v>0</v>
      </c>
      <c r="D648">
        <v>-3</v>
      </c>
      <c r="E648">
        <v>0</v>
      </c>
      <c r="F648">
        <v>0</v>
      </c>
      <c r="G648">
        <v>0</v>
      </c>
      <c r="H648">
        <f t="shared" si="170"/>
        <v>65535</v>
      </c>
      <c r="J648">
        <f t="shared" si="165"/>
        <v>0</v>
      </c>
      <c r="K648">
        <f t="shared" si="166"/>
        <v>0</v>
      </c>
      <c r="L648">
        <f t="shared" si="167"/>
        <v>0</v>
      </c>
      <c r="M648">
        <f t="shared" si="168"/>
        <v>0</v>
      </c>
      <c r="N648">
        <f t="shared" si="169"/>
        <v>0</v>
      </c>
    </row>
    <row r="649" spans="1:14" x14ac:dyDescent="0.2">
      <c r="A649">
        <f t="shared" si="164"/>
        <v>647</v>
      </c>
      <c r="B649" s="1" t="s">
        <v>386</v>
      </c>
      <c r="C649">
        <v>0</v>
      </c>
      <c r="D649">
        <v>-2</v>
      </c>
      <c r="E649">
        <v>0</v>
      </c>
      <c r="F649">
        <v>0</v>
      </c>
      <c r="G649">
        <v>0</v>
      </c>
      <c r="H649">
        <f t="shared" si="170"/>
        <v>65535</v>
      </c>
      <c r="J649">
        <f t="shared" si="165"/>
        <v>0</v>
      </c>
      <c r="K649">
        <f t="shared" si="166"/>
        <v>0</v>
      </c>
      <c r="L649">
        <f t="shared" si="167"/>
        <v>0</v>
      </c>
      <c r="M649">
        <f t="shared" si="168"/>
        <v>0</v>
      </c>
      <c r="N649">
        <f t="shared" si="169"/>
        <v>0</v>
      </c>
    </row>
    <row r="650" spans="1:14" x14ac:dyDescent="0.2">
      <c r="A650">
        <f t="shared" si="164"/>
        <v>648</v>
      </c>
      <c r="B650" s="1" t="s">
        <v>387</v>
      </c>
      <c r="C650">
        <v>0</v>
      </c>
      <c r="D650">
        <v>-1</v>
      </c>
      <c r="E650">
        <v>0</v>
      </c>
      <c r="F650">
        <v>0</v>
      </c>
      <c r="G650">
        <v>0</v>
      </c>
      <c r="H650">
        <f t="shared" si="170"/>
        <v>65535</v>
      </c>
      <c r="J650">
        <f t="shared" si="165"/>
        <v>0</v>
      </c>
      <c r="K650">
        <f t="shared" si="166"/>
        <v>0</v>
      </c>
      <c r="L650">
        <f t="shared" si="167"/>
        <v>0</v>
      </c>
      <c r="M650">
        <f t="shared" si="168"/>
        <v>0</v>
      </c>
      <c r="N650">
        <f t="shared" si="169"/>
        <v>0</v>
      </c>
    </row>
    <row r="651" spans="1:14" x14ac:dyDescent="0.2">
      <c r="A651">
        <f t="shared" si="164"/>
        <v>649</v>
      </c>
      <c r="B651" s="1" t="s">
        <v>388</v>
      </c>
      <c r="C651">
        <v>0</v>
      </c>
      <c r="D651">
        <v>0</v>
      </c>
      <c r="E651">
        <v>0</v>
      </c>
      <c r="F651">
        <v>0</v>
      </c>
      <c r="G651">
        <v>0</v>
      </c>
      <c r="H651">
        <f t="shared" si="170"/>
        <v>65535</v>
      </c>
      <c r="J651">
        <f t="shared" si="165"/>
        <v>0</v>
      </c>
      <c r="K651">
        <f t="shared" si="166"/>
        <v>0</v>
      </c>
      <c r="L651">
        <f t="shared" si="167"/>
        <v>0</v>
      </c>
      <c r="M651">
        <f t="shared" si="168"/>
        <v>0</v>
      </c>
      <c r="N651">
        <f t="shared" si="169"/>
        <v>0</v>
      </c>
    </row>
    <row r="652" spans="1:14" x14ac:dyDescent="0.2">
      <c r="A652">
        <f t="shared" si="164"/>
        <v>650</v>
      </c>
      <c r="B652" s="1" t="s">
        <v>389</v>
      </c>
      <c r="C652">
        <v>34</v>
      </c>
      <c r="D652">
        <v>1</v>
      </c>
      <c r="E652">
        <v>0</v>
      </c>
      <c r="F652">
        <v>0</v>
      </c>
      <c r="G652">
        <v>0</v>
      </c>
      <c r="H652">
        <f t="shared" si="170"/>
        <v>65535</v>
      </c>
      <c r="J652">
        <f t="shared" si="165"/>
        <v>0</v>
      </c>
      <c r="K652">
        <f t="shared" si="166"/>
        <v>0</v>
      </c>
      <c r="L652">
        <f t="shared" si="167"/>
        <v>0</v>
      </c>
      <c r="M652">
        <f t="shared" si="168"/>
        <v>0</v>
      </c>
      <c r="N652">
        <f t="shared" si="169"/>
        <v>0</v>
      </c>
    </row>
    <row r="653" spans="1:14" x14ac:dyDescent="0.2">
      <c r="A653">
        <f t="shared" si="164"/>
        <v>651</v>
      </c>
      <c r="B653" s="1" t="s">
        <v>390</v>
      </c>
      <c r="C653">
        <v>34</v>
      </c>
      <c r="D653">
        <v>2</v>
      </c>
      <c r="E653">
        <v>0</v>
      </c>
      <c r="F653">
        <v>0</v>
      </c>
      <c r="G653">
        <v>0</v>
      </c>
      <c r="H653">
        <f t="shared" si="170"/>
        <v>65535</v>
      </c>
      <c r="J653">
        <f t="shared" ref="J653:J678" si="171">C653-C269</f>
        <v>0</v>
      </c>
      <c r="K653">
        <f t="shared" ref="K653:K678" si="172">D653-D269</f>
        <v>0</v>
      </c>
      <c r="L653">
        <f t="shared" ref="L653:L678" si="173">E653+E269</f>
        <v>0</v>
      </c>
      <c r="M653">
        <f t="shared" ref="M653:M678" si="174">F653+F269</f>
        <v>0</v>
      </c>
      <c r="N653">
        <f t="shared" ref="N653:N678" si="175">G653+G269</f>
        <v>0</v>
      </c>
    </row>
    <row r="654" spans="1:14" x14ac:dyDescent="0.2">
      <c r="A654">
        <f t="shared" si="164"/>
        <v>652</v>
      </c>
      <c r="B654" s="1" t="s">
        <v>391</v>
      </c>
      <c r="C654">
        <v>34</v>
      </c>
      <c r="D654">
        <v>3</v>
      </c>
      <c r="E654">
        <v>0</v>
      </c>
      <c r="F654">
        <v>0</v>
      </c>
      <c r="G654">
        <v>0</v>
      </c>
      <c r="H654">
        <f t="shared" si="170"/>
        <v>65535</v>
      </c>
      <c r="J654">
        <f t="shared" si="171"/>
        <v>0</v>
      </c>
      <c r="K654">
        <f t="shared" si="172"/>
        <v>0</v>
      </c>
      <c r="L654">
        <f t="shared" si="173"/>
        <v>0</v>
      </c>
      <c r="M654">
        <f t="shared" si="174"/>
        <v>0</v>
      </c>
      <c r="N654">
        <f t="shared" si="175"/>
        <v>0</v>
      </c>
    </row>
    <row r="655" spans="1:14" x14ac:dyDescent="0.2">
      <c r="A655">
        <f t="shared" si="164"/>
        <v>653</v>
      </c>
      <c r="B655" s="1" t="s">
        <v>392</v>
      </c>
      <c r="C655">
        <v>34</v>
      </c>
      <c r="D655">
        <v>3</v>
      </c>
      <c r="E655">
        <v>0</v>
      </c>
      <c r="F655">
        <v>0</v>
      </c>
      <c r="G655">
        <v>0</v>
      </c>
      <c r="H655">
        <f t="shared" si="170"/>
        <v>65535</v>
      </c>
      <c r="J655">
        <f t="shared" si="171"/>
        <v>0</v>
      </c>
      <c r="K655">
        <f t="shared" si="172"/>
        <v>0</v>
      </c>
      <c r="L655">
        <f t="shared" si="173"/>
        <v>0</v>
      </c>
      <c r="M655">
        <f t="shared" si="174"/>
        <v>0</v>
      </c>
      <c r="N655">
        <f t="shared" si="175"/>
        <v>0</v>
      </c>
    </row>
    <row r="656" spans="1:14" x14ac:dyDescent="0.2">
      <c r="A656">
        <f t="shared" si="164"/>
        <v>654</v>
      </c>
      <c r="B656" s="1" t="s">
        <v>393</v>
      </c>
      <c r="C656">
        <v>34</v>
      </c>
      <c r="D656">
        <v>4</v>
      </c>
      <c r="E656">
        <v>0</v>
      </c>
      <c r="F656">
        <v>0</v>
      </c>
      <c r="G656">
        <v>0</v>
      </c>
      <c r="H656">
        <f t="shared" si="170"/>
        <v>65535</v>
      </c>
      <c r="J656">
        <f t="shared" si="171"/>
        <v>0</v>
      </c>
      <c r="K656">
        <f t="shared" si="172"/>
        <v>0</v>
      </c>
      <c r="L656">
        <f t="shared" si="173"/>
        <v>0</v>
      </c>
      <c r="M656">
        <f t="shared" si="174"/>
        <v>0</v>
      </c>
      <c r="N656">
        <f t="shared" si="175"/>
        <v>0</v>
      </c>
    </row>
    <row r="657" spans="1:14" x14ac:dyDescent="0.2">
      <c r="A657">
        <f t="shared" si="164"/>
        <v>655</v>
      </c>
      <c r="B657" s="1" t="s">
        <v>394</v>
      </c>
      <c r="C657">
        <v>34</v>
      </c>
      <c r="D657">
        <v>4</v>
      </c>
      <c r="E657">
        <v>0</v>
      </c>
      <c r="F657">
        <v>0</v>
      </c>
      <c r="G657">
        <v>0</v>
      </c>
      <c r="H657">
        <f t="shared" si="170"/>
        <v>65535</v>
      </c>
      <c r="J657">
        <f t="shared" si="171"/>
        <v>0</v>
      </c>
      <c r="K657">
        <f t="shared" si="172"/>
        <v>0</v>
      </c>
      <c r="L657">
        <f t="shared" si="173"/>
        <v>0</v>
      </c>
      <c r="M657">
        <f t="shared" si="174"/>
        <v>0</v>
      </c>
      <c r="N657">
        <f t="shared" si="175"/>
        <v>0</v>
      </c>
    </row>
    <row r="658" spans="1:14" x14ac:dyDescent="0.2">
      <c r="A658">
        <f t="shared" si="164"/>
        <v>656</v>
      </c>
      <c r="B658" s="1" t="s">
        <v>395</v>
      </c>
      <c r="C658">
        <v>34</v>
      </c>
      <c r="D658">
        <v>4</v>
      </c>
      <c r="E658">
        <v>0</v>
      </c>
      <c r="F658">
        <v>0</v>
      </c>
      <c r="G658">
        <v>0</v>
      </c>
      <c r="H658">
        <f t="shared" si="170"/>
        <v>65535</v>
      </c>
      <c r="J658">
        <f t="shared" si="171"/>
        <v>0</v>
      </c>
      <c r="K658">
        <f t="shared" si="172"/>
        <v>0</v>
      </c>
      <c r="L658">
        <f t="shared" si="173"/>
        <v>0</v>
      </c>
      <c r="M658">
        <f t="shared" si="174"/>
        <v>0</v>
      </c>
      <c r="N658">
        <f t="shared" si="175"/>
        <v>0</v>
      </c>
    </row>
    <row r="659" spans="1:14" x14ac:dyDescent="0.2">
      <c r="A659">
        <f t="shared" si="164"/>
        <v>657</v>
      </c>
      <c r="B659" s="1" t="s">
        <v>398</v>
      </c>
      <c r="C659">
        <v>34</v>
      </c>
      <c r="D659">
        <v>4</v>
      </c>
      <c r="E659">
        <v>0</v>
      </c>
      <c r="F659">
        <v>0</v>
      </c>
      <c r="G659">
        <v>0</v>
      </c>
      <c r="H659">
        <f t="shared" si="170"/>
        <v>65535</v>
      </c>
      <c r="J659">
        <f t="shared" si="171"/>
        <v>0</v>
      </c>
      <c r="K659">
        <f t="shared" si="172"/>
        <v>0</v>
      </c>
      <c r="L659">
        <f t="shared" si="173"/>
        <v>0</v>
      </c>
      <c r="M659">
        <f t="shared" si="174"/>
        <v>0</v>
      </c>
      <c r="N659">
        <f t="shared" si="175"/>
        <v>0</v>
      </c>
    </row>
    <row r="660" spans="1:14" x14ac:dyDescent="0.2">
      <c r="A660">
        <f t="shared" si="164"/>
        <v>658</v>
      </c>
      <c r="B660" s="1" t="s">
        <v>399</v>
      </c>
      <c r="C660">
        <v>34</v>
      </c>
      <c r="D660">
        <v>0</v>
      </c>
      <c r="E660">
        <v>0</v>
      </c>
      <c r="F660">
        <v>0</v>
      </c>
      <c r="G660">
        <v>0</v>
      </c>
      <c r="H660">
        <f t="shared" si="170"/>
        <v>618</v>
      </c>
      <c r="I660" s="8" t="s">
        <v>319</v>
      </c>
      <c r="J660">
        <f t="shared" si="171"/>
        <v>0</v>
      </c>
      <c r="K660">
        <f t="shared" si="172"/>
        <v>0</v>
      </c>
      <c r="L660">
        <f t="shared" si="173"/>
        <v>0</v>
      </c>
      <c r="M660">
        <f t="shared" si="174"/>
        <v>0</v>
      </c>
      <c r="N660">
        <f t="shared" si="175"/>
        <v>0</v>
      </c>
    </row>
    <row r="661" spans="1:14" x14ac:dyDescent="0.2">
      <c r="A661">
        <f t="shared" si="164"/>
        <v>659</v>
      </c>
      <c r="B661" s="1" t="s">
        <v>481</v>
      </c>
      <c r="C661">
        <v>13</v>
      </c>
      <c r="D661">
        <v>0</v>
      </c>
      <c r="E661">
        <v>5</v>
      </c>
      <c r="F661">
        <v>2</v>
      </c>
      <c r="G661">
        <v>1</v>
      </c>
      <c r="H661">
        <f t="shared" si="170"/>
        <v>65535</v>
      </c>
      <c r="J661">
        <f t="shared" si="171"/>
        <v>8</v>
      </c>
      <c r="K661">
        <f t="shared" si="172"/>
        <v>0</v>
      </c>
      <c r="L661">
        <f t="shared" si="173"/>
        <v>0</v>
      </c>
      <c r="M661">
        <f t="shared" si="174"/>
        <v>0</v>
      </c>
      <c r="N661">
        <f t="shared" si="175"/>
        <v>0</v>
      </c>
    </row>
    <row r="662" spans="1:14" x14ac:dyDescent="0.2">
      <c r="A662">
        <f t="shared" si="164"/>
        <v>660</v>
      </c>
      <c r="B662" s="1" t="s">
        <v>482</v>
      </c>
      <c r="C662">
        <v>12</v>
      </c>
      <c r="D662">
        <v>0</v>
      </c>
      <c r="E662">
        <v>5</v>
      </c>
      <c r="F662">
        <v>2</v>
      </c>
      <c r="G662">
        <v>1</v>
      </c>
      <c r="H662">
        <f t="shared" si="170"/>
        <v>65535</v>
      </c>
      <c r="J662">
        <f t="shared" si="171"/>
        <v>8</v>
      </c>
      <c r="K662">
        <f t="shared" si="172"/>
        <v>0</v>
      </c>
      <c r="L662">
        <f t="shared" si="173"/>
        <v>0</v>
      </c>
      <c r="M662">
        <f t="shared" si="174"/>
        <v>0</v>
      </c>
      <c r="N662">
        <f t="shared" si="175"/>
        <v>0</v>
      </c>
    </row>
    <row r="663" spans="1:14" x14ac:dyDescent="0.2">
      <c r="A663">
        <f t="shared" si="164"/>
        <v>661</v>
      </c>
      <c r="B663" s="1" t="s">
        <v>483</v>
      </c>
      <c r="C663">
        <v>13</v>
      </c>
      <c r="D663">
        <v>0</v>
      </c>
      <c r="E663">
        <v>5</v>
      </c>
      <c r="F663">
        <v>2</v>
      </c>
      <c r="G663">
        <v>1</v>
      </c>
      <c r="H663">
        <f t="shared" si="170"/>
        <v>65535</v>
      </c>
      <c r="J663">
        <f t="shared" si="171"/>
        <v>8</v>
      </c>
      <c r="K663">
        <f t="shared" si="172"/>
        <v>0</v>
      </c>
      <c r="L663">
        <f t="shared" si="173"/>
        <v>0</v>
      </c>
      <c r="M663">
        <f t="shared" si="174"/>
        <v>0</v>
      </c>
      <c r="N663">
        <f t="shared" si="175"/>
        <v>0</v>
      </c>
    </row>
    <row r="664" spans="1:14" x14ac:dyDescent="0.2">
      <c r="A664">
        <f t="shared" si="164"/>
        <v>662</v>
      </c>
      <c r="B664" s="1" t="s">
        <v>484</v>
      </c>
      <c r="C664">
        <v>14</v>
      </c>
      <c r="D664">
        <v>0</v>
      </c>
      <c r="E664">
        <v>5</v>
      </c>
      <c r="F664">
        <v>2</v>
      </c>
      <c r="G664">
        <v>1</v>
      </c>
      <c r="H664">
        <f t="shared" si="170"/>
        <v>65535</v>
      </c>
      <c r="J664">
        <f t="shared" si="171"/>
        <v>8</v>
      </c>
      <c r="K664">
        <f t="shared" si="172"/>
        <v>0</v>
      </c>
      <c r="L664">
        <f t="shared" si="173"/>
        <v>0</v>
      </c>
      <c r="M664">
        <f t="shared" si="174"/>
        <v>0</v>
      </c>
      <c r="N664">
        <f t="shared" si="175"/>
        <v>0</v>
      </c>
    </row>
    <row r="665" spans="1:14" x14ac:dyDescent="0.2">
      <c r="A665">
        <f t="shared" si="164"/>
        <v>663</v>
      </c>
      <c r="B665" s="1" t="s">
        <v>485</v>
      </c>
      <c r="C665">
        <v>13</v>
      </c>
      <c r="D665">
        <v>-3</v>
      </c>
      <c r="E665">
        <v>0</v>
      </c>
      <c r="F665">
        <v>0</v>
      </c>
      <c r="G665">
        <v>0</v>
      </c>
      <c r="H665">
        <f t="shared" si="170"/>
        <v>65535</v>
      </c>
      <c r="J665">
        <f t="shared" si="171"/>
        <v>8</v>
      </c>
      <c r="K665">
        <f t="shared" si="172"/>
        <v>0</v>
      </c>
      <c r="L665">
        <f t="shared" si="173"/>
        <v>0</v>
      </c>
      <c r="M665">
        <f t="shared" si="174"/>
        <v>0</v>
      </c>
      <c r="N665">
        <f t="shared" si="175"/>
        <v>0</v>
      </c>
    </row>
    <row r="666" spans="1:14" x14ac:dyDescent="0.2">
      <c r="A666">
        <f t="shared" si="164"/>
        <v>664</v>
      </c>
      <c r="B666" s="1" t="s">
        <v>486</v>
      </c>
      <c r="C666">
        <v>44</v>
      </c>
      <c r="D666">
        <v>-2</v>
      </c>
      <c r="E666">
        <v>5</v>
      </c>
      <c r="F666">
        <v>2</v>
      </c>
      <c r="G666">
        <v>1</v>
      </c>
      <c r="H666">
        <f t="shared" si="170"/>
        <v>65535</v>
      </c>
      <c r="J666">
        <f t="shared" si="171"/>
        <v>8</v>
      </c>
      <c r="K666">
        <f t="shared" si="172"/>
        <v>0</v>
      </c>
      <c r="L666">
        <f t="shared" si="173"/>
        <v>0</v>
      </c>
      <c r="M666">
        <f t="shared" si="174"/>
        <v>0</v>
      </c>
      <c r="N666">
        <f t="shared" si="175"/>
        <v>0</v>
      </c>
    </row>
    <row r="667" spans="1:14" x14ac:dyDescent="0.2">
      <c r="A667">
        <f t="shared" si="164"/>
        <v>665</v>
      </c>
      <c r="B667" s="1" t="s">
        <v>487</v>
      </c>
      <c r="C667">
        <v>44</v>
      </c>
      <c r="D667">
        <v>-2</v>
      </c>
      <c r="E667">
        <v>5</v>
      </c>
      <c r="F667">
        <v>2</v>
      </c>
      <c r="G667">
        <v>1</v>
      </c>
      <c r="H667">
        <f t="shared" si="170"/>
        <v>65535</v>
      </c>
      <c r="J667">
        <f t="shared" si="171"/>
        <v>8</v>
      </c>
      <c r="K667">
        <f t="shared" si="172"/>
        <v>0</v>
      </c>
      <c r="L667">
        <f t="shared" si="173"/>
        <v>0</v>
      </c>
      <c r="M667">
        <f t="shared" si="174"/>
        <v>0</v>
      </c>
      <c r="N667">
        <f t="shared" si="175"/>
        <v>0</v>
      </c>
    </row>
    <row r="668" spans="1:14" x14ac:dyDescent="0.2">
      <c r="A668">
        <f t="shared" si="164"/>
        <v>666</v>
      </c>
      <c r="B668" s="1" t="s">
        <v>488</v>
      </c>
      <c r="C668">
        <v>44</v>
      </c>
      <c r="D668">
        <v>-2</v>
      </c>
      <c r="E668">
        <v>5</v>
      </c>
      <c r="F668">
        <v>2</v>
      </c>
      <c r="G668">
        <v>1</v>
      </c>
      <c r="H668">
        <f t="shared" si="170"/>
        <v>65535</v>
      </c>
      <c r="J668">
        <f t="shared" si="171"/>
        <v>8</v>
      </c>
      <c r="K668">
        <f t="shared" si="172"/>
        <v>0</v>
      </c>
      <c r="L668">
        <f t="shared" si="173"/>
        <v>0</v>
      </c>
      <c r="M668">
        <f t="shared" si="174"/>
        <v>0</v>
      </c>
      <c r="N668">
        <f t="shared" si="175"/>
        <v>0</v>
      </c>
    </row>
    <row r="669" spans="1:14" x14ac:dyDescent="0.2">
      <c r="A669">
        <f t="shared" si="164"/>
        <v>667</v>
      </c>
      <c r="B669" s="1" t="s">
        <v>489</v>
      </c>
      <c r="C669">
        <v>44</v>
      </c>
      <c r="D669">
        <v>-2</v>
      </c>
      <c r="E669">
        <v>5</v>
      </c>
      <c r="F669">
        <v>2</v>
      </c>
      <c r="G669">
        <v>1</v>
      </c>
      <c r="H669">
        <f t="shared" si="170"/>
        <v>65535</v>
      </c>
      <c r="J669">
        <f t="shared" si="171"/>
        <v>8</v>
      </c>
      <c r="K669">
        <f t="shared" si="172"/>
        <v>0</v>
      </c>
      <c r="L669">
        <f t="shared" si="173"/>
        <v>0</v>
      </c>
      <c r="M669">
        <f t="shared" si="174"/>
        <v>0</v>
      </c>
      <c r="N669">
        <f t="shared" si="175"/>
        <v>0</v>
      </c>
    </row>
    <row r="670" spans="1:14" x14ac:dyDescent="0.2">
      <c r="A670">
        <f t="shared" si="164"/>
        <v>668</v>
      </c>
      <c r="B670" s="1" t="s">
        <v>490</v>
      </c>
      <c r="C670">
        <v>13</v>
      </c>
      <c r="D670">
        <v>-1</v>
      </c>
      <c r="E670">
        <v>0</v>
      </c>
      <c r="F670">
        <v>0</v>
      </c>
      <c r="G670">
        <v>0</v>
      </c>
      <c r="H670">
        <f t="shared" si="170"/>
        <v>65535</v>
      </c>
      <c r="J670">
        <f t="shared" si="171"/>
        <v>8</v>
      </c>
      <c r="K670">
        <f t="shared" si="172"/>
        <v>0</v>
      </c>
      <c r="L670">
        <f t="shared" si="173"/>
        <v>0</v>
      </c>
      <c r="M670">
        <f t="shared" si="174"/>
        <v>0</v>
      </c>
      <c r="N670">
        <f t="shared" si="175"/>
        <v>0</v>
      </c>
    </row>
    <row r="671" spans="1:14" x14ac:dyDescent="0.2">
      <c r="A671">
        <f t="shared" si="164"/>
        <v>669</v>
      </c>
      <c r="B671" s="1" t="s">
        <v>491</v>
      </c>
      <c r="C671">
        <v>13</v>
      </c>
      <c r="D671">
        <v>-4</v>
      </c>
      <c r="E671">
        <v>0</v>
      </c>
      <c r="F671">
        <v>0</v>
      </c>
      <c r="G671">
        <v>0</v>
      </c>
      <c r="H671">
        <f t="shared" si="170"/>
        <v>65535</v>
      </c>
      <c r="J671">
        <f t="shared" si="171"/>
        <v>8</v>
      </c>
      <c r="K671">
        <f t="shared" si="172"/>
        <v>0</v>
      </c>
      <c r="L671">
        <f t="shared" si="173"/>
        <v>0</v>
      </c>
      <c r="M671">
        <f t="shared" si="174"/>
        <v>0</v>
      </c>
      <c r="N671">
        <f t="shared" si="175"/>
        <v>0</v>
      </c>
    </row>
    <row r="672" spans="1:14" x14ac:dyDescent="0.2">
      <c r="A672">
        <f t="shared" si="164"/>
        <v>670</v>
      </c>
      <c r="B672" s="1" t="s">
        <v>492</v>
      </c>
      <c r="C672">
        <v>13</v>
      </c>
      <c r="D672">
        <v>0</v>
      </c>
      <c r="E672">
        <v>5</v>
      </c>
      <c r="F672">
        <v>2</v>
      </c>
      <c r="G672">
        <v>1</v>
      </c>
      <c r="H672">
        <f t="shared" si="170"/>
        <v>65535</v>
      </c>
      <c r="J672">
        <f t="shared" si="171"/>
        <v>8</v>
      </c>
      <c r="K672">
        <f t="shared" si="172"/>
        <v>0</v>
      </c>
      <c r="L672">
        <f t="shared" si="173"/>
        <v>0</v>
      </c>
      <c r="M672">
        <f t="shared" si="174"/>
        <v>0</v>
      </c>
      <c r="N672">
        <f t="shared" si="175"/>
        <v>0</v>
      </c>
    </row>
    <row r="673" spans="1:14" x14ac:dyDescent="0.2">
      <c r="A673">
        <f t="shared" ref="A673:A757" si="176">A672+1</f>
        <v>671</v>
      </c>
      <c r="B673" s="1" t="s">
        <v>493</v>
      </c>
      <c r="C673">
        <v>12</v>
      </c>
      <c r="D673">
        <v>0</v>
      </c>
      <c r="E673">
        <v>5</v>
      </c>
      <c r="F673">
        <v>2</v>
      </c>
      <c r="G673">
        <v>1</v>
      </c>
      <c r="H673">
        <f t="shared" si="170"/>
        <v>65535</v>
      </c>
      <c r="I673" s="1"/>
      <c r="J673">
        <f t="shared" si="171"/>
        <v>8</v>
      </c>
      <c r="K673">
        <f t="shared" si="172"/>
        <v>0</v>
      </c>
      <c r="L673">
        <f t="shared" si="173"/>
        <v>0</v>
      </c>
      <c r="M673">
        <f t="shared" si="174"/>
        <v>0</v>
      </c>
      <c r="N673">
        <f t="shared" si="175"/>
        <v>0</v>
      </c>
    </row>
    <row r="674" spans="1:14" x14ac:dyDescent="0.2">
      <c r="A674">
        <f t="shared" si="176"/>
        <v>672</v>
      </c>
      <c r="B674" s="1" t="s">
        <v>494</v>
      </c>
      <c r="C674">
        <v>13</v>
      </c>
      <c r="D674">
        <v>0</v>
      </c>
      <c r="E674">
        <v>5</v>
      </c>
      <c r="F674">
        <v>2</v>
      </c>
      <c r="G674">
        <v>1</v>
      </c>
      <c r="H674">
        <f t="shared" si="170"/>
        <v>65535</v>
      </c>
      <c r="J674">
        <f t="shared" si="171"/>
        <v>8</v>
      </c>
      <c r="K674">
        <f t="shared" si="172"/>
        <v>0</v>
      </c>
      <c r="L674">
        <f t="shared" si="173"/>
        <v>0</v>
      </c>
      <c r="M674">
        <f t="shared" si="174"/>
        <v>0</v>
      </c>
      <c r="N674">
        <f t="shared" si="175"/>
        <v>0</v>
      </c>
    </row>
    <row r="675" spans="1:14" x14ac:dyDescent="0.2">
      <c r="A675">
        <f t="shared" si="176"/>
        <v>673</v>
      </c>
      <c r="B675" s="1" t="s">
        <v>495</v>
      </c>
      <c r="C675">
        <v>14</v>
      </c>
      <c r="D675">
        <v>0</v>
      </c>
      <c r="E675">
        <v>5</v>
      </c>
      <c r="F675">
        <v>2</v>
      </c>
      <c r="G675">
        <v>1</v>
      </c>
      <c r="H675">
        <f t="shared" si="170"/>
        <v>65535</v>
      </c>
      <c r="J675">
        <f t="shared" si="171"/>
        <v>8</v>
      </c>
      <c r="K675">
        <f t="shared" si="172"/>
        <v>0</v>
      </c>
      <c r="L675">
        <f t="shared" si="173"/>
        <v>0</v>
      </c>
      <c r="M675">
        <f t="shared" si="174"/>
        <v>0</v>
      </c>
      <c r="N675">
        <f t="shared" si="175"/>
        <v>0</v>
      </c>
    </row>
    <row r="676" spans="1:14" x14ac:dyDescent="0.2">
      <c r="A676">
        <f t="shared" si="176"/>
        <v>674</v>
      </c>
      <c r="B676" s="1" t="s">
        <v>496</v>
      </c>
      <c r="C676">
        <v>13</v>
      </c>
      <c r="D676">
        <v>-3</v>
      </c>
      <c r="E676">
        <v>0</v>
      </c>
      <c r="F676">
        <v>0</v>
      </c>
      <c r="G676">
        <v>0</v>
      </c>
      <c r="H676">
        <f t="shared" si="170"/>
        <v>65535</v>
      </c>
      <c r="J676">
        <f t="shared" si="171"/>
        <v>8</v>
      </c>
      <c r="K676">
        <f t="shared" si="172"/>
        <v>0</v>
      </c>
      <c r="L676">
        <f t="shared" si="173"/>
        <v>0</v>
      </c>
      <c r="M676">
        <f t="shared" si="174"/>
        <v>0</v>
      </c>
      <c r="N676">
        <f t="shared" si="175"/>
        <v>0</v>
      </c>
    </row>
    <row r="677" spans="1:14" x14ac:dyDescent="0.2">
      <c r="A677">
        <f t="shared" si="176"/>
        <v>675</v>
      </c>
      <c r="B677" s="1" t="s">
        <v>497</v>
      </c>
      <c r="C677">
        <v>44</v>
      </c>
      <c r="D677">
        <v>-2</v>
      </c>
      <c r="E677">
        <v>5</v>
      </c>
      <c r="F677">
        <v>2</v>
      </c>
      <c r="G677">
        <v>1</v>
      </c>
      <c r="H677">
        <f t="shared" si="170"/>
        <v>65535</v>
      </c>
      <c r="I677" s="1"/>
      <c r="J677">
        <f t="shared" si="171"/>
        <v>8</v>
      </c>
      <c r="K677">
        <f t="shared" si="172"/>
        <v>0</v>
      </c>
      <c r="L677">
        <f t="shared" si="173"/>
        <v>0</v>
      </c>
      <c r="M677">
        <f t="shared" si="174"/>
        <v>0</v>
      </c>
      <c r="N677">
        <f t="shared" si="175"/>
        <v>0</v>
      </c>
    </row>
    <row r="678" spans="1:14" x14ac:dyDescent="0.2">
      <c r="A678">
        <f t="shared" si="176"/>
        <v>676</v>
      </c>
      <c r="B678" s="1" t="s">
        <v>498</v>
      </c>
      <c r="C678">
        <v>44</v>
      </c>
      <c r="D678">
        <v>-2</v>
      </c>
      <c r="E678">
        <v>5</v>
      </c>
      <c r="F678">
        <v>2</v>
      </c>
      <c r="G678">
        <v>1</v>
      </c>
      <c r="H678">
        <f t="shared" si="170"/>
        <v>65535</v>
      </c>
      <c r="J678">
        <f t="shared" si="171"/>
        <v>8</v>
      </c>
      <c r="K678">
        <f t="shared" si="172"/>
        <v>0</v>
      </c>
      <c r="L678">
        <f t="shared" si="173"/>
        <v>0</v>
      </c>
      <c r="M678">
        <f t="shared" si="174"/>
        <v>0</v>
      </c>
      <c r="N678">
        <f t="shared" si="175"/>
        <v>0</v>
      </c>
    </row>
    <row r="679" spans="1:14" x14ac:dyDescent="0.2">
      <c r="A679">
        <f t="shared" si="176"/>
        <v>677</v>
      </c>
      <c r="B679" s="1" t="s">
        <v>499</v>
      </c>
      <c r="C679">
        <v>44</v>
      </c>
      <c r="D679">
        <v>-2</v>
      </c>
      <c r="E679">
        <v>5</v>
      </c>
      <c r="F679">
        <v>2</v>
      </c>
      <c r="G679">
        <v>1</v>
      </c>
      <c r="H679">
        <f t="shared" si="170"/>
        <v>65535</v>
      </c>
      <c r="J679">
        <f t="shared" ref="J679:K679" si="177">C679-C295</f>
        <v>8</v>
      </c>
      <c r="K679">
        <f t="shared" si="177"/>
        <v>0</v>
      </c>
      <c r="L679">
        <f t="shared" ref="L679:N679" si="178">E679+E295</f>
        <v>0</v>
      </c>
      <c r="M679">
        <f t="shared" si="178"/>
        <v>0</v>
      </c>
      <c r="N679">
        <f t="shared" si="178"/>
        <v>0</v>
      </c>
    </row>
    <row r="680" spans="1:14" x14ac:dyDescent="0.2">
      <c r="A680">
        <f t="shared" si="176"/>
        <v>678</v>
      </c>
      <c r="B680" s="1" t="s">
        <v>500</v>
      </c>
      <c r="C680">
        <v>44</v>
      </c>
      <c r="D680">
        <v>-2</v>
      </c>
      <c r="E680">
        <v>5</v>
      </c>
      <c r="F680">
        <v>2</v>
      </c>
      <c r="G680">
        <v>1</v>
      </c>
      <c r="H680">
        <f t="shared" si="170"/>
        <v>65535</v>
      </c>
      <c r="J680">
        <f t="shared" ref="J680:K680" si="179">C680-C296</f>
        <v>8</v>
      </c>
      <c r="K680">
        <f t="shared" si="179"/>
        <v>0</v>
      </c>
      <c r="L680">
        <f t="shared" ref="L680:N680" si="180">E680+E296</f>
        <v>0</v>
      </c>
      <c r="M680">
        <f t="shared" si="180"/>
        <v>0</v>
      </c>
      <c r="N680">
        <f t="shared" si="180"/>
        <v>0</v>
      </c>
    </row>
    <row r="681" spans="1:14" x14ac:dyDescent="0.2">
      <c r="A681">
        <f t="shared" si="176"/>
        <v>679</v>
      </c>
      <c r="B681" s="1" t="s">
        <v>501</v>
      </c>
      <c r="C681">
        <v>44</v>
      </c>
      <c r="D681">
        <v>-2</v>
      </c>
      <c r="E681">
        <v>5</v>
      </c>
      <c r="F681">
        <v>2</v>
      </c>
      <c r="G681">
        <v>1</v>
      </c>
      <c r="H681">
        <f t="shared" si="170"/>
        <v>65535</v>
      </c>
      <c r="I681" s="1"/>
      <c r="J681">
        <f t="shared" ref="J681:K681" si="181">C681-C297</f>
        <v>8</v>
      </c>
      <c r="K681">
        <f t="shared" si="181"/>
        <v>0</v>
      </c>
      <c r="L681">
        <f t="shared" ref="L681:N681" si="182">E681+E297</f>
        <v>0</v>
      </c>
      <c r="M681">
        <f t="shared" si="182"/>
        <v>0</v>
      </c>
      <c r="N681">
        <f t="shared" si="182"/>
        <v>0</v>
      </c>
    </row>
    <row r="682" spans="1:14" x14ac:dyDescent="0.2">
      <c r="A682">
        <f t="shared" si="176"/>
        <v>680</v>
      </c>
      <c r="B682" s="1" t="s">
        <v>502</v>
      </c>
      <c r="C682">
        <v>44</v>
      </c>
      <c r="D682">
        <v>-2</v>
      </c>
      <c r="E682">
        <v>5</v>
      </c>
      <c r="F682">
        <v>2</v>
      </c>
      <c r="G682">
        <v>1</v>
      </c>
      <c r="H682">
        <f t="shared" si="170"/>
        <v>65535</v>
      </c>
      <c r="J682">
        <f t="shared" ref="J682:K682" si="183">C682-C298</f>
        <v>8</v>
      </c>
      <c r="K682">
        <f t="shared" si="183"/>
        <v>0</v>
      </c>
      <c r="L682">
        <f t="shared" ref="L682:N682" si="184">E682+E298</f>
        <v>0</v>
      </c>
      <c r="M682">
        <f t="shared" si="184"/>
        <v>0</v>
      </c>
      <c r="N682">
        <f t="shared" si="184"/>
        <v>0</v>
      </c>
    </row>
    <row r="683" spans="1:14" x14ac:dyDescent="0.2">
      <c r="A683">
        <f t="shared" si="176"/>
        <v>681</v>
      </c>
      <c r="B683" s="1" t="s">
        <v>503</v>
      </c>
      <c r="C683">
        <v>44</v>
      </c>
      <c r="D683">
        <v>-1</v>
      </c>
      <c r="E683">
        <v>5</v>
      </c>
      <c r="F683">
        <v>2</v>
      </c>
      <c r="G683">
        <v>1</v>
      </c>
      <c r="H683">
        <f t="shared" si="170"/>
        <v>65535</v>
      </c>
      <c r="J683">
        <f t="shared" ref="J683:K683" si="185">C683-C299</f>
        <v>8</v>
      </c>
      <c r="K683">
        <f t="shared" si="185"/>
        <v>0</v>
      </c>
      <c r="L683">
        <f t="shared" ref="L683:N683" si="186">E683+E299</f>
        <v>0</v>
      </c>
      <c r="M683">
        <f t="shared" si="186"/>
        <v>0</v>
      </c>
      <c r="N683">
        <f t="shared" si="186"/>
        <v>0</v>
      </c>
    </row>
    <row r="684" spans="1:14" x14ac:dyDescent="0.2">
      <c r="A684">
        <f t="shared" si="176"/>
        <v>682</v>
      </c>
      <c r="B684" s="1" t="s">
        <v>504</v>
      </c>
      <c r="C684">
        <v>13</v>
      </c>
      <c r="D684">
        <v>0</v>
      </c>
      <c r="E684">
        <v>5</v>
      </c>
      <c r="F684">
        <v>2</v>
      </c>
      <c r="G684">
        <v>1</v>
      </c>
      <c r="H684">
        <f t="shared" si="170"/>
        <v>65535</v>
      </c>
      <c r="I684" s="1"/>
      <c r="J684">
        <f t="shared" ref="J684:K684" si="187">C684-C300</f>
        <v>8</v>
      </c>
      <c r="K684">
        <f t="shared" si="187"/>
        <v>0</v>
      </c>
      <c r="L684">
        <f t="shared" ref="L684:N684" si="188">E684+E300</f>
        <v>0</v>
      </c>
      <c r="M684">
        <f t="shared" si="188"/>
        <v>0</v>
      </c>
      <c r="N684">
        <f t="shared" si="188"/>
        <v>0</v>
      </c>
    </row>
    <row r="685" spans="1:14" x14ac:dyDescent="0.2">
      <c r="A685">
        <f t="shared" si="176"/>
        <v>683</v>
      </c>
      <c r="B685" s="1" t="s">
        <v>1023</v>
      </c>
      <c r="C685">
        <v>13</v>
      </c>
      <c r="D685">
        <v>0</v>
      </c>
      <c r="E685">
        <v>5</v>
      </c>
      <c r="F685">
        <v>2</v>
      </c>
      <c r="G685">
        <v>1</v>
      </c>
      <c r="H685">
        <f t="shared" si="170"/>
        <v>65535</v>
      </c>
      <c r="J685">
        <f t="shared" ref="J685:K685" si="189">C685-C301</f>
        <v>8</v>
      </c>
      <c r="K685">
        <f t="shared" si="189"/>
        <v>0</v>
      </c>
      <c r="L685">
        <f t="shared" ref="L685:N685" si="190">E685+E301</f>
        <v>0</v>
      </c>
      <c r="M685">
        <f t="shared" si="190"/>
        <v>0</v>
      </c>
      <c r="N685">
        <f t="shared" si="190"/>
        <v>0</v>
      </c>
    </row>
    <row r="686" spans="1:14" x14ac:dyDescent="0.2">
      <c r="A686">
        <f t="shared" si="176"/>
        <v>684</v>
      </c>
      <c r="B686" s="1" t="s">
        <v>1024</v>
      </c>
      <c r="C686">
        <v>12</v>
      </c>
      <c r="D686">
        <v>0</v>
      </c>
      <c r="E686">
        <v>5</v>
      </c>
      <c r="F686">
        <v>2</v>
      </c>
      <c r="G686">
        <v>1</v>
      </c>
      <c r="H686">
        <f t="shared" si="170"/>
        <v>65535</v>
      </c>
      <c r="I686" s="1"/>
      <c r="J686">
        <f t="shared" ref="J686:K686" si="191">C686-C302</f>
        <v>8</v>
      </c>
      <c r="K686">
        <f t="shared" si="191"/>
        <v>0</v>
      </c>
      <c r="L686">
        <f t="shared" ref="L686:N686" si="192">E686+E302</f>
        <v>0</v>
      </c>
      <c r="M686">
        <f t="shared" si="192"/>
        <v>0</v>
      </c>
      <c r="N686">
        <f t="shared" si="192"/>
        <v>0</v>
      </c>
    </row>
    <row r="687" spans="1:14" x14ac:dyDescent="0.2">
      <c r="A687">
        <f t="shared" si="176"/>
        <v>685</v>
      </c>
      <c r="B687" s="1" t="s">
        <v>1025</v>
      </c>
      <c r="C687">
        <v>13</v>
      </c>
      <c r="D687">
        <v>0</v>
      </c>
      <c r="E687">
        <v>5</v>
      </c>
      <c r="F687">
        <v>2</v>
      </c>
      <c r="G687">
        <v>1</v>
      </c>
      <c r="H687">
        <f t="shared" si="170"/>
        <v>65535</v>
      </c>
      <c r="J687">
        <f t="shared" ref="J687:K687" si="193">C687-C303</f>
        <v>8</v>
      </c>
      <c r="K687">
        <f t="shared" si="193"/>
        <v>0</v>
      </c>
      <c r="L687">
        <f t="shared" ref="L687:N687" si="194">E687+E303</f>
        <v>0</v>
      </c>
      <c r="M687">
        <f t="shared" si="194"/>
        <v>0</v>
      </c>
      <c r="N687">
        <f t="shared" si="194"/>
        <v>0</v>
      </c>
    </row>
    <row r="688" spans="1:14" x14ac:dyDescent="0.2">
      <c r="A688">
        <f t="shared" si="176"/>
        <v>686</v>
      </c>
      <c r="B688" s="1" t="s">
        <v>1026</v>
      </c>
      <c r="C688">
        <v>14</v>
      </c>
      <c r="D688">
        <v>0</v>
      </c>
      <c r="E688">
        <v>5</v>
      </c>
      <c r="F688">
        <v>2</v>
      </c>
      <c r="G688">
        <v>1</v>
      </c>
      <c r="H688">
        <f t="shared" si="170"/>
        <v>65535</v>
      </c>
      <c r="J688">
        <f t="shared" ref="J688:K688" si="195">C688-C304</f>
        <v>8</v>
      </c>
      <c r="K688">
        <f t="shared" si="195"/>
        <v>0</v>
      </c>
      <c r="L688">
        <f t="shared" ref="L688:N688" si="196">E688+E304</f>
        <v>0</v>
      </c>
      <c r="M688">
        <f t="shared" si="196"/>
        <v>0</v>
      </c>
      <c r="N688">
        <f t="shared" si="196"/>
        <v>0</v>
      </c>
    </row>
    <row r="689" spans="1:14" x14ac:dyDescent="0.2">
      <c r="A689">
        <f t="shared" si="176"/>
        <v>687</v>
      </c>
      <c r="B689" s="1" t="s">
        <v>1027</v>
      </c>
      <c r="C689">
        <v>13</v>
      </c>
      <c r="D689">
        <v>-3</v>
      </c>
      <c r="E689">
        <v>5</v>
      </c>
      <c r="F689">
        <v>2</v>
      </c>
      <c r="G689">
        <v>1</v>
      </c>
      <c r="H689">
        <f t="shared" si="170"/>
        <v>65535</v>
      </c>
      <c r="J689">
        <f t="shared" ref="J689:K689" si="197">C689-C305</f>
        <v>8</v>
      </c>
      <c r="K689">
        <f t="shared" si="197"/>
        <v>0</v>
      </c>
      <c r="L689">
        <f t="shared" ref="L689:N689" si="198">E689+E305</f>
        <v>0</v>
      </c>
      <c r="M689">
        <f t="shared" si="198"/>
        <v>0</v>
      </c>
      <c r="N689">
        <f t="shared" si="198"/>
        <v>0</v>
      </c>
    </row>
    <row r="690" spans="1:14" x14ac:dyDescent="0.2">
      <c r="A690">
        <f t="shared" si="176"/>
        <v>688</v>
      </c>
      <c r="B690" s="1" t="s">
        <v>1028</v>
      </c>
      <c r="C690">
        <v>44</v>
      </c>
      <c r="D690">
        <v>-2</v>
      </c>
      <c r="E690">
        <v>5</v>
      </c>
      <c r="F690">
        <v>2</v>
      </c>
      <c r="G690">
        <v>1</v>
      </c>
      <c r="H690">
        <f t="shared" si="170"/>
        <v>65535</v>
      </c>
      <c r="I690" s="1"/>
      <c r="J690">
        <f t="shared" ref="J690:K690" si="199">C690-C306</f>
        <v>8</v>
      </c>
      <c r="K690">
        <f t="shared" si="199"/>
        <v>0</v>
      </c>
      <c r="L690">
        <f t="shared" ref="L690:N690" si="200">E690+E306</f>
        <v>0</v>
      </c>
      <c r="M690">
        <f t="shared" si="200"/>
        <v>0</v>
      </c>
      <c r="N690">
        <f t="shared" si="200"/>
        <v>0</v>
      </c>
    </row>
    <row r="691" spans="1:14" x14ac:dyDescent="0.2">
      <c r="A691">
        <f t="shared" si="176"/>
        <v>689</v>
      </c>
      <c r="B691" s="1" t="s">
        <v>1029</v>
      </c>
      <c r="C691">
        <v>44</v>
      </c>
      <c r="D691">
        <v>-2</v>
      </c>
      <c r="E691">
        <v>5</v>
      </c>
      <c r="F691">
        <v>2</v>
      </c>
      <c r="G691">
        <v>1</v>
      </c>
      <c r="H691">
        <f t="shared" si="170"/>
        <v>65535</v>
      </c>
      <c r="J691">
        <f t="shared" ref="J691:K691" si="201">C691-C307</f>
        <v>8</v>
      </c>
      <c r="K691">
        <f t="shared" si="201"/>
        <v>0</v>
      </c>
      <c r="L691">
        <f t="shared" ref="L691:N691" si="202">E691+E307</f>
        <v>0</v>
      </c>
      <c r="M691">
        <f t="shared" si="202"/>
        <v>0</v>
      </c>
      <c r="N691">
        <f t="shared" si="202"/>
        <v>0</v>
      </c>
    </row>
    <row r="692" spans="1:14" x14ac:dyDescent="0.2">
      <c r="A692">
        <f t="shared" si="176"/>
        <v>690</v>
      </c>
      <c r="B692" s="1" t="s">
        <v>1030</v>
      </c>
      <c r="C692">
        <v>44</v>
      </c>
      <c r="D692">
        <v>-2</v>
      </c>
      <c r="E692">
        <v>5</v>
      </c>
      <c r="F692">
        <v>2</v>
      </c>
      <c r="G692">
        <v>1</v>
      </c>
      <c r="H692">
        <f t="shared" si="170"/>
        <v>65535</v>
      </c>
      <c r="J692">
        <f t="shared" ref="J692:K692" si="203">C692-C308</f>
        <v>8</v>
      </c>
      <c r="K692">
        <f t="shared" si="203"/>
        <v>0</v>
      </c>
      <c r="L692">
        <f t="shared" ref="L692:N692" si="204">E692+E308</f>
        <v>0</v>
      </c>
      <c r="M692">
        <f t="shared" si="204"/>
        <v>0</v>
      </c>
      <c r="N692">
        <f t="shared" si="204"/>
        <v>0</v>
      </c>
    </row>
    <row r="693" spans="1:14" x14ac:dyDescent="0.2">
      <c r="A693">
        <f t="shared" si="176"/>
        <v>691</v>
      </c>
      <c r="B693" s="1" t="s">
        <v>1031</v>
      </c>
      <c r="C693">
        <v>44</v>
      </c>
      <c r="D693">
        <v>-2</v>
      </c>
      <c r="E693">
        <v>5</v>
      </c>
      <c r="F693">
        <v>2</v>
      </c>
      <c r="G693">
        <v>1</v>
      </c>
      <c r="H693">
        <f t="shared" si="170"/>
        <v>65535</v>
      </c>
      <c r="J693">
        <f t="shared" ref="J693:K693" si="205">C693-C309</f>
        <v>8</v>
      </c>
      <c r="K693">
        <f t="shared" si="205"/>
        <v>0</v>
      </c>
      <c r="L693">
        <f t="shared" ref="L693:N693" si="206">E693+E309</f>
        <v>0</v>
      </c>
      <c r="M693">
        <f t="shared" si="206"/>
        <v>0</v>
      </c>
      <c r="N693">
        <f t="shared" si="206"/>
        <v>0</v>
      </c>
    </row>
    <row r="694" spans="1:14" x14ac:dyDescent="0.2">
      <c r="A694">
        <f t="shared" si="176"/>
        <v>692</v>
      </c>
      <c r="B694" s="1" t="s">
        <v>1032</v>
      </c>
      <c r="C694">
        <v>44</v>
      </c>
      <c r="D694">
        <v>-2</v>
      </c>
      <c r="E694">
        <v>5</v>
      </c>
      <c r="F694">
        <v>2</v>
      </c>
      <c r="G694">
        <v>1</v>
      </c>
      <c r="H694">
        <f t="shared" si="170"/>
        <v>65535</v>
      </c>
      <c r="I694" s="1"/>
      <c r="J694">
        <f t="shared" ref="J694:K694" si="207">C694-C310</f>
        <v>8</v>
      </c>
      <c r="K694">
        <f t="shared" si="207"/>
        <v>0</v>
      </c>
      <c r="L694">
        <f t="shared" ref="L694:N694" si="208">E694+E310</f>
        <v>0</v>
      </c>
      <c r="M694">
        <f t="shared" si="208"/>
        <v>0</v>
      </c>
      <c r="N694">
        <f t="shared" si="208"/>
        <v>0</v>
      </c>
    </row>
    <row r="695" spans="1:14" x14ac:dyDescent="0.2">
      <c r="A695">
        <f t="shared" si="176"/>
        <v>693</v>
      </c>
      <c r="B695" s="1" t="s">
        <v>1033</v>
      </c>
      <c r="C695">
        <v>44</v>
      </c>
      <c r="D695">
        <v>-2</v>
      </c>
      <c r="E695">
        <v>5</v>
      </c>
      <c r="F695">
        <v>2</v>
      </c>
      <c r="G695">
        <v>1</v>
      </c>
      <c r="H695">
        <f t="shared" si="170"/>
        <v>65535</v>
      </c>
      <c r="J695">
        <f t="shared" ref="J695:K697" si="209">C695-C323</f>
        <v>40</v>
      </c>
      <c r="K695">
        <f t="shared" si="209"/>
        <v>-2</v>
      </c>
      <c r="L695">
        <f t="shared" ref="L695:N697" si="210">E695+E323</f>
        <v>0</v>
      </c>
      <c r="M695">
        <f t="shared" si="210"/>
        <v>0</v>
      </c>
      <c r="N695">
        <f t="shared" si="210"/>
        <v>0</v>
      </c>
    </row>
    <row r="696" spans="1:14" x14ac:dyDescent="0.2">
      <c r="A696">
        <f t="shared" si="176"/>
        <v>694</v>
      </c>
      <c r="B696" s="1" t="s">
        <v>1034</v>
      </c>
      <c r="C696">
        <v>44</v>
      </c>
      <c r="D696">
        <v>-1</v>
      </c>
      <c r="E696">
        <v>5</v>
      </c>
      <c r="F696">
        <v>2</v>
      </c>
      <c r="G696">
        <v>1</v>
      </c>
      <c r="H696">
        <f t="shared" si="170"/>
        <v>65535</v>
      </c>
      <c r="J696">
        <f t="shared" si="209"/>
        <v>39</v>
      </c>
      <c r="K696">
        <f t="shared" si="209"/>
        <v>-1</v>
      </c>
      <c r="L696">
        <f t="shared" si="210"/>
        <v>0</v>
      </c>
      <c r="M696">
        <f t="shared" si="210"/>
        <v>0</v>
      </c>
      <c r="N696">
        <f t="shared" si="210"/>
        <v>0</v>
      </c>
    </row>
    <row r="697" spans="1:14" x14ac:dyDescent="0.2">
      <c r="A697">
        <f t="shared" si="176"/>
        <v>695</v>
      </c>
      <c r="B697" s="1" t="s">
        <v>1035</v>
      </c>
      <c r="C697">
        <v>44</v>
      </c>
      <c r="D697">
        <v>0</v>
      </c>
      <c r="E697">
        <v>0</v>
      </c>
      <c r="F697">
        <v>0</v>
      </c>
      <c r="G697">
        <v>0</v>
      </c>
      <c r="H697">
        <f t="shared" si="170"/>
        <v>65535</v>
      </c>
      <c r="I697" s="1"/>
      <c r="J697">
        <f t="shared" si="209"/>
        <v>38</v>
      </c>
      <c r="K697">
        <f t="shared" si="209"/>
        <v>0</v>
      </c>
      <c r="L697">
        <f t="shared" si="210"/>
        <v>-5</v>
      </c>
      <c r="M697">
        <f t="shared" si="210"/>
        <v>-2</v>
      </c>
      <c r="N697">
        <f t="shared" si="210"/>
        <v>-1</v>
      </c>
    </row>
    <row r="698" spans="1:14" x14ac:dyDescent="0.2">
      <c r="A698">
        <f t="shared" si="176"/>
        <v>696</v>
      </c>
      <c r="B698" s="1" t="s">
        <v>1007</v>
      </c>
      <c r="C698">
        <v>44</v>
      </c>
      <c r="D698">
        <v>-2</v>
      </c>
      <c r="E698">
        <v>5</v>
      </c>
      <c r="F698">
        <v>2</v>
      </c>
      <c r="G698">
        <v>1</v>
      </c>
      <c r="H698">
        <f t="shared" si="170"/>
        <v>65535</v>
      </c>
      <c r="J698">
        <f t="shared" ref="J698:K705" si="211">C698-C322</f>
        <v>39</v>
      </c>
      <c r="K698">
        <f t="shared" si="211"/>
        <v>-2</v>
      </c>
      <c r="L698">
        <f t="shared" ref="L698:N705" si="212">E698+E322</f>
        <v>0</v>
      </c>
      <c r="M698">
        <f t="shared" si="212"/>
        <v>0</v>
      </c>
      <c r="N698">
        <f t="shared" si="212"/>
        <v>0</v>
      </c>
    </row>
    <row r="699" spans="1:14" x14ac:dyDescent="0.2">
      <c r="A699">
        <f t="shared" si="176"/>
        <v>697</v>
      </c>
      <c r="B699" s="1" t="s">
        <v>1008</v>
      </c>
      <c r="C699">
        <v>44</v>
      </c>
      <c r="D699">
        <v>-2</v>
      </c>
      <c r="E699">
        <v>5</v>
      </c>
      <c r="F699">
        <v>2</v>
      </c>
      <c r="G699">
        <v>1</v>
      </c>
      <c r="H699">
        <f t="shared" si="170"/>
        <v>65535</v>
      </c>
      <c r="I699" s="1"/>
      <c r="J699">
        <f t="shared" si="211"/>
        <v>40</v>
      </c>
      <c r="K699">
        <f t="shared" si="211"/>
        <v>-2</v>
      </c>
      <c r="L699">
        <f t="shared" si="212"/>
        <v>0</v>
      </c>
      <c r="M699">
        <f t="shared" si="212"/>
        <v>0</v>
      </c>
      <c r="N699">
        <f t="shared" si="212"/>
        <v>0</v>
      </c>
    </row>
    <row r="700" spans="1:14" x14ac:dyDescent="0.2">
      <c r="A700">
        <f t="shared" si="176"/>
        <v>698</v>
      </c>
      <c r="B700" s="1" t="s">
        <v>1009</v>
      </c>
      <c r="C700">
        <v>44</v>
      </c>
      <c r="D700">
        <v>-2</v>
      </c>
      <c r="E700">
        <v>5</v>
      </c>
      <c r="F700">
        <v>2</v>
      </c>
      <c r="G700">
        <v>1</v>
      </c>
      <c r="H700">
        <f t="shared" si="170"/>
        <v>65535</v>
      </c>
      <c r="J700">
        <f t="shared" si="211"/>
        <v>39</v>
      </c>
      <c r="K700">
        <f t="shared" si="211"/>
        <v>-2</v>
      </c>
      <c r="L700">
        <f t="shared" si="212"/>
        <v>0</v>
      </c>
      <c r="M700">
        <f t="shared" si="212"/>
        <v>0</v>
      </c>
      <c r="N700">
        <f t="shared" si="212"/>
        <v>0</v>
      </c>
    </row>
    <row r="701" spans="1:14" x14ac:dyDescent="0.2">
      <c r="A701">
        <f t="shared" si="176"/>
        <v>699</v>
      </c>
      <c r="B701" s="1" t="s">
        <v>1010</v>
      </c>
      <c r="C701">
        <v>44</v>
      </c>
      <c r="D701">
        <v>-2</v>
      </c>
      <c r="E701">
        <v>5</v>
      </c>
      <c r="F701">
        <v>2</v>
      </c>
      <c r="G701">
        <v>1</v>
      </c>
      <c r="H701">
        <f t="shared" si="170"/>
        <v>65535</v>
      </c>
      <c r="J701">
        <f t="shared" si="211"/>
        <v>38</v>
      </c>
      <c r="K701">
        <f t="shared" si="211"/>
        <v>-2</v>
      </c>
      <c r="L701">
        <f t="shared" si="212"/>
        <v>0</v>
      </c>
      <c r="M701">
        <f t="shared" si="212"/>
        <v>0</v>
      </c>
      <c r="N701">
        <f t="shared" si="212"/>
        <v>0</v>
      </c>
    </row>
    <row r="702" spans="1:14" x14ac:dyDescent="0.2">
      <c r="A702">
        <f t="shared" si="176"/>
        <v>700</v>
      </c>
      <c r="B702" s="1" t="s">
        <v>1011</v>
      </c>
      <c r="C702">
        <v>44</v>
      </c>
      <c r="D702">
        <v>-2</v>
      </c>
      <c r="E702">
        <v>5</v>
      </c>
      <c r="F702">
        <v>2</v>
      </c>
      <c r="G702">
        <v>1</v>
      </c>
      <c r="H702">
        <f t="shared" si="170"/>
        <v>65535</v>
      </c>
      <c r="J702">
        <f t="shared" si="211"/>
        <v>39</v>
      </c>
      <c r="K702">
        <f t="shared" si="211"/>
        <v>1</v>
      </c>
      <c r="L702">
        <f t="shared" si="212"/>
        <v>5</v>
      </c>
      <c r="M702">
        <f t="shared" si="212"/>
        <v>2</v>
      </c>
      <c r="N702">
        <f t="shared" si="212"/>
        <v>1</v>
      </c>
    </row>
    <row r="703" spans="1:14" x14ac:dyDescent="0.2">
      <c r="A703">
        <f t="shared" si="176"/>
        <v>701</v>
      </c>
      <c r="B703" s="1" t="s">
        <v>1012</v>
      </c>
      <c r="C703">
        <v>44</v>
      </c>
      <c r="D703">
        <v>-2</v>
      </c>
      <c r="E703">
        <v>5</v>
      </c>
      <c r="F703">
        <v>2</v>
      </c>
      <c r="G703">
        <v>1</v>
      </c>
      <c r="H703">
        <f t="shared" si="170"/>
        <v>65535</v>
      </c>
      <c r="I703" s="1"/>
      <c r="J703">
        <f t="shared" si="211"/>
        <v>8</v>
      </c>
      <c r="K703">
        <f t="shared" si="211"/>
        <v>0</v>
      </c>
      <c r="L703">
        <f t="shared" si="212"/>
        <v>0</v>
      </c>
      <c r="M703">
        <f t="shared" si="212"/>
        <v>0</v>
      </c>
      <c r="N703">
        <f t="shared" si="212"/>
        <v>0</v>
      </c>
    </row>
    <row r="704" spans="1:14" x14ac:dyDescent="0.2">
      <c r="A704">
        <f t="shared" si="176"/>
        <v>702</v>
      </c>
      <c r="B704" s="1" t="s">
        <v>1013</v>
      </c>
      <c r="C704">
        <v>44</v>
      </c>
      <c r="D704">
        <v>-2</v>
      </c>
      <c r="E704">
        <v>5</v>
      </c>
      <c r="F704">
        <v>2</v>
      </c>
      <c r="G704">
        <v>1</v>
      </c>
      <c r="H704">
        <f t="shared" si="170"/>
        <v>65535</v>
      </c>
      <c r="J704">
        <f t="shared" si="211"/>
        <v>8</v>
      </c>
      <c r="K704">
        <f t="shared" si="211"/>
        <v>0</v>
      </c>
      <c r="L704">
        <f t="shared" si="212"/>
        <v>0</v>
      </c>
      <c r="M704">
        <f t="shared" si="212"/>
        <v>0</v>
      </c>
      <c r="N704">
        <f t="shared" si="212"/>
        <v>0</v>
      </c>
    </row>
    <row r="705" spans="1:14" x14ac:dyDescent="0.2">
      <c r="A705">
        <f t="shared" si="176"/>
        <v>703</v>
      </c>
      <c r="B705" s="1" t="s">
        <v>1014</v>
      </c>
      <c r="C705">
        <v>44</v>
      </c>
      <c r="D705">
        <v>-2</v>
      </c>
      <c r="E705">
        <v>5</v>
      </c>
      <c r="F705">
        <v>2</v>
      </c>
      <c r="G705">
        <v>1</v>
      </c>
      <c r="H705">
        <f t="shared" si="170"/>
        <v>65535</v>
      </c>
      <c r="J705">
        <f t="shared" si="211"/>
        <v>8</v>
      </c>
      <c r="K705">
        <f t="shared" si="211"/>
        <v>0</v>
      </c>
      <c r="L705">
        <f t="shared" si="212"/>
        <v>0</v>
      </c>
      <c r="M705">
        <f t="shared" si="212"/>
        <v>0</v>
      </c>
      <c r="N705">
        <f t="shared" si="212"/>
        <v>0</v>
      </c>
    </row>
    <row r="706" spans="1:14" x14ac:dyDescent="0.2">
      <c r="A706">
        <f t="shared" si="176"/>
        <v>704</v>
      </c>
      <c r="B706" s="1" t="s">
        <v>505</v>
      </c>
      <c r="C706">
        <v>13</v>
      </c>
      <c r="D706">
        <v>0</v>
      </c>
      <c r="E706">
        <v>5</v>
      </c>
      <c r="F706">
        <v>2</v>
      </c>
      <c r="G706">
        <v>1</v>
      </c>
      <c r="H706">
        <f t="shared" ref="H706:H769" si="213">_xlfn.XLOOKUP(I706,$B$2:$B$982,$A$2:$A$982,65535)</f>
        <v>65535</v>
      </c>
      <c r="J706">
        <f t="shared" ref="J706:J737" si="214">C706-C322</f>
        <v>8</v>
      </c>
      <c r="K706">
        <f t="shared" ref="K706:K737" si="215">D706-D322</f>
        <v>0</v>
      </c>
      <c r="L706">
        <f t="shared" ref="L706:L737" si="216">E706+E322</f>
        <v>0</v>
      </c>
      <c r="M706">
        <f t="shared" ref="M706:M737" si="217">F706+F322</f>
        <v>0</v>
      </c>
      <c r="N706">
        <f t="shared" ref="N706:N737" si="218">G706+G322</f>
        <v>0</v>
      </c>
    </row>
    <row r="707" spans="1:14" x14ac:dyDescent="0.2">
      <c r="A707">
        <f t="shared" si="176"/>
        <v>705</v>
      </c>
      <c r="B707" s="1" t="s">
        <v>506</v>
      </c>
      <c r="C707">
        <v>12</v>
      </c>
      <c r="D707">
        <v>0</v>
      </c>
      <c r="E707">
        <v>5</v>
      </c>
      <c r="F707">
        <v>2</v>
      </c>
      <c r="G707">
        <v>1</v>
      </c>
      <c r="H707">
        <f t="shared" si="213"/>
        <v>65535</v>
      </c>
      <c r="I707" s="1"/>
      <c r="J707">
        <f t="shared" si="214"/>
        <v>8</v>
      </c>
      <c r="K707">
        <f t="shared" si="215"/>
        <v>0</v>
      </c>
      <c r="L707">
        <f t="shared" si="216"/>
        <v>0</v>
      </c>
      <c r="M707">
        <f t="shared" si="217"/>
        <v>0</v>
      </c>
      <c r="N707">
        <f t="shared" si="218"/>
        <v>0</v>
      </c>
    </row>
    <row r="708" spans="1:14" x14ac:dyDescent="0.2">
      <c r="A708">
        <f t="shared" si="176"/>
        <v>706</v>
      </c>
      <c r="B708" s="1" t="s">
        <v>507</v>
      </c>
      <c r="C708">
        <v>13</v>
      </c>
      <c r="D708">
        <v>0</v>
      </c>
      <c r="E708">
        <v>5</v>
      </c>
      <c r="F708">
        <v>2</v>
      </c>
      <c r="G708">
        <v>1</v>
      </c>
      <c r="H708">
        <f t="shared" si="213"/>
        <v>65535</v>
      </c>
      <c r="J708">
        <f t="shared" si="214"/>
        <v>8</v>
      </c>
      <c r="K708">
        <f t="shared" si="215"/>
        <v>0</v>
      </c>
      <c r="L708">
        <f t="shared" si="216"/>
        <v>0</v>
      </c>
      <c r="M708">
        <f t="shared" si="217"/>
        <v>0</v>
      </c>
      <c r="N708">
        <f t="shared" si="218"/>
        <v>0</v>
      </c>
    </row>
    <row r="709" spans="1:14" x14ac:dyDescent="0.2">
      <c r="A709">
        <f t="shared" si="176"/>
        <v>707</v>
      </c>
      <c r="B709" s="1" t="s">
        <v>508</v>
      </c>
      <c r="C709">
        <v>14</v>
      </c>
      <c r="D709">
        <v>0</v>
      </c>
      <c r="E709">
        <v>5</v>
      </c>
      <c r="F709">
        <v>2</v>
      </c>
      <c r="G709">
        <v>1</v>
      </c>
      <c r="H709">
        <f t="shared" si="213"/>
        <v>65535</v>
      </c>
      <c r="J709">
        <f t="shared" si="214"/>
        <v>8</v>
      </c>
      <c r="K709">
        <f t="shared" si="215"/>
        <v>0</v>
      </c>
      <c r="L709">
        <f t="shared" si="216"/>
        <v>0</v>
      </c>
      <c r="M709">
        <f t="shared" si="217"/>
        <v>0</v>
      </c>
      <c r="N709">
        <f t="shared" si="218"/>
        <v>0</v>
      </c>
    </row>
    <row r="710" spans="1:14" x14ac:dyDescent="0.2">
      <c r="A710">
        <f t="shared" si="176"/>
        <v>708</v>
      </c>
      <c r="B710" s="1" t="s">
        <v>509</v>
      </c>
      <c r="C710">
        <v>13</v>
      </c>
      <c r="D710">
        <v>-3</v>
      </c>
      <c r="E710">
        <v>0</v>
      </c>
      <c r="F710">
        <v>0</v>
      </c>
      <c r="G710">
        <v>0</v>
      </c>
      <c r="H710">
        <f t="shared" si="213"/>
        <v>65535</v>
      </c>
      <c r="J710">
        <f t="shared" si="214"/>
        <v>8</v>
      </c>
      <c r="K710">
        <f t="shared" si="215"/>
        <v>0</v>
      </c>
      <c r="L710">
        <f t="shared" si="216"/>
        <v>0</v>
      </c>
      <c r="M710">
        <f t="shared" si="217"/>
        <v>0</v>
      </c>
      <c r="N710">
        <f t="shared" si="218"/>
        <v>0</v>
      </c>
    </row>
    <row r="711" spans="1:14" x14ac:dyDescent="0.2">
      <c r="A711">
        <f t="shared" si="176"/>
        <v>709</v>
      </c>
      <c r="B711" s="1" t="s">
        <v>510</v>
      </c>
      <c r="C711">
        <v>44</v>
      </c>
      <c r="D711">
        <v>-2</v>
      </c>
      <c r="E711">
        <v>5</v>
      </c>
      <c r="F711">
        <v>2</v>
      </c>
      <c r="G711">
        <v>1</v>
      </c>
      <c r="H711">
        <f t="shared" si="213"/>
        <v>65535</v>
      </c>
      <c r="I711" s="1"/>
      <c r="J711">
        <f t="shared" si="214"/>
        <v>8</v>
      </c>
      <c r="K711">
        <f t="shared" si="215"/>
        <v>0</v>
      </c>
      <c r="L711">
        <f t="shared" si="216"/>
        <v>0</v>
      </c>
      <c r="M711">
        <f t="shared" si="217"/>
        <v>0</v>
      </c>
      <c r="N711">
        <f t="shared" si="218"/>
        <v>0</v>
      </c>
    </row>
    <row r="712" spans="1:14" x14ac:dyDescent="0.2">
      <c r="A712">
        <f t="shared" si="176"/>
        <v>710</v>
      </c>
      <c r="B712" s="1" t="s">
        <v>511</v>
      </c>
      <c r="C712">
        <v>44</v>
      </c>
      <c r="D712">
        <v>-2</v>
      </c>
      <c r="E712">
        <v>5</v>
      </c>
      <c r="F712">
        <v>2</v>
      </c>
      <c r="G712">
        <v>1</v>
      </c>
      <c r="H712">
        <f t="shared" si="213"/>
        <v>65535</v>
      </c>
      <c r="J712">
        <f t="shared" si="214"/>
        <v>8</v>
      </c>
      <c r="K712">
        <f t="shared" si="215"/>
        <v>0</v>
      </c>
      <c r="L712">
        <f t="shared" si="216"/>
        <v>0</v>
      </c>
      <c r="M712">
        <f t="shared" si="217"/>
        <v>0</v>
      </c>
      <c r="N712">
        <f t="shared" si="218"/>
        <v>0</v>
      </c>
    </row>
    <row r="713" spans="1:14" x14ac:dyDescent="0.2">
      <c r="A713">
        <f t="shared" si="176"/>
        <v>711</v>
      </c>
      <c r="B713" s="1" t="s">
        <v>512</v>
      </c>
      <c r="C713">
        <v>44</v>
      </c>
      <c r="D713">
        <v>-2</v>
      </c>
      <c r="E713">
        <v>5</v>
      </c>
      <c r="F713">
        <v>2</v>
      </c>
      <c r="G713">
        <v>1</v>
      </c>
      <c r="H713">
        <f t="shared" si="213"/>
        <v>65535</v>
      </c>
      <c r="J713">
        <f t="shared" si="214"/>
        <v>8</v>
      </c>
      <c r="K713">
        <f t="shared" si="215"/>
        <v>0</v>
      </c>
      <c r="L713">
        <f t="shared" si="216"/>
        <v>0</v>
      </c>
      <c r="M713">
        <f t="shared" si="217"/>
        <v>0</v>
      </c>
      <c r="N713">
        <f t="shared" si="218"/>
        <v>0</v>
      </c>
    </row>
    <row r="714" spans="1:14" x14ac:dyDescent="0.2">
      <c r="A714">
        <f t="shared" si="176"/>
        <v>712</v>
      </c>
      <c r="B714" s="1" t="s">
        <v>513</v>
      </c>
      <c r="C714">
        <v>44</v>
      </c>
      <c r="D714">
        <v>-2</v>
      </c>
      <c r="E714">
        <v>5</v>
      </c>
      <c r="F714">
        <v>2</v>
      </c>
      <c r="G714">
        <v>1</v>
      </c>
      <c r="H714">
        <f t="shared" si="213"/>
        <v>65535</v>
      </c>
      <c r="J714">
        <f t="shared" si="214"/>
        <v>8</v>
      </c>
      <c r="K714">
        <f t="shared" si="215"/>
        <v>0</v>
      </c>
      <c r="L714">
        <f t="shared" si="216"/>
        <v>0</v>
      </c>
      <c r="M714">
        <f t="shared" si="217"/>
        <v>0</v>
      </c>
      <c r="N714">
        <f t="shared" si="218"/>
        <v>0</v>
      </c>
    </row>
    <row r="715" spans="1:14" x14ac:dyDescent="0.2">
      <c r="A715">
        <f t="shared" si="176"/>
        <v>713</v>
      </c>
      <c r="B715" s="1" t="s">
        <v>514</v>
      </c>
      <c r="C715">
        <v>44</v>
      </c>
      <c r="D715">
        <v>-2</v>
      </c>
      <c r="E715">
        <v>5</v>
      </c>
      <c r="F715">
        <v>2</v>
      </c>
      <c r="G715">
        <v>1</v>
      </c>
      <c r="H715">
        <f t="shared" si="213"/>
        <v>65535</v>
      </c>
      <c r="I715" s="1"/>
      <c r="J715">
        <f t="shared" si="214"/>
        <v>8</v>
      </c>
      <c r="K715">
        <f t="shared" si="215"/>
        <v>0</v>
      </c>
      <c r="L715">
        <f t="shared" si="216"/>
        <v>0</v>
      </c>
      <c r="M715">
        <f t="shared" si="217"/>
        <v>0</v>
      </c>
      <c r="N715">
        <f t="shared" si="218"/>
        <v>0</v>
      </c>
    </row>
    <row r="716" spans="1:14" x14ac:dyDescent="0.2">
      <c r="A716">
        <f t="shared" si="176"/>
        <v>714</v>
      </c>
      <c r="B716" s="1" t="s">
        <v>515</v>
      </c>
      <c r="C716">
        <v>44</v>
      </c>
      <c r="D716">
        <v>-2</v>
      </c>
      <c r="E716">
        <v>5</v>
      </c>
      <c r="F716">
        <v>2</v>
      </c>
      <c r="G716">
        <v>1</v>
      </c>
      <c r="H716">
        <f t="shared" si="213"/>
        <v>65535</v>
      </c>
      <c r="J716">
        <f t="shared" si="214"/>
        <v>8</v>
      </c>
      <c r="K716">
        <f t="shared" si="215"/>
        <v>0</v>
      </c>
      <c r="L716">
        <f t="shared" si="216"/>
        <v>0</v>
      </c>
      <c r="M716">
        <f t="shared" si="217"/>
        <v>0</v>
      </c>
      <c r="N716">
        <f t="shared" si="218"/>
        <v>0</v>
      </c>
    </row>
    <row r="717" spans="1:14" x14ac:dyDescent="0.2">
      <c r="A717">
        <f t="shared" si="176"/>
        <v>715</v>
      </c>
      <c r="B717" s="1" t="s">
        <v>516</v>
      </c>
      <c r="C717">
        <v>44</v>
      </c>
      <c r="D717">
        <v>-1</v>
      </c>
      <c r="E717">
        <v>5</v>
      </c>
      <c r="F717">
        <v>2</v>
      </c>
      <c r="G717">
        <v>1</v>
      </c>
      <c r="H717">
        <f t="shared" si="213"/>
        <v>65535</v>
      </c>
      <c r="J717">
        <f t="shared" si="214"/>
        <v>8</v>
      </c>
      <c r="K717">
        <f t="shared" si="215"/>
        <v>0</v>
      </c>
      <c r="L717">
        <f t="shared" si="216"/>
        <v>0</v>
      </c>
      <c r="M717">
        <f t="shared" si="217"/>
        <v>0</v>
      </c>
      <c r="N717">
        <f t="shared" si="218"/>
        <v>0</v>
      </c>
    </row>
    <row r="718" spans="1:14" x14ac:dyDescent="0.2">
      <c r="A718">
        <f t="shared" si="176"/>
        <v>716</v>
      </c>
      <c r="B718" s="1" t="s">
        <v>517</v>
      </c>
      <c r="C718">
        <v>13</v>
      </c>
      <c r="D718">
        <v>0</v>
      </c>
      <c r="E718">
        <v>5</v>
      </c>
      <c r="F718">
        <v>2</v>
      </c>
      <c r="G718">
        <v>1</v>
      </c>
      <c r="H718">
        <f t="shared" si="213"/>
        <v>65535</v>
      </c>
      <c r="I718" s="1"/>
      <c r="J718">
        <f t="shared" si="214"/>
        <v>8</v>
      </c>
      <c r="K718">
        <f t="shared" si="215"/>
        <v>0</v>
      </c>
      <c r="L718">
        <f t="shared" si="216"/>
        <v>0</v>
      </c>
      <c r="M718">
        <f t="shared" si="217"/>
        <v>0</v>
      </c>
      <c r="N718">
        <f t="shared" si="218"/>
        <v>0</v>
      </c>
    </row>
    <row r="719" spans="1:14" x14ac:dyDescent="0.2">
      <c r="A719">
        <f t="shared" si="176"/>
        <v>717</v>
      </c>
      <c r="B719" s="1" t="s">
        <v>540</v>
      </c>
      <c r="C719">
        <v>45</v>
      </c>
      <c r="D719">
        <v>0</v>
      </c>
      <c r="E719">
        <v>0</v>
      </c>
      <c r="F719">
        <v>0</v>
      </c>
      <c r="G719">
        <v>0</v>
      </c>
      <c r="H719">
        <f t="shared" si="213"/>
        <v>65535</v>
      </c>
      <c r="I719" s="1"/>
      <c r="J719">
        <f t="shared" si="214"/>
        <v>8</v>
      </c>
      <c r="K719">
        <f t="shared" si="215"/>
        <v>0</v>
      </c>
      <c r="L719">
        <f t="shared" si="216"/>
        <v>0</v>
      </c>
      <c r="M719">
        <f t="shared" si="217"/>
        <v>0</v>
      </c>
      <c r="N719">
        <f t="shared" si="218"/>
        <v>0</v>
      </c>
    </row>
    <row r="720" spans="1:14" x14ac:dyDescent="0.2">
      <c r="A720">
        <f t="shared" si="176"/>
        <v>718</v>
      </c>
      <c r="B720" s="1" t="s">
        <v>541</v>
      </c>
      <c r="C720">
        <v>46</v>
      </c>
      <c r="D720">
        <v>0</v>
      </c>
      <c r="E720">
        <v>0</v>
      </c>
      <c r="F720">
        <v>0</v>
      </c>
      <c r="G720">
        <v>0</v>
      </c>
      <c r="H720">
        <f t="shared" si="213"/>
        <v>65535</v>
      </c>
      <c r="I720" s="1"/>
      <c r="J720">
        <f t="shared" si="214"/>
        <v>8</v>
      </c>
      <c r="K720">
        <f t="shared" si="215"/>
        <v>0</v>
      </c>
      <c r="L720">
        <f t="shared" si="216"/>
        <v>0</v>
      </c>
      <c r="M720">
        <f t="shared" si="217"/>
        <v>0</v>
      </c>
      <c r="N720">
        <f t="shared" si="218"/>
        <v>0</v>
      </c>
    </row>
    <row r="721" spans="1:14" x14ac:dyDescent="0.2">
      <c r="A721">
        <f t="shared" si="176"/>
        <v>719</v>
      </c>
      <c r="B721" s="1" t="s">
        <v>542</v>
      </c>
      <c r="C721">
        <v>47</v>
      </c>
      <c r="D721">
        <v>0</v>
      </c>
      <c r="E721">
        <v>0</v>
      </c>
      <c r="F721">
        <v>0</v>
      </c>
      <c r="G721">
        <v>0</v>
      </c>
      <c r="H721">
        <f t="shared" si="213"/>
        <v>65535</v>
      </c>
      <c r="I721" s="1"/>
      <c r="J721">
        <f t="shared" si="214"/>
        <v>8</v>
      </c>
      <c r="K721">
        <f t="shared" si="215"/>
        <v>0</v>
      </c>
      <c r="L721">
        <f t="shared" si="216"/>
        <v>0</v>
      </c>
      <c r="M721">
        <f t="shared" si="217"/>
        <v>0</v>
      </c>
      <c r="N721">
        <f t="shared" si="218"/>
        <v>0</v>
      </c>
    </row>
    <row r="722" spans="1:14" x14ac:dyDescent="0.2">
      <c r="A722">
        <f t="shared" si="176"/>
        <v>720</v>
      </c>
      <c r="B722" s="1" t="s">
        <v>543</v>
      </c>
      <c r="C722">
        <v>46</v>
      </c>
      <c r="D722">
        <v>0</v>
      </c>
      <c r="E722">
        <v>0</v>
      </c>
      <c r="F722">
        <v>0</v>
      </c>
      <c r="G722">
        <v>0</v>
      </c>
      <c r="H722">
        <f t="shared" si="213"/>
        <v>65535</v>
      </c>
      <c r="I722" s="1"/>
      <c r="J722">
        <f t="shared" si="214"/>
        <v>8</v>
      </c>
      <c r="K722">
        <f t="shared" si="215"/>
        <v>0</v>
      </c>
      <c r="L722">
        <f t="shared" si="216"/>
        <v>0</v>
      </c>
      <c r="M722">
        <f t="shared" si="217"/>
        <v>0</v>
      </c>
      <c r="N722">
        <f t="shared" si="218"/>
        <v>0</v>
      </c>
    </row>
    <row r="723" spans="1:14" x14ac:dyDescent="0.2">
      <c r="A723">
        <f t="shared" si="176"/>
        <v>721</v>
      </c>
      <c r="B723" s="1" t="s">
        <v>544</v>
      </c>
      <c r="C723">
        <v>45</v>
      </c>
      <c r="D723">
        <v>0</v>
      </c>
      <c r="E723">
        <v>0</v>
      </c>
      <c r="F723">
        <v>0</v>
      </c>
      <c r="G723">
        <v>0</v>
      </c>
      <c r="H723">
        <f t="shared" si="213"/>
        <v>65535</v>
      </c>
      <c r="I723" s="1"/>
      <c r="J723">
        <f t="shared" si="214"/>
        <v>8</v>
      </c>
      <c r="K723">
        <f t="shared" si="215"/>
        <v>0</v>
      </c>
      <c r="L723">
        <f t="shared" si="216"/>
        <v>0</v>
      </c>
      <c r="M723">
        <f t="shared" si="217"/>
        <v>0</v>
      </c>
      <c r="N723">
        <f t="shared" si="218"/>
        <v>0</v>
      </c>
    </row>
    <row r="724" spans="1:14" x14ac:dyDescent="0.2">
      <c r="A724">
        <f t="shared" si="176"/>
        <v>722</v>
      </c>
      <c r="B724" s="1" t="s">
        <v>545</v>
      </c>
      <c r="C724">
        <v>46</v>
      </c>
      <c r="D724">
        <v>0</v>
      </c>
      <c r="E724">
        <v>0</v>
      </c>
      <c r="F724">
        <v>0</v>
      </c>
      <c r="G724">
        <v>0</v>
      </c>
      <c r="H724">
        <f t="shared" si="213"/>
        <v>65535</v>
      </c>
      <c r="I724" s="1"/>
      <c r="J724">
        <f t="shared" si="214"/>
        <v>8</v>
      </c>
      <c r="K724">
        <f t="shared" si="215"/>
        <v>0</v>
      </c>
      <c r="L724">
        <f t="shared" si="216"/>
        <v>0</v>
      </c>
      <c r="M724">
        <f t="shared" si="217"/>
        <v>0</v>
      </c>
      <c r="N724">
        <f t="shared" si="218"/>
        <v>0</v>
      </c>
    </row>
    <row r="725" spans="1:14" x14ac:dyDescent="0.2">
      <c r="A725">
        <f t="shared" si="176"/>
        <v>723</v>
      </c>
      <c r="B725" s="1" t="s">
        <v>546</v>
      </c>
      <c r="C725">
        <v>47</v>
      </c>
      <c r="D725">
        <v>0</v>
      </c>
      <c r="E725">
        <v>0</v>
      </c>
      <c r="F725">
        <v>0</v>
      </c>
      <c r="G725">
        <v>0</v>
      </c>
      <c r="H725">
        <f t="shared" si="213"/>
        <v>65535</v>
      </c>
      <c r="I725" s="1"/>
      <c r="J725">
        <f t="shared" si="214"/>
        <v>8</v>
      </c>
      <c r="K725">
        <f t="shared" si="215"/>
        <v>0</v>
      </c>
      <c r="L725">
        <f t="shared" si="216"/>
        <v>0</v>
      </c>
      <c r="M725">
        <f t="shared" si="217"/>
        <v>0</v>
      </c>
      <c r="N725">
        <f t="shared" si="218"/>
        <v>0</v>
      </c>
    </row>
    <row r="726" spans="1:14" x14ac:dyDescent="0.2">
      <c r="A726">
        <f t="shared" si="176"/>
        <v>724</v>
      </c>
      <c r="B726" s="1" t="s">
        <v>547</v>
      </c>
      <c r="C726">
        <v>46</v>
      </c>
      <c r="D726">
        <v>0</v>
      </c>
      <c r="E726">
        <v>0</v>
      </c>
      <c r="F726">
        <v>0</v>
      </c>
      <c r="G726">
        <v>0</v>
      </c>
      <c r="H726">
        <f t="shared" si="213"/>
        <v>65535</v>
      </c>
      <c r="I726" s="1"/>
      <c r="J726">
        <f t="shared" si="214"/>
        <v>8</v>
      </c>
      <c r="K726">
        <f t="shared" si="215"/>
        <v>0</v>
      </c>
      <c r="L726">
        <f t="shared" si="216"/>
        <v>0</v>
      </c>
      <c r="M726">
        <f t="shared" si="217"/>
        <v>0</v>
      </c>
      <c r="N726">
        <f t="shared" si="218"/>
        <v>0</v>
      </c>
    </row>
    <row r="727" spans="1:14" x14ac:dyDescent="0.2">
      <c r="A727">
        <f t="shared" si="176"/>
        <v>725</v>
      </c>
      <c r="B727" s="1" t="s">
        <v>548</v>
      </c>
      <c r="C727">
        <v>45</v>
      </c>
      <c r="D727">
        <v>0</v>
      </c>
      <c r="E727">
        <v>0</v>
      </c>
      <c r="F727">
        <v>0</v>
      </c>
      <c r="G727">
        <v>0</v>
      </c>
      <c r="H727">
        <f t="shared" si="213"/>
        <v>65535</v>
      </c>
      <c r="I727" s="1"/>
      <c r="J727">
        <f t="shared" si="214"/>
        <v>8</v>
      </c>
      <c r="K727">
        <f t="shared" si="215"/>
        <v>0</v>
      </c>
      <c r="L727">
        <f t="shared" si="216"/>
        <v>0</v>
      </c>
      <c r="M727">
        <f t="shared" si="217"/>
        <v>0</v>
      </c>
      <c r="N727">
        <f t="shared" si="218"/>
        <v>0</v>
      </c>
    </row>
    <row r="728" spans="1:14" x14ac:dyDescent="0.2">
      <c r="A728">
        <f t="shared" si="176"/>
        <v>726</v>
      </c>
      <c r="B728" s="1" t="s">
        <v>549</v>
      </c>
      <c r="C728">
        <v>46</v>
      </c>
      <c r="D728">
        <v>0</v>
      </c>
      <c r="E728">
        <v>0</v>
      </c>
      <c r="F728">
        <v>0</v>
      </c>
      <c r="G728">
        <v>0</v>
      </c>
      <c r="H728">
        <f t="shared" si="213"/>
        <v>65535</v>
      </c>
      <c r="I728" s="1"/>
      <c r="J728">
        <f t="shared" si="214"/>
        <v>8</v>
      </c>
      <c r="K728">
        <f t="shared" si="215"/>
        <v>0</v>
      </c>
      <c r="L728">
        <f t="shared" si="216"/>
        <v>0</v>
      </c>
      <c r="M728">
        <f t="shared" si="217"/>
        <v>0</v>
      </c>
      <c r="N728">
        <f t="shared" si="218"/>
        <v>0</v>
      </c>
    </row>
    <row r="729" spans="1:14" x14ac:dyDescent="0.2">
      <c r="A729">
        <f t="shared" si="176"/>
        <v>727</v>
      </c>
      <c r="B729" s="1" t="s">
        <v>550</v>
      </c>
      <c r="C729">
        <v>47</v>
      </c>
      <c r="D729">
        <v>0</v>
      </c>
      <c r="E729">
        <v>0</v>
      </c>
      <c r="F729">
        <v>0</v>
      </c>
      <c r="G729">
        <v>0</v>
      </c>
      <c r="H729">
        <f t="shared" si="213"/>
        <v>493</v>
      </c>
      <c r="I729" s="1" t="s">
        <v>112</v>
      </c>
      <c r="J729">
        <f t="shared" si="214"/>
        <v>8</v>
      </c>
      <c r="K729">
        <f t="shared" si="215"/>
        <v>0</v>
      </c>
      <c r="L729">
        <f t="shared" si="216"/>
        <v>0</v>
      </c>
      <c r="M729">
        <f t="shared" si="217"/>
        <v>0</v>
      </c>
      <c r="N729">
        <f t="shared" si="218"/>
        <v>0</v>
      </c>
    </row>
    <row r="730" spans="1:14" x14ac:dyDescent="0.2">
      <c r="A730">
        <f t="shared" si="176"/>
        <v>728</v>
      </c>
      <c r="B730" s="1" t="s">
        <v>551</v>
      </c>
      <c r="C730">
        <v>48</v>
      </c>
      <c r="D730">
        <v>0</v>
      </c>
      <c r="E730">
        <v>0</v>
      </c>
      <c r="F730">
        <v>0</v>
      </c>
      <c r="G730">
        <v>0</v>
      </c>
      <c r="H730">
        <f t="shared" si="213"/>
        <v>65535</v>
      </c>
      <c r="I730" s="1"/>
      <c r="J730">
        <f t="shared" si="214"/>
        <v>8</v>
      </c>
      <c r="K730">
        <f t="shared" si="215"/>
        <v>0</v>
      </c>
      <c r="L730">
        <f t="shared" si="216"/>
        <v>0</v>
      </c>
      <c r="M730">
        <f t="shared" si="217"/>
        <v>0</v>
      </c>
      <c r="N730">
        <f t="shared" si="218"/>
        <v>0</v>
      </c>
    </row>
    <row r="731" spans="1:14" x14ac:dyDescent="0.2">
      <c r="A731">
        <f t="shared" si="176"/>
        <v>729</v>
      </c>
      <c r="B731" s="1" t="s">
        <v>552</v>
      </c>
      <c r="C731">
        <v>49</v>
      </c>
      <c r="D731">
        <v>0</v>
      </c>
      <c r="E731">
        <v>0</v>
      </c>
      <c r="F731">
        <v>0</v>
      </c>
      <c r="G731">
        <v>0</v>
      </c>
      <c r="H731">
        <f t="shared" si="213"/>
        <v>65535</v>
      </c>
      <c r="I731" s="1"/>
      <c r="J731">
        <f t="shared" si="214"/>
        <v>8</v>
      </c>
      <c r="K731">
        <f t="shared" si="215"/>
        <v>0</v>
      </c>
      <c r="L731">
        <f t="shared" si="216"/>
        <v>0</v>
      </c>
      <c r="M731">
        <f t="shared" si="217"/>
        <v>0</v>
      </c>
      <c r="N731">
        <f t="shared" si="218"/>
        <v>0</v>
      </c>
    </row>
    <row r="732" spans="1:14" x14ac:dyDescent="0.2">
      <c r="A732">
        <f t="shared" si="176"/>
        <v>730</v>
      </c>
      <c r="B732" s="1" t="s">
        <v>553</v>
      </c>
      <c r="C732">
        <v>50</v>
      </c>
      <c r="D732">
        <v>0</v>
      </c>
      <c r="E732">
        <v>0</v>
      </c>
      <c r="F732">
        <v>0</v>
      </c>
      <c r="G732">
        <v>0</v>
      </c>
      <c r="H732">
        <f t="shared" si="213"/>
        <v>65535</v>
      </c>
      <c r="I732" s="1"/>
      <c r="J732">
        <f t="shared" si="214"/>
        <v>8</v>
      </c>
      <c r="K732">
        <f t="shared" si="215"/>
        <v>0</v>
      </c>
      <c r="L732">
        <f t="shared" si="216"/>
        <v>0</v>
      </c>
      <c r="M732">
        <f t="shared" si="217"/>
        <v>0</v>
      </c>
      <c r="N732">
        <f t="shared" si="218"/>
        <v>0</v>
      </c>
    </row>
    <row r="733" spans="1:14" x14ac:dyDescent="0.2">
      <c r="A733">
        <f t="shared" si="176"/>
        <v>731</v>
      </c>
      <c r="B733" s="1" t="s">
        <v>554</v>
      </c>
      <c r="C733">
        <v>49</v>
      </c>
      <c r="D733">
        <v>0</v>
      </c>
      <c r="E733">
        <v>0</v>
      </c>
      <c r="F733">
        <v>0</v>
      </c>
      <c r="G733">
        <v>0</v>
      </c>
      <c r="H733">
        <f t="shared" si="213"/>
        <v>65535</v>
      </c>
      <c r="I733" s="1"/>
      <c r="J733">
        <f t="shared" si="214"/>
        <v>8</v>
      </c>
      <c r="K733">
        <f t="shared" si="215"/>
        <v>0</v>
      </c>
      <c r="L733">
        <f t="shared" si="216"/>
        <v>0</v>
      </c>
      <c r="M733">
        <f t="shared" si="217"/>
        <v>0</v>
      </c>
      <c r="N733">
        <f t="shared" si="218"/>
        <v>0</v>
      </c>
    </row>
    <row r="734" spans="1:14" x14ac:dyDescent="0.2">
      <c r="A734">
        <f t="shared" si="176"/>
        <v>732</v>
      </c>
      <c r="B734" s="1" t="s">
        <v>555</v>
      </c>
      <c r="C734">
        <v>48</v>
      </c>
      <c r="D734">
        <v>0</v>
      </c>
      <c r="E734">
        <v>0</v>
      </c>
      <c r="F734">
        <v>0</v>
      </c>
      <c r="G734">
        <v>0</v>
      </c>
      <c r="H734">
        <f t="shared" si="213"/>
        <v>65535</v>
      </c>
      <c r="I734" s="1"/>
      <c r="J734">
        <f t="shared" si="214"/>
        <v>8</v>
      </c>
      <c r="K734">
        <f t="shared" si="215"/>
        <v>0</v>
      </c>
      <c r="L734">
        <f t="shared" si="216"/>
        <v>0</v>
      </c>
      <c r="M734">
        <f t="shared" si="217"/>
        <v>0</v>
      </c>
      <c r="N734">
        <f t="shared" si="218"/>
        <v>0</v>
      </c>
    </row>
    <row r="735" spans="1:14" x14ac:dyDescent="0.2">
      <c r="A735">
        <f t="shared" si="176"/>
        <v>733</v>
      </c>
      <c r="B735" s="1" t="s">
        <v>556</v>
      </c>
      <c r="C735">
        <v>49</v>
      </c>
      <c r="D735">
        <v>0</v>
      </c>
      <c r="E735">
        <v>0</v>
      </c>
      <c r="F735">
        <v>0</v>
      </c>
      <c r="G735">
        <v>0</v>
      </c>
      <c r="H735">
        <f t="shared" si="213"/>
        <v>65535</v>
      </c>
      <c r="I735" s="1"/>
      <c r="J735">
        <f t="shared" si="214"/>
        <v>8</v>
      </c>
      <c r="K735">
        <f t="shared" si="215"/>
        <v>0</v>
      </c>
      <c r="L735">
        <f t="shared" si="216"/>
        <v>0</v>
      </c>
      <c r="M735">
        <f t="shared" si="217"/>
        <v>0</v>
      </c>
      <c r="N735">
        <f t="shared" si="218"/>
        <v>0</v>
      </c>
    </row>
    <row r="736" spans="1:14" x14ac:dyDescent="0.2">
      <c r="A736">
        <f t="shared" si="176"/>
        <v>734</v>
      </c>
      <c r="B736" s="1" t="s">
        <v>557</v>
      </c>
      <c r="C736">
        <v>50</v>
      </c>
      <c r="D736">
        <v>0</v>
      </c>
      <c r="E736">
        <v>0</v>
      </c>
      <c r="F736">
        <v>0</v>
      </c>
      <c r="G736">
        <v>0</v>
      </c>
      <c r="H736">
        <f t="shared" si="213"/>
        <v>65535</v>
      </c>
      <c r="I736" s="1"/>
      <c r="J736">
        <f t="shared" si="214"/>
        <v>8</v>
      </c>
      <c r="K736">
        <f t="shared" si="215"/>
        <v>0</v>
      </c>
      <c r="L736">
        <f t="shared" si="216"/>
        <v>0</v>
      </c>
      <c r="M736">
        <f t="shared" si="217"/>
        <v>0</v>
      </c>
      <c r="N736">
        <f t="shared" si="218"/>
        <v>0</v>
      </c>
    </row>
    <row r="737" spans="1:14" x14ac:dyDescent="0.2">
      <c r="A737">
        <f t="shared" si="176"/>
        <v>735</v>
      </c>
      <c r="B737" s="1" t="s">
        <v>558</v>
      </c>
      <c r="C737">
        <v>49</v>
      </c>
      <c r="D737">
        <v>0</v>
      </c>
      <c r="E737">
        <v>0</v>
      </c>
      <c r="F737">
        <v>0</v>
      </c>
      <c r="G737">
        <v>0</v>
      </c>
      <c r="H737">
        <f t="shared" si="213"/>
        <v>65535</v>
      </c>
      <c r="I737" s="1"/>
      <c r="J737">
        <f t="shared" si="214"/>
        <v>8</v>
      </c>
      <c r="K737">
        <f t="shared" si="215"/>
        <v>0</v>
      </c>
      <c r="L737">
        <f t="shared" si="216"/>
        <v>0</v>
      </c>
      <c r="M737">
        <f t="shared" si="217"/>
        <v>0</v>
      </c>
      <c r="N737">
        <f t="shared" si="218"/>
        <v>0</v>
      </c>
    </row>
    <row r="738" spans="1:14" x14ac:dyDescent="0.2">
      <c r="A738">
        <f t="shared" si="176"/>
        <v>736</v>
      </c>
      <c r="B738" s="1" t="s">
        <v>559</v>
      </c>
      <c r="C738">
        <v>48</v>
      </c>
      <c r="D738">
        <v>0</v>
      </c>
      <c r="E738">
        <v>0</v>
      </c>
      <c r="F738">
        <v>0</v>
      </c>
      <c r="G738">
        <v>0</v>
      </c>
      <c r="H738">
        <f t="shared" si="213"/>
        <v>65535</v>
      </c>
      <c r="I738" s="1"/>
      <c r="J738">
        <f t="shared" ref="J738:J769" si="219">C738-C354</f>
        <v>8</v>
      </c>
      <c r="K738">
        <f t="shared" ref="K738:K769" si="220">D738-D354</f>
        <v>0</v>
      </c>
      <c r="L738">
        <f t="shared" ref="L738:L769" si="221">E738+E354</f>
        <v>0</v>
      </c>
      <c r="M738">
        <f t="shared" ref="M738:M769" si="222">F738+F354</f>
        <v>0</v>
      </c>
      <c r="N738">
        <f t="shared" ref="N738:N769" si="223">G738+G354</f>
        <v>0</v>
      </c>
    </row>
    <row r="739" spans="1:14" x14ac:dyDescent="0.2">
      <c r="A739">
        <f t="shared" si="176"/>
        <v>737</v>
      </c>
      <c r="B739" s="1" t="s">
        <v>560</v>
      </c>
      <c r="C739">
        <v>49</v>
      </c>
      <c r="D739">
        <v>0</v>
      </c>
      <c r="E739">
        <v>0</v>
      </c>
      <c r="F739">
        <v>0</v>
      </c>
      <c r="G739">
        <v>0</v>
      </c>
      <c r="H739">
        <f t="shared" si="213"/>
        <v>65535</v>
      </c>
      <c r="I739" s="1"/>
      <c r="J739">
        <f t="shared" si="219"/>
        <v>8</v>
      </c>
      <c r="K739">
        <f t="shared" si="220"/>
        <v>0</v>
      </c>
      <c r="L739">
        <f t="shared" si="221"/>
        <v>0</v>
      </c>
      <c r="M739">
        <f t="shared" si="222"/>
        <v>0</v>
      </c>
      <c r="N739">
        <f t="shared" si="223"/>
        <v>0</v>
      </c>
    </row>
    <row r="740" spans="1:14" x14ac:dyDescent="0.2">
      <c r="A740">
        <f t="shared" si="176"/>
        <v>738</v>
      </c>
      <c r="B740" s="1" t="s">
        <v>561</v>
      </c>
      <c r="C740">
        <v>50</v>
      </c>
      <c r="D740">
        <v>0</v>
      </c>
      <c r="E740">
        <v>0</v>
      </c>
      <c r="F740">
        <v>0</v>
      </c>
      <c r="G740">
        <v>0</v>
      </c>
      <c r="H740">
        <f t="shared" si="213"/>
        <v>493</v>
      </c>
      <c r="I740" s="1" t="s">
        <v>112</v>
      </c>
      <c r="J740">
        <f t="shared" si="219"/>
        <v>8</v>
      </c>
      <c r="K740">
        <f t="shared" si="220"/>
        <v>0</v>
      </c>
      <c r="L740">
        <f t="shared" si="221"/>
        <v>0</v>
      </c>
      <c r="M740">
        <f t="shared" si="222"/>
        <v>0</v>
      </c>
      <c r="N740">
        <f t="shared" si="223"/>
        <v>0</v>
      </c>
    </row>
    <row r="741" spans="1:14" x14ac:dyDescent="0.2">
      <c r="A741">
        <f t="shared" si="176"/>
        <v>739</v>
      </c>
      <c r="B741" s="1" t="s">
        <v>592</v>
      </c>
      <c r="C741">
        <v>12</v>
      </c>
      <c r="D741">
        <v>0</v>
      </c>
      <c r="E741">
        <v>5</v>
      </c>
      <c r="F741">
        <v>2</v>
      </c>
      <c r="G741">
        <v>1</v>
      </c>
      <c r="H741">
        <f t="shared" si="213"/>
        <v>65535</v>
      </c>
      <c r="I741" s="1"/>
      <c r="J741">
        <f t="shared" si="219"/>
        <v>8</v>
      </c>
      <c r="K741">
        <f t="shared" si="220"/>
        <v>0</v>
      </c>
      <c r="L741">
        <f t="shared" si="221"/>
        <v>0</v>
      </c>
      <c r="M741">
        <f t="shared" si="222"/>
        <v>0</v>
      </c>
      <c r="N741">
        <f t="shared" si="223"/>
        <v>0</v>
      </c>
    </row>
    <row r="742" spans="1:14" x14ac:dyDescent="0.2">
      <c r="A742">
        <f t="shared" si="176"/>
        <v>740</v>
      </c>
      <c r="B742" s="1" t="s">
        <v>593</v>
      </c>
      <c r="C742">
        <v>12</v>
      </c>
      <c r="D742">
        <v>0</v>
      </c>
      <c r="E742">
        <v>5</v>
      </c>
      <c r="F742">
        <v>2</v>
      </c>
      <c r="G742">
        <v>1</v>
      </c>
      <c r="H742">
        <f t="shared" si="213"/>
        <v>65535</v>
      </c>
      <c r="I742" s="1"/>
      <c r="J742">
        <f t="shared" si="219"/>
        <v>8</v>
      </c>
      <c r="K742">
        <f t="shared" si="220"/>
        <v>0</v>
      </c>
      <c r="L742">
        <f t="shared" si="221"/>
        <v>0</v>
      </c>
      <c r="M742">
        <f t="shared" si="222"/>
        <v>0</v>
      </c>
      <c r="N742">
        <f t="shared" si="223"/>
        <v>0</v>
      </c>
    </row>
    <row r="743" spans="1:14" x14ac:dyDescent="0.2">
      <c r="A743">
        <f t="shared" si="176"/>
        <v>741</v>
      </c>
      <c r="B743" s="1" t="s">
        <v>594</v>
      </c>
      <c r="C743">
        <v>12</v>
      </c>
      <c r="D743">
        <v>0</v>
      </c>
      <c r="E743">
        <v>5</v>
      </c>
      <c r="F743">
        <v>2</v>
      </c>
      <c r="G743">
        <v>1</v>
      </c>
      <c r="H743">
        <f t="shared" si="213"/>
        <v>65535</v>
      </c>
      <c r="I743" s="1"/>
      <c r="J743">
        <f t="shared" si="219"/>
        <v>8</v>
      </c>
      <c r="K743">
        <f t="shared" si="220"/>
        <v>0</v>
      </c>
      <c r="L743">
        <f t="shared" si="221"/>
        <v>0</v>
      </c>
      <c r="M743">
        <f t="shared" si="222"/>
        <v>0</v>
      </c>
      <c r="N743">
        <f t="shared" si="223"/>
        <v>0</v>
      </c>
    </row>
    <row r="744" spans="1:14" x14ac:dyDescent="0.2">
      <c r="A744">
        <f t="shared" si="176"/>
        <v>742</v>
      </c>
      <c r="B744" s="1" t="s">
        <v>595</v>
      </c>
      <c r="C744">
        <v>12</v>
      </c>
      <c r="D744">
        <v>0</v>
      </c>
      <c r="E744">
        <v>5</v>
      </c>
      <c r="F744">
        <v>2</v>
      </c>
      <c r="G744">
        <v>1</v>
      </c>
      <c r="H744">
        <f t="shared" si="213"/>
        <v>65535</v>
      </c>
      <c r="I744" s="1"/>
      <c r="J744">
        <f t="shared" si="219"/>
        <v>8</v>
      </c>
      <c r="K744">
        <f t="shared" si="220"/>
        <v>0</v>
      </c>
      <c r="L744">
        <f t="shared" si="221"/>
        <v>0</v>
      </c>
      <c r="M744">
        <f t="shared" si="222"/>
        <v>0</v>
      </c>
      <c r="N744">
        <f t="shared" si="223"/>
        <v>0</v>
      </c>
    </row>
    <row r="745" spans="1:14" x14ac:dyDescent="0.2">
      <c r="A745">
        <f t="shared" si="176"/>
        <v>743</v>
      </c>
      <c r="B745" s="1" t="s">
        <v>596</v>
      </c>
      <c r="C745">
        <v>12</v>
      </c>
      <c r="D745">
        <v>0</v>
      </c>
      <c r="E745">
        <v>5</v>
      </c>
      <c r="F745">
        <v>2</v>
      </c>
      <c r="G745">
        <v>1</v>
      </c>
      <c r="H745">
        <f t="shared" si="213"/>
        <v>65535</v>
      </c>
      <c r="I745" s="1"/>
      <c r="J745">
        <f t="shared" si="219"/>
        <v>8</v>
      </c>
      <c r="K745">
        <f t="shared" si="220"/>
        <v>0</v>
      </c>
      <c r="L745">
        <f t="shared" si="221"/>
        <v>0</v>
      </c>
      <c r="M745">
        <f t="shared" si="222"/>
        <v>0</v>
      </c>
      <c r="N745">
        <f t="shared" si="223"/>
        <v>0</v>
      </c>
    </row>
    <row r="746" spans="1:14" x14ac:dyDescent="0.2">
      <c r="A746">
        <f t="shared" si="176"/>
        <v>744</v>
      </c>
      <c r="B746" s="1" t="s">
        <v>597</v>
      </c>
      <c r="C746">
        <v>13</v>
      </c>
      <c r="D746">
        <v>0</v>
      </c>
      <c r="E746">
        <v>5</v>
      </c>
      <c r="F746">
        <v>2</v>
      </c>
      <c r="G746">
        <v>1</v>
      </c>
      <c r="H746">
        <f t="shared" si="213"/>
        <v>65535</v>
      </c>
      <c r="I746" s="1"/>
      <c r="J746">
        <f t="shared" si="219"/>
        <v>8</v>
      </c>
      <c r="K746">
        <f t="shared" si="220"/>
        <v>0</v>
      </c>
      <c r="L746">
        <f t="shared" si="221"/>
        <v>0</v>
      </c>
      <c r="M746">
        <f t="shared" si="222"/>
        <v>0</v>
      </c>
      <c r="N746">
        <f t="shared" si="223"/>
        <v>0</v>
      </c>
    </row>
    <row r="747" spans="1:14" x14ac:dyDescent="0.2">
      <c r="A747">
        <f t="shared" si="176"/>
        <v>745</v>
      </c>
      <c r="B747" s="1" t="s">
        <v>598</v>
      </c>
      <c r="C747">
        <v>12</v>
      </c>
      <c r="D747">
        <v>0</v>
      </c>
      <c r="E747">
        <v>5</v>
      </c>
      <c r="F747">
        <v>2</v>
      </c>
      <c r="G747">
        <v>1</v>
      </c>
      <c r="H747">
        <f t="shared" si="213"/>
        <v>65535</v>
      </c>
      <c r="I747" s="1"/>
      <c r="J747">
        <f t="shared" si="219"/>
        <v>8</v>
      </c>
      <c r="K747">
        <f t="shared" si="220"/>
        <v>0</v>
      </c>
      <c r="L747">
        <f t="shared" si="221"/>
        <v>0</v>
      </c>
      <c r="M747">
        <f t="shared" si="222"/>
        <v>0</v>
      </c>
      <c r="N747">
        <f t="shared" si="223"/>
        <v>0</v>
      </c>
    </row>
    <row r="748" spans="1:14" x14ac:dyDescent="0.2">
      <c r="A748">
        <f t="shared" si="176"/>
        <v>746</v>
      </c>
      <c r="B748" s="1" t="s">
        <v>599</v>
      </c>
      <c r="C748">
        <v>13</v>
      </c>
      <c r="D748">
        <v>0</v>
      </c>
      <c r="E748">
        <v>5</v>
      </c>
      <c r="F748">
        <v>2</v>
      </c>
      <c r="G748">
        <v>1</v>
      </c>
      <c r="H748">
        <f t="shared" si="213"/>
        <v>65535</v>
      </c>
      <c r="I748" s="1"/>
      <c r="J748">
        <f t="shared" si="219"/>
        <v>8</v>
      </c>
      <c r="K748">
        <f t="shared" si="220"/>
        <v>0</v>
      </c>
      <c r="L748">
        <f t="shared" si="221"/>
        <v>0</v>
      </c>
      <c r="M748">
        <f t="shared" si="222"/>
        <v>0</v>
      </c>
      <c r="N748">
        <f t="shared" si="223"/>
        <v>0</v>
      </c>
    </row>
    <row r="749" spans="1:14" x14ac:dyDescent="0.2">
      <c r="A749">
        <f t="shared" si="176"/>
        <v>747</v>
      </c>
      <c r="B749" s="1" t="s">
        <v>605</v>
      </c>
      <c r="C749">
        <v>12</v>
      </c>
      <c r="D749">
        <v>0</v>
      </c>
      <c r="E749">
        <v>5</v>
      </c>
      <c r="F749">
        <v>2</v>
      </c>
      <c r="G749">
        <v>1</v>
      </c>
      <c r="H749">
        <f t="shared" si="213"/>
        <v>65535</v>
      </c>
      <c r="I749" s="1"/>
      <c r="J749">
        <f t="shared" si="219"/>
        <v>8</v>
      </c>
      <c r="K749">
        <f t="shared" si="220"/>
        <v>0</v>
      </c>
      <c r="L749">
        <f t="shared" si="221"/>
        <v>0</v>
      </c>
      <c r="M749">
        <f t="shared" si="222"/>
        <v>0</v>
      </c>
      <c r="N749">
        <f t="shared" si="223"/>
        <v>0</v>
      </c>
    </row>
    <row r="750" spans="1:14" x14ac:dyDescent="0.2">
      <c r="A750">
        <f t="shared" si="176"/>
        <v>748</v>
      </c>
      <c r="B750" s="1" t="s">
        <v>606</v>
      </c>
      <c r="C750">
        <v>13</v>
      </c>
      <c r="D750">
        <v>0</v>
      </c>
      <c r="E750">
        <v>5</v>
      </c>
      <c r="F750">
        <v>2</v>
      </c>
      <c r="G750">
        <v>1</v>
      </c>
      <c r="H750">
        <f t="shared" si="213"/>
        <v>65535</v>
      </c>
      <c r="I750" s="1"/>
      <c r="J750">
        <f t="shared" si="219"/>
        <v>8</v>
      </c>
      <c r="K750">
        <f t="shared" si="220"/>
        <v>0</v>
      </c>
      <c r="L750">
        <f t="shared" si="221"/>
        <v>0</v>
      </c>
      <c r="M750">
        <f t="shared" si="222"/>
        <v>0</v>
      </c>
      <c r="N750">
        <f t="shared" si="223"/>
        <v>0</v>
      </c>
    </row>
    <row r="751" spans="1:14" x14ac:dyDescent="0.2">
      <c r="A751">
        <f t="shared" si="176"/>
        <v>749</v>
      </c>
      <c r="B751" s="1" t="s">
        <v>607</v>
      </c>
      <c r="C751">
        <v>12</v>
      </c>
      <c r="D751">
        <v>0</v>
      </c>
      <c r="E751">
        <v>5</v>
      </c>
      <c r="F751">
        <v>2</v>
      </c>
      <c r="G751">
        <v>1</v>
      </c>
      <c r="H751">
        <f t="shared" si="213"/>
        <v>65535</v>
      </c>
      <c r="I751" s="1"/>
      <c r="J751">
        <f t="shared" si="219"/>
        <v>8</v>
      </c>
      <c r="K751">
        <f t="shared" si="220"/>
        <v>0</v>
      </c>
      <c r="L751">
        <f t="shared" si="221"/>
        <v>0</v>
      </c>
      <c r="M751">
        <f t="shared" si="222"/>
        <v>0</v>
      </c>
      <c r="N751">
        <f t="shared" si="223"/>
        <v>0</v>
      </c>
    </row>
    <row r="752" spans="1:14" x14ac:dyDescent="0.2">
      <c r="A752">
        <f t="shared" si="176"/>
        <v>750</v>
      </c>
      <c r="B752" s="1" t="s">
        <v>608</v>
      </c>
      <c r="C752">
        <v>13</v>
      </c>
      <c r="D752">
        <v>0</v>
      </c>
      <c r="E752">
        <v>5</v>
      </c>
      <c r="F752">
        <v>2</v>
      </c>
      <c r="G752">
        <v>1</v>
      </c>
      <c r="H752">
        <f t="shared" si="213"/>
        <v>65535</v>
      </c>
      <c r="I752" s="1"/>
      <c r="J752">
        <f t="shared" si="219"/>
        <v>8</v>
      </c>
      <c r="K752">
        <f t="shared" si="220"/>
        <v>0</v>
      </c>
      <c r="L752">
        <f t="shared" si="221"/>
        <v>0</v>
      </c>
      <c r="M752">
        <f t="shared" si="222"/>
        <v>0</v>
      </c>
      <c r="N752">
        <f t="shared" si="223"/>
        <v>0</v>
      </c>
    </row>
    <row r="753" spans="1:14" x14ac:dyDescent="0.2">
      <c r="A753">
        <f t="shared" si="176"/>
        <v>751</v>
      </c>
      <c r="B753" s="1" t="s">
        <v>609</v>
      </c>
      <c r="C753">
        <v>13</v>
      </c>
      <c r="D753">
        <v>-4</v>
      </c>
      <c r="E753">
        <v>0</v>
      </c>
      <c r="F753">
        <v>0</v>
      </c>
      <c r="G753">
        <v>0</v>
      </c>
      <c r="H753">
        <f t="shared" si="213"/>
        <v>65535</v>
      </c>
      <c r="I753" s="1"/>
      <c r="J753">
        <f t="shared" si="219"/>
        <v>8</v>
      </c>
      <c r="K753">
        <f t="shared" si="220"/>
        <v>0</v>
      </c>
      <c r="L753">
        <f t="shared" si="221"/>
        <v>0</v>
      </c>
      <c r="M753">
        <f t="shared" si="222"/>
        <v>0</v>
      </c>
      <c r="N753">
        <f t="shared" si="223"/>
        <v>0</v>
      </c>
    </row>
    <row r="754" spans="1:14" x14ac:dyDescent="0.2">
      <c r="A754">
        <f t="shared" si="176"/>
        <v>752</v>
      </c>
      <c r="B754" s="1" t="s">
        <v>630</v>
      </c>
      <c r="C754">
        <v>12</v>
      </c>
      <c r="D754">
        <v>0</v>
      </c>
      <c r="E754">
        <v>5</v>
      </c>
      <c r="F754">
        <v>2</v>
      </c>
      <c r="G754">
        <v>1</v>
      </c>
      <c r="H754">
        <f t="shared" si="213"/>
        <v>65535</v>
      </c>
      <c r="I754" s="1"/>
      <c r="J754">
        <f t="shared" si="219"/>
        <v>8</v>
      </c>
      <c r="K754">
        <f t="shared" si="220"/>
        <v>0</v>
      </c>
      <c r="L754">
        <f t="shared" si="221"/>
        <v>0</v>
      </c>
      <c r="M754">
        <f t="shared" si="222"/>
        <v>0</v>
      </c>
      <c r="N754">
        <f t="shared" si="223"/>
        <v>0</v>
      </c>
    </row>
    <row r="755" spans="1:14" x14ac:dyDescent="0.2">
      <c r="A755">
        <f t="shared" si="176"/>
        <v>753</v>
      </c>
      <c r="B755" s="1" t="s">
        <v>631</v>
      </c>
      <c r="C755">
        <v>12</v>
      </c>
      <c r="D755">
        <v>2</v>
      </c>
      <c r="E755">
        <v>5</v>
      </c>
      <c r="F755">
        <v>2</v>
      </c>
      <c r="G755">
        <v>1</v>
      </c>
      <c r="H755">
        <f t="shared" si="213"/>
        <v>65535</v>
      </c>
      <c r="I755" s="1"/>
      <c r="J755">
        <f t="shared" si="219"/>
        <v>8</v>
      </c>
      <c r="K755">
        <f t="shared" si="220"/>
        <v>0</v>
      </c>
      <c r="L755">
        <f t="shared" si="221"/>
        <v>0</v>
      </c>
      <c r="M755">
        <f t="shared" si="222"/>
        <v>0</v>
      </c>
      <c r="N755">
        <f t="shared" si="223"/>
        <v>0</v>
      </c>
    </row>
    <row r="756" spans="1:14" x14ac:dyDescent="0.2">
      <c r="A756">
        <f t="shared" si="176"/>
        <v>754</v>
      </c>
      <c r="B756" s="1" t="s">
        <v>632</v>
      </c>
      <c r="C756">
        <v>60</v>
      </c>
      <c r="D756">
        <v>2</v>
      </c>
      <c r="E756">
        <v>8</v>
      </c>
      <c r="F756">
        <v>3</v>
      </c>
      <c r="G756">
        <v>2</v>
      </c>
      <c r="H756">
        <f t="shared" si="213"/>
        <v>65535</v>
      </c>
      <c r="I756" s="1"/>
      <c r="J756">
        <f t="shared" si="219"/>
        <v>8</v>
      </c>
      <c r="K756">
        <f t="shared" si="220"/>
        <v>0</v>
      </c>
      <c r="L756">
        <f t="shared" si="221"/>
        <v>0</v>
      </c>
      <c r="M756">
        <f t="shared" si="222"/>
        <v>0</v>
      </c>
      <c r="N756">
        <f t="shared" si="223"/>
        <v>0</v>
      </c>
    </row>
    <row r="757" spans="1:14" x14ac:dyDescent="0.2">
      <c r="A757">
        <f t="shared" si="176"/>
        <v>755</v>
      </c>
      <c r="B757" s="1" t="s">
        <v>633</v>
      </c>
      <c r="C757">
        <v>60</v>
      </c>
      <c r="D757">
        <v>-2</v>
      </c>
      <c r="E757">
        <v>8</v>
      </c>
      <c r="F757">
        <v>4</v>
      </c>
      <c r="G757">
        <v>2</v>
      </c>
      <c r="H757">
        <f t="shared" si="213"/>
        <v>65535</v>
      </c>
      <c r="I757" s="1"/>
      <c r="J757">
        <f t="shared" si="219"/>
        <v>8</v>
      </c>
      <c r="K757">
        <f t="shared" si="220"/>
        <v>0</v>
      </c>
      <c r="L757">
        <f t="shared" si="221"/>
        <v>0</v>
      </c>
      <c r="M757">
        <f t="shared" si="222"/>
        <v>0</v>
      </c>
      <c r="N757">
        <f t="shared" si="223"/>
        <v>0</v>
      </c>
    </row>
    <row r="758" spans="1:14" x14ac:dyDescent="0.2">
      <c r="A758">
        <f t="shared" ref="A758:A821" si="224">A757+1</f>
        <v>756</v>
      </c>
      <c r="B758" s="1" t="s">
        <v>634</v>
      </c>
      <c r="C758">
        <v>60</v>
      </c>
      <c r="D758">
        <v>-2</v>
      </c>
      <c r="E758">
        <v>8</v>
      </c>
      <c r="F758">
        <v>3</v>
      </c>
      <c r="G758">
        <v>2</v>
      </c>
      <c r="H758">
        <f t="shared" si="213"/>
        <v>65535</v>
      </c>
      <c r="I758" s="1"/>
      <c r="J758">
        <f t="shared" si="219"/>
        <v>8</v>
      </c>
      <c r="K758">
        <f t="shared" si="220"/>
        <v>0</v>
      </c>
      <c r="L758">
        <f t="shared" si="221"/>
        <v>0</v>
      </c>
      <c r="M758">
        <f t="shared" si="222"/>
        <v>0</v>
      </c>
      <c r="N758">
        <f t="shared" si="223"/>
        <v>0</v>
      </c>
    </row>
    <row r="759" spans="1:14" x14ac:dyDescent="0.2">
      <c r="A759">
        <f t="shared" si="224"/>
        <v>757</v>
      </c>
      <c r="B759" s="1" t="s">
        <v>635</v>
      </c>
      <c r="C759">
        <v>60</v>
      </c>
      <c r="D759">
        <v>-1</v>
      </c>
      <c r="E759">
        <v>10</v>
      </c>
      <c r="F759">
        <v>3</v>
      </c>
      <c r="G759">
        <v>2</v>
      </c>
      <c r="H759">
        <f t="shared" si="213"/>
        <v>65535</v>
      </c>
      <c r="I759" s="1"/>
      <c r="J759">
        <f t="shared" si="219"/>
        <v>8</v>
      </c>
      <c r="K759">
        <f t="shared" si="220"/>
        <v>0</v>
      </c>
      <c r="L759">
        <f t="shared" si="221"/>
        <v>0</v>
      </c>
      <c r="M759">
        <f t="shared" si="222"/>
        <v>0</v>
      </c>
      <c r="N759">
        <f t="shared" si="223"/>
        <v>0</v>
      </c>
    </row>
    <row r="760" spans="1:14" x14ac:dyDescent="0.2">
      <c r="A760">
        <f t="shared" si="224"/>
        <v>758</v>
      </c>
      <c r="B760" s="1" t="s">
        <v>636</v>
      </c>
      <c r="C760">
        <v>60</v>
      </c>
      <c r="D760">
        <v>0</v>
      </c>
      <c r="E760">
        <v>10</v>
      </c>
      <c r="F760">
        <v>4</v>
      </c>
      <c r="G760">
        <v>2</v>
      </c>
      <c r="H760">
        <f t="shared" si="213"/>
        <v>65535</v>
      </c>
      <c r="I760" s="1"/>
      <c r="J760">
        <f t="shared" si="219"/>
        <v>8</v>
      </c>
      <c r="K760">
        <f t="shared" si="220"/>
        <v>0</v>
      </c>
      <c r="L760">
        <f t="shared" si="221"/>
        <v>0</v>
      </c>
      <c r="M760">
        <f t="shared" si="222"/>
        <v>0</v>
      </c>
      <c r="N760">
        <f t="shared" si="223"/>
        <v>0</v>
      </c>
    </row>
    <row r="761" spans="1:14" x14ac:dyDescent="0.2">
      <c r="A761">
        <f t="shared" si="224"/>
        <v>759</v>
      </c>
      <c r="B761" s="1" t="s">
        <v>637</v>
      </c>
      <c r="C761">
        <v>60</v>
      </c>
      <c r="D761">
        <v>-1</v>
      </c>
      <c r="E761">
        <v>10</v>
      </c>
      <c r="F761">
        <v>4</v>
      </c>
      <c r="G761">
        <v>2</v>
      </c>
      <c r="H761">
        <f t="shared" si="213"/>
        <v>65535</v>
      </c>
      <c r="I761" s="1"/>
      <c r="J761">
        <f t="shared" si="219"/>
        <v>8</v>
      </c>
      <c r="K761">
        <f t="shared" si="220"/>
        <v>0</v>
      </c>
      <c r="L761">
        <f t="shared" si="221"/>
        <v>0</v>
      </c>
      <c r="M761">
        <f t="shared" si="222"/>
        <v>0</v>
      </c>
      <c r="N761">
        <f t="shared" si="223"/>
        <v>0</v>
      </c>
    </row>
    <row r="762" spans="1:14" x14ac:dyDescent="0.2">
      <c r="A762">
        <f t="shared" si="224"/>
        <v>760</v>
      </c>
      <c r="B762" s="1" t="s">
        <v>638</v>
      </c>
      <c r="C762">
        <v>60</v>
      </c>
      <c r="D762">
        <v>0</v>
      </c>
      <c r="E762">
        <v>10</v>
      </c>
      <c r="F762">
        <v>4</v>
      </c>
      <c r="G762">
        <v>2</v>
      </c>
      <c r="H762">
        <f t="shared" si="213"/>
        <v>65535</v>
      </c>
      <c r="I762" s="1"/>
      <c r="J762">
        <f t="shared" si="219"/>
        <v>8</v>
      </c>
      <c r="K762">
        <f t="shared" si="220"/>
        <v>0</v>
      </c>
      <c r="L762">
        <f t="shared" si="221"/>
        <v>0</v>
      </c>
      <c r="M762">
        <f t="shared" si="222"/>
        <v>0</v>
      </c>
      <c r="N762">
        <f t="shared" si="223"/>
        <v>0</v>
      </c>
    </row>
    <row r="763" spans="1:14" x14ac:dyDescent="0.2">
      <c r="A763">
        <f t="shared" si="224"/>
        <v>761</v>
      </c>
      <c r="B763" s="1" t="s">
        <v>639</v>
      </c>
      <c r="C763">
        <v>60</v>
      </c>
      <c r="D763">
        <v>0</v>
      </c>
      <c r="E763">
        <v>10</v>
      </c>
      <c r="F763">
        <v>4</v>
      </c>
      <c r="G763">
        <v>2</v>
      </c>
      <c r="H763">
        <f t="shared" si="213"/>
        <v>65535</v>
      </c>
      <c r="I763" s="1"/>
      <c r="J763">
        <f t="shared" si="219"/>
        <v>8</v>
      </c>
      <c r="K763">
        <f t="shared" si="220"/>
        <v>0</v>
      </c>
      <c r="L763">
        <f t="shared" si="221"/>
        <v>0</v>
      </c>
      <c r="M763">
        <f t="shared" si="222"/>
        <v>0</v>
      </c>
      <c r="N763">
        <f t="shared" si="223"/>
        <v>0</v>
      </c>
    </row>
    <row r="764" spans="1:14" x14ac:dyDescent="0.2">
      <c r="A764">
        <f t="shared" si="224"/>
        <v>762</v>
      </c>
      <c r="B764" s="1" t="s">
        <v>640</v>
      </c>
      <c r="C764">
        <v>60</v>
      </c>
      <c r="D764">
        <v>1</v>
      </c>
      <c r="E764">
        <v>10</v>
      </c>
      <c r="F764">
        <v>4</v>
      </c>
      <c r="G764">
        <v>2</v>
      </c>
      <c r="H764">
        <f t="shared" si="213"/>
        <v>65535</v>
      </c>
      <c r="I764" s="1"/>
      <c r="J764">
        <f t="shared" si="219"/>
        <v>8</v>
      </c>
      <c r="K764">
        <f t="shared" si="220"/>
        <v>0</v>
      </c>
      <c r="L764">
        <f t="shared" si="221"/>
        <v>0</v>
      </c>
      <c r="M764">
        <f t="shared" si="222"/>
        <v>0</v>
      </c>
      <c r="N764">
        <f t="shared" si="223"/>
        <v>0</v>
      </c>
    </row>
    <row r="765" spans="1:14" x14ac:dyDescent="0.2">
      <c r="A765">
        <f t="shared" si="224"/>
        <v>763</v>
      </c>
      <c r="B765" s="1" t="s">
        <v>641</v>
      </c>
      <c r="C765">
        <v>60</v>
      </c>
      <c r="D765">
        <v>0</v>
      </c>
      <c r="E765">
        <v>8</v>
      </c>
      <c r="F765">
        <v>3</v>
      </c>
      <c r="G765">
        <v>1</v>
      </c>
      <c r="H765">
        <f t="shared" si="213"/>
        <v>65535</v>
      </c>
      <c r="I765" s="1"/>
      <c r="J765">
        <f t="shared" si="219"/>
        <v>8</v>
      </c>
      <c r="K765">
        <f t="shared" si="220"/>
        <v>0</v>
      </c>
      <c r="L765">
        <f t="shared" si="221"/>
        <v>0</v>
      </c>
      <c r="M765">
        <f t="shared" si="222"/>
        <v>0</v>
      </c>
      <c r="N765">
        <f t="shared" si="223"/>
        <v>0</v>
      </c>
    </row>
    <row r="766" spans="1:14" x14ac:dyDescent="0.2">
      <c r="A766">
        <f t="shared" si="224"/>
        <v>764</v>
      </c>
      <c r="B766" s="1" t="s">
        <v>642</v>
      </c>
      <c r="C766">
        <v>60</v>
      </c>
      <c r="D766">
        <v>1</v>
      </c>
      <c r="E766">
        <v>8</v>
      </c>
      <c r="F766">
        <v>3</v>
      </c>
      <c r="G766">
        <v>1</v>
      </c>
      <c r="H766">
        <f t="shared" si="213"/>
        <v>65535</v>
      </c>
      <c r="I766" s="1"/>
      <c r="J766">
        <f t="shared" si="219"/>
        <v>8</v>
      </c>
      <c r="K766">
        <f t="shared" si="220"/>
        <v>0</v>
      </c>
      <c r="L766">
        <f t="shared" si="221"/>
        <v>0</v>
      </c>
      <c r="M766">
        <f t="shared" si="222"/>
        <v>0</v>
      </c>
      <c r="N766">
        <f t="shared" si="223"/>
        <v>0</v>
      </c>
    </row>
    <row r="767" spans="1:14" x14ac:dyDescent="0.2">
      <c r="A767">
        <f t="shared" si="224"/>
        <v>765</v>
      </c>
      <c r="B767" s="1" t="s">
        <v>643</v>
      </c>
      <c r="C767">
        <v>60</v>
      </c>
      <c r="D767">
        <v>2</v>
      </c>
      <c r="E767">
        <v>8</v>
      </c>
      <c r="F767">
        <v>3</v>
      </c>
      <c r="G767">
        <v>1</v>
      </c>
      <c r="H767">
        <f t="shared" si="213"/>
        <v>65535</v>
      </c>
      <c r="I767" s="1"/>
      <c r="J767">
        <f t="shared" si="219"/>
        <v>8</v>
      </c>
      <c r="K767">
        <f t="shared" si="220"/>
        <v>0</v>
      </c>
      <c r="L767">
        <f t="shared" si="221"/>
        <v>0</v>
      </c>
      <c r="M767">
        <f t="shared" si="222"/>
        <v>0</v>
      </c>
      <c r="N767">
        <f t="shared" si="223"/>
        <v>0</v>
      </c>
    </row>
    <row r="768" spans="1:14" x14ac:dyDescent="0.2">
      <c r="A768">
        <f t="shared" si="224"/>
        <v>766</v>
      </c>
      <c r="B768" s="1" t="s">
        <v>644</v>
      </c>
      <c r="C768">
        <v>60</v>
      </c>
      <c r="D768">
        <v>1</v>
      </c>
      <c r="E768">
        <v>5</v>
      </c>
      <c r="F768">
        <v>2</v>
      </c>
      <c r="G768">
        <v>1</v>
      </c>
      <c r="H768">
        <f t="shared" si="213"/>
        <v>65535</v>
      </c>
      <c r="I768" s="1"/>
      <c r="J768">
        <f t="shared" si="219"/>
        <v>8</v>
      </c>
      <c r="K768">
        <f t="shared" si="220"/>
        <v>0</v>
      </c>
      <c r="L768">
        <f t="shared" si="221"/>
        <v>0</v>
      </c>
      <c r="M768">
        <f t="shared" si="222"/>
        <v>0</v>
      </c>
      <c r="N768">
        <f t="shared" si="223"/>
        <v>0</v>
      </c>
    </row>
    <row r="769" spans="1:14" x14ac:dyDescent="0.2">
      <c r="A769">
        <f t="shared" si="224"/>
        <v>767</v>
      </c>
      <c r="B769" s="1" t="s">
        <v>645</v>
      </c>
      <c r="C769">
        <v>12</v>
      </c>
      <c r="D769">
        <v>0</v>
      </c>
      <c r="E769">
        <v>5</v>
      </c>
      <c r="F769">
        <v>2</v>
      </c>
      <c r="G769">
        <v>1</v>
      </c>
      <c r="H769">
        <f t="shared" si="213"/>
        <v>65535</v>
      </c>
      <c r="I769" s="1"/>
      <c r="J769">
        <f t="shared" si="219"/>
        <v>8</v>
      </c>
      <c r="K769">
        <f t="shared" si="220"/>
        <v>0</v>
      </c>
      <c r="L769">
        <f t="shared" si="221"/>
        <v>0</v>
      </c>
      <c r="M769">
        <f t="shared" si="222"/>
        <v>0</v>
      </c>
      <c r="N769">
        <f t="shared" si="223"/>
        <v>0</v>
      </c>
    </row>
    <row r="770" spans="1:14" x14ac:dyDescent="0.2">
      <c r="A770">
        <f t="shared" si="224"/>
        <v>768</v>
      </c>
      <c r="B770" s="1" t="s">
        <v>646</v>
      </c>
      <c r="C770">
        <v>12</v>
      </c>
      <c r="D770">
        <v>1</v>
      </c>
      <c r="E770">
        <v>5</v>
      </c>
      <c r="F770">
        <v>2</v>
      </c>
      <c r="G770">
        <v>1</v>
      </c>
      <c r="H770">
        <f t="shared" ref="H770:H833" si="225">_xlfn.XLOOKUP(I770,$B$2:$B$982,$A$2:$A$982,65535)</f>
        <v>65535</v>
      </c>
      <c r="I770" s="1"/>
      <c r="J770">
        <f t="shared" ref="J770:J801" si="226">C770-C386</f>
        <v>8</v>
      </c>
      <c r="K770">
        <f t="shared" ref="K770:K801" si="227">D770-D386</f>
        <v>0</v>
      </c>
      <c r="L770">
        <f t="shared" ref="L770:L801" si="228">E770+E386</f>
        <v>0</v>
      </c>
      <c r="M770">
        <f t="shared" ref="M770:M801" si="229">F770+F386</f>
        <v>0</v>
      </c>
      <c r="N770">
        <f t="shared" ref="N770:N801" si="230">G770+G386</f>
        <v>0</v>
      </c>
    </row>
    <row r="771" spans="1:14" x14ac:dyDescent="0.2">
      <c r="A771">
        <f t="shared" si="224"/>
        <v>769</v>
      </c>
      <c r="B771" s="1" t="s">
        <v>647</v>
      </c>
      <c r="C771">
        <v>14</v>
      </c>
      <c r="D771">
        <v>-2</v>
      </c>
      <c r="E771">
        <v>5</v>
      </c>
      <c r="F771">
        <v>2</v>
      </c>
      <c r="G771">
        <v>1</v>
      </c>
      <c r="H771">
        <f t="shared" si="225"/>
        <v>65535</v>
      </c>
      <c r="I771" s="1"/>
      <c r="J771">
        <f t="shared" si="226"/>
        <v>8</v>
      </c>
      <c r="K771">
        <f t="shared" si="227"/>
        <v>0</v>
      </c>
      <c r="L771">
        <f t="shared" si="228"/>
        <v>0</v>
      </c>
      <c r="M771">
        <f t="shared" si="229"/>
        <v>0</v>
      </c>
      <c r="N771">
        <f t="shared" si="230"/>
        <v>0</v>
      </c>
    </row>
    <row r="772" spans="1:14" x14ac:dyDescent="0.2">
      <c r="A772">
        <f t="shared" si="224"/>
        <v>770</v>
      </c>
      <c r="B772" s="1" t="s">
        <v>648</v>
      </c>
      <c r="C772">
        <v>15</v>
      </c>
      <c r="D772">
        <v>-2</v>
      </c>
      <c r="E772">
        <v>5</v>
      </c>
      <c r="F772">
        <v>2</v>
      </c>
      <c r="G772">
        <v>1</v>
      </c>
      <c r="H772">
        <f t="shared" si="225"/>
        <v>65535</v>
      </c>
      <c r="I772" s="1"/>
      <c r="J772">
        <f t="shared" si="226"/>
        <v>8</v>
      </c>
      <c r="K772">
        <f t="shared" si="227"/>
        <v>0</v>
      </c>
      <c r="L772">
        <f t="shared" si="228"/>
        <v>0</v>
      </c>
      <c r="M772">
        <f t="shared" si="229"/>
        <v>0</v>
      </c>
      <c r="N772">
        <f t="shared" si="230"/>
        <v>0</v>
      </c>
    </row>
    <row r="773" spans="1:14" ht="18" customHeight="1" x14ac:dyDescent="0.2">
      <c r="A773">
        <f t="shared" si="224"/>
        <v>771</v>
      </c>
      <c r="B773" s="1" t="s">
        <v>649</v>
      </c>
      <c r="C773">
        <v>13</v>
      </c>
      <c r="D773">
        <v>0</v>
      </c>
      <c r="E773">
        <v>0</v>
      </c>
      <c r="F773">
        <v>0</v>
      </c>
      <c r="G773">
        <v>0</v>
      </c>
      <c r="H773">
        <f t="shared" si="225"/>
        <v>65535</v>
      </c>
      <c r="I773" s="1"/>
      <c r="J773">
        <f t="shared" si="226"/>
        <v>8</v>
      </c>
      <c r="K773">
        <f t="shared" si="227"/>
        <v>0</v>
      </c>
      <c r="L773">
        <f t="shared" si="228"/>
        <v>0</v>
      </c>
      <c r="M773">
        <f t="shared" si="229"/>
        <v>0</v>
      </c>
      <c r="N773">
        <f t="shared" si="230"/>
        <v>0</v>
      </c>
    </row>
    <row r="774" spans="1:14" ht="18" customHeight="1" x14ac:dyDescent="0.2">
      <c r="A774">
        <f t="shared" si="224"/>
        <v>772</v>
      </c>
      <c r="B774" s="1" t="s">
        <v>753</v>
      </c>
      <c r="C774">
        <v>13</v>
      </c>
      <c r="D774">
        <v>0</v>
      </c>
      <c r="E774">
        <v>0</v>
      </c>
      <c r="F774">
        <v>0</v>
      </c>
      <c r="G774">
        <v>0</v>
      </c>
      <c r="H774">
        <f t="shared" si="225"/>
        <v>65535</v>
      </c>
      <c r="I774" s="1"/>
      <c r="J774">
        <f t="shared" si="226"/>
        <v>8</v>
      </c>
      <c r="K774">
        <f t="shared" si="227"/>
        <v>0</v>
      </c>
      <c r="L774">
        <f t="shared" si="228"/>
        <v>0</v>
      </c>
      <c r="M774">
        <f t="shared" si="229"/>
        <v>0</v>
      </c>
      <c r="N774">
        <f t="shared" si="230"/>
        <v>0</v>
      </c>
    </row>
    <row r="775" spans="1:14" x14ac:dyDescent="0.2">
      <c r="A775">
        <f t="shared" si="224"/>
        <v>773</v>
      </c>
      <c r="B775" s="1" t="s">
        <v>754</v>
      </c>
      <c r="C775">
        <v>12</v>
      </c>
      <c r="D775">
        <v>1</v>
      </c>
      <c r="E775">
        <v>5</v>
      </c>
      <c r="F775">
        <v>2</v>
      </c>
      <c r="G775">
        <v>1</v>
      </c>
      <c r="H775">
        <f t="shared" si="225"/>
        <v>65535</v>
      </c>
      <c r="J775">
        <f t="shared" si="226"/>
        <v>8</v>
      </c>
      <c r="K775">
        <f t="shared" si="227"/>
        <v>0</v>
      </c>
      <c r="L775">
        <f t="shared" si="228"/>
        <v>0</v>
      </c>
      <c r="M775">
        <f t="shared" si="229"/>
        <v>0</v>
      </c>
      <c r="N775">
        <f t="shared" si="230"/>
        <v>0</v>
      </c>
    </row>
    <row r="776" spans="1:14" x14ac:dyDescent="0.2">
      <c r="A776">
        <f t="shared" si="224"/>
        <v>774</v>
      </c>
      <c r="B776" s="1" t="s">
        <v>755</v>
      </c>
      <c r="C776">
        <v>12</v>
      </c>
      <c r="D776">
        <v>1</v>
      </c>
      <c r="E776">
        <v>5</v>
      </c>
      <c r="F776">
        <v>2</v>
      </c>
      <c r="G776">
        <v>1</v>
      </c>
      <c r="H776">
        <f t="shared" si="225"/>
        <v>65535</v>
      </c>
      <c r="J776">
        <f t="shared" si="226"/>
        <v>8</v>
      </c>
      <c r="K776">
        <f t="shared" si="227"/>
        <v>0</v>
      </c>
      <c r="L776">
        <f t="shared" si="228"/>
        <v>0</v>
      </c>
      <c r="M776">
        <f t="shared" si="229"/>
        <v>0</v>
      </c>
      <c r="N776">
        <f t="shared" si="230"/>
        <v>0</v>
      </c>
    </row>
    <row r="777" spans="1:14" x14ac:dyDescent="0.2">
      <c r="A777">
        <f t="shared" si="224"/>
        <v>775</v>
      </c>
      <c r="B777" s="1" t="s">
        <v>756</v>
      </c>
      <c r="C777">
        <v>12</v>
      </c>
      <c r="D777">
        <v>1</v>
      </c>
      <c r="E777">
        <v>5</v>
      </c>
      <c r="F777">
        <v>2</v>
      </c>
      <c r="G777">
        <v>1</v>
      </c>
      <c r="H777">
        <f t="shared" si="225"/>
        <v>65535</v>
      </c>
      <c r="J777">
        <f t="shared" si="226"/>
        <v>8</v>
      </c>
      <c r="K777">
        <f t="shared" si="227"/>
        <v>0</v>
      </c>
      <c r="L777">
        <f t="shared" si="228"/>
        <v>0</v>
      </c>
      <c r="M777">
        <f t="shared" si="229"/>
        <v>0</v>
      </c>
      <c r="N777">
        <f t="shared" si="230"/>
        <v>0</v>
      </c>
    </row>
    <row r="778" spans="1:14" x14ac:dyDescent="0.2">
      <c r="A778">
        <f t="shared" si="224"/>
        <v>776</v>
      </c>
      <c r="B778" s="1" t="s">
        <v>757</v>
      </c>
      <c r="C778">
        <v>12</v>
      </c>
      <c r="D778">
        <v>0</v>
      </c>
      <c r="E778">
        <v>5</v>
      </c>
      <c r="F778">
        <v>2</v>
      </c>
      <c r="G778">
        <v>1</v>
      </c>
      <c r="H778">
        <f t="shared" si="225"/>
        <v>65535</v>
      </c>
      <c r="J778">
        <f t="shared" si="226"/>
        <v>8</v>
      </c>
      <c r="K778">
        <f t="shared" si="227"/>
        <v>0</v>
      </c>
      <c r="L778">
        <f t="shared" si="228"/>
        <v>0</v>
      </c>
      <c r="M778">
        <f t="shared" si="229"/>
        <v>0</v>
      </c>
      <c r="N778">
        <f t="shared" si="230"/>
        <v>0</v>
      </c>
    </row>
    <row r="779" spans="1:14" x14ac:dyDescent="0.2">
      <c r="A779">
        <f t="shared" si="224"/>
        <v>777</v>
      </c>
      <c r="B779" s="1" t="s">
        <v>758</v>
      </c>
      <c r="C779">
        <v>12</v>
      </c>
      <c r="D779">
        <v>-1</v>
      </c>
      <c r="E779">
        <v>2</v>
      </c>
      <c r="F779">
        <v>1</v>
      </c>
      <c r="G779">
        <v>0</v>
      </c>
      <c r="H779">
        <f t="shared" si="225"/>
        <v>65535</v>
      </c>
      <c r="J779">
        <f t="shared" si="226"/>
        <v>8</v>
      </c>
      <c r="K779">
        <f t="shared" si="227"/>
        <v>0</v>
      </c>
      <c r="L779">
        <f t="shared" si="228"/>
        <v>0</v>
      </c>
      <c r="M779">
        <f t="shared" si="229"/>
        <v>0</v>
      </c>
      <c r="N779">
        <f t="shared" si="230"/>
        <v>0</v>
      </c>
    </row>
    <row r="780" spans="1:14" x14ac:dyDescent="0.2">
      <c r="A780">
        <f t="shared" si="224"/>
        <v>778</v>
      </c>
      <c r="B780" s="1" t="s">
        <v>759</v>
      </c>
      <c r="C780">
        <v>14</v>
      </c>
      <c r="D780">
        <v>-1</v>
      </c>
      <c r="E780">
        <v>2</v>
      </c>
      <c r="F780">
        <v>1</v>
      </c>
      <c r="G780">
        <v>1</v>
      </c>
      <c r="H780">
        <f t="shared" si="225"/>
        <v>65535</v>
      </c>
      <c r="J780">
        <f t="shared" si="226"/>
        <v>8</v>
      </c>
      <c r="K780">
        <f t="shared" si="227"/>
        <v>0</v>
      </c>
      <c r="L780">
        <f t="shared" si="228"/>
        <v>0</v>
      </c>
      <c r="M780">
        <f t="shared" si="229"/>
        <v>0</v>
      </c>
      <c r="N780">
        <f t="shared" si="230"/>
        <v>0</v>
      </c>
    </row>
    <row r="781" spans="1:14" x14ac:dyDescent="0.2">
      <c r="A781">
        <f t="shared" si="224"/>
        <v>779</v>
      </c>
      <c r="B781" s="1" t="s">
        <v>760</v>
      </c>
      <c r="C781">
        <v>13</v>
      </c>
      <c r="D781">
        <v>-1</v>
      </c>
      <c r="E781">
        <v>5</v>
      </c>
      <c r="F781">
        <v>2</v>
      </c>
      <c r="G781">
        <v>1</v>
      </c>
      <c r="H781">
        <f t="shared" si="225"/>
        <v>65535</v>
      </c>
      <c r="J781">
        <f t="shared" si="226"/>
        <v>8</v>
      </c>
      <c r="K781">
        <f t="shared" si="227"/>
        <v>0</v>
      </c>
      <c r="L781">
        <f t="shared" si="228"/>
        <v>0</v>
      </c>
      <c r="M781">
        <f t="shared" si="229"/>
        <v>0</v>
      </c>
      <c r="N781">
        <f t="shared" si="230"/>
        <v>0</v>
      </c>
    </row>
    <row r="782" spans="1:14" ht="18" customHeight="1" x14ac:dyDescent="0.2">
      <c r="A782">
        <f t="shared" si="224"/>
        <v>780</v>
      </c>
      <c r="B782" s="1" t="s">
        <v>769</v>
      </c>
      <c r="C782">
        <v>13</v>
      </c>
      <c r="D782">
        <v>0</v>
      </c>
      <c r="E782">
        <v>0</v>
      </c>
      <c r="F782">
        <v>0</v>
      </c>
      <c r="G782">
        <v>0</v>
      </c>
      <c r="H782">
        <f t="shared" si="225"/>
        <v>65535</v>
      </c>
      <c r="I782" s="1"/>
      <c r="J782">
        <f t="shared" si="226"/>
        <v>8</v>
      </c>
      <c r="K782">
        <f t="shared" si="227"/>
        <v>0</v>
      </c>
      <c r="L782">
        <f t="shared" si="228"/>
        <v>0</v>
      </c>
      <c r="M782">
        <f t="shared" si="229"/>
        <v>0</v>
      </c>
      <c r="N782">
        <f t="shared" si="230"/>
        <v>0</v>
      </c>
    </row>
    <row r="783" spans="1:14" x14ac:dyDescent="0.2">
      <c r="A783">
        <f t="shared" si="224"/>
        <v>781</v>
      </c>
      <c r="B783" s="1" t="s">
        <v>770</v>
      </c>
      <c r="C783">
        <v>12</v>
      </c>
      <c r="D783">
        <v>1</v>
      </c>
      <c r="E783">
        <v>5</v>
      </c>
      <c r="F783">
        <v>2</v>
      </c>
      <c r="G783">
        <v>1</v>
      </c>
      <c r="H783">
        <f t="shared" si="225"/>
        <v>65535</v>
      </c>
      <c r="J783">
        <f t="shared" si="226"/>
        <v>8</v>
      </c>
      <c r="K783">
        <f t="shared" si="227"/>
        <v>0</v>
      </c>
      <c r="L783">
        <f t="shared" si="228"/>
        <v>0</v>
      </c>
      <c r="M783">
        <f t="shared" si="229"/>
        <v>0</v>
      </c>
      <c r="N783">
        <f t="shared" si="230"/>
        <v>0</v>
      </c>
    </row>
    <row r="784" spans="1:14" x14ac:dyDescent="0.2">
      <c r="A784">
        <f t="shared" si="224"/>
        <v>782</v>
      </c>
      <c r="B784" s="1" t="s">
        <v>771</v>
      </c>
      <c r="C784">
        <v>12</v>
      </c>
      <c r="D784">
        <v>1</v>
      </c>
      <c r="E784">
        <v>5</v>
      </c>
      <c r="F784">
        <v>2</v>
      </c>
      <c r="G784">
        <v>1</v>
      </c>
      <c r="H784">
        <f t="shared" si="225"/>
        <v>65535</v>
      </c>
      <c r="J784">
        <f t="shared" si="226"/>
        <v>8</v>
      </c>
      <c r="K784">
        <f t="shared" si="227"/>
        <v>0</v>
      </c>
      <c r="L784">
        <f t="shared" si="228"/>
        <v>0</v>
      </c>
      <c r="M784">
        <f t="shared" si="229"/>
        <v>0</v>
      </c>
      <c r="N784">
        <f t="shared" si="230"/>
        <v>0</v>
      </c>
    </row>
    <row r="785" spans="1:14" x14ac:dyDescent="0.2">
      <c r="A785">
        <f t="shared" si="224"/>
        <v>783</v>
      </c>
      <c r="B785" s="1" t="s">
        <v>772</v>
      </c>
      <c r="C785">
        <v>12</v>
      </c>
      <c r="D785">
        <v>1</v>
      </c>
      <c r="E785">
        <v>5</v>
      </c>
      <c r="F785">
        <v>2</v>
      </c>
      <c r="G785">
        <v>1</v>
      </c>
      <c r="H785">
        <f t="shared" si="225"/>
        <v>65535</v>
      </c>
      <c r="J785">
        <f t="shared" si="226"/>
        <v>8</v>
      </c>
      <c r="K785">
        <f t="shared" si="227"/>
        <v>0</v>
      </c>
      <c r="L785">
        <f t="shared" si="228"/>
        <v>0</v>
      </c>
      <c r="M785">
        <f t="shared" si="229"/>
        <v>0</v>
      </c>
      <c r="N785">
        <f t="shared" si="230"/>
        <v>0</v>
      </c>
    </row>
    <row r="786" spans="1:14" x14ac:dyDescent="0.2">
      <c r="A786">
        <f t="shared" si="224"/>
        <v>784</v>
      </c>
      <c r="B786" s="1" t="s">
        <v>773</v>
      </c>
      <c r="C786">
        <v>12</v>
      </c>
      <c r="D786">
        <v>0</v>
      </c>
      <c r="E786">
        <v>5</v>
      </c>
      <c r="F786">
        <v>2</v>
      </c>
      <c r="G786">
        <v>1</v>
      </c>
      <c r="H786">
        <f t="shared" si="225"/>
        <v>65535</v>
      </c>
      <c r="J786">
        <f t="shared" si="226"/>
        <v>8</v>
      </c>
      <c r="K786">
        <f t="shared" si="227"/>
        <v>0</v>
      </c>
      <c r="L786">
        <f t="shared" si="228"/>
        <v>0</v>
      </c>
      <c r="M786">
        <f t="shared" si="229"/>
        <v>0</v>
      </c>
      <c r="N786">
        <f t="shared" si="230"/>
        <v>0</v>
      </c>
    </row>
    <row r="787" spans="1:14" x14ac:dyDescent="0.2">
      <c r="A787">
        <f t="shared" si="224"/>
        <v>785</v>
      </c>
      <c r="B787" s="1" t="s">
        <v>774</v>
      </c>
      <c r="C787">
        <v>12</v>
      </c>
      <c r="D787">
        <v>-1</v>
      </c>
      <c r="E787">
        <v>2</v>
      </c>
      <c r="F787">
        <v>1</v>
      </c>
      <c r="G787">
        <v>0</v>
      </c>
      <c r="H787">
        <f t="shared" si="225"/>
        <v>65535</v>
      </c>
      <c r="J787">
        <f t="shared" si="226"/>
        <v>8</v>
      </c>
      <c r="K787">
        <f t="shared" si="227"/>
        <v>0</v>
      </c>
      <c r="L787">
        <f t="shared" si="228"/>
        <v>0</v>
      </c>
      <c r="M787">
        <f t="shared" si="229"/>
        <v>0</v>
      </c>
      <c r="N787">
        <f t="shared" si="230"/>
        <v>0</v>
      </c>
    </row>
    <row r="788" spans="1:14" x14ac:dyDescent="0.2">
      <c r="A788">
        <f t="shared" si="224"/>
        <v>786</v>
      </c>
      <c r="B788" s="1" t="s">
        <v>775</v>
      </c>
      <c r="C788">
        <v>14</v>
      </c>
      <c r="D788">
        <v>-1</v>
      </c>
      <c r="E788">
        <v>2</v>
      </c>
      <c r="F788">
        <v>1</v>
      </c>
      <c r="G788">
        <v>1</v>
      </c>
      <c r="H788">
        <f t="shared" si="225"/>
        <v>65535</v>
      </c>
      <c r="J788">
        <f t="shared" si="226"/>
        <v>8</v>
      </c>
      <c r="K788">
        <f t="shared" si="227"/>
        <v>0</v>
      </c>
      <c r="L788">
        <f t="shared" si="228"/>
        <v>0</v>
      </c>
      <c r="M788">
        <f t="shared" si="229"/>
        <v>0</v>
      </c>
      <c r="N788">
        <f t="shared" si="230"/>
        <v>1</v>
      </c>
    </row>
    <row r="789" spans="1:14" x14ac:dyDescent="0.2">
      <c r="A789">
        <f t="shared" si="224"/>
        <v>787</v>
      </c>
      <c r="B789" s="1" t="s">
        <v>776</v>
      </c>
      <c r="C789">
        <v>19</v>
      </c>
      <c r="D789">
        <v>-1</v>
      </c>
      <c r="E789">
        <v>5</v>
      </c>
      <c r="F789">
        <v>2</v>
      </c>
      <c r="G789">
        <v>1</v>
      </c>
      <c r="H789">
        <f t="shared" si="225"/>
        <v>51</v>
      </c>
      <c r="I789" s="1" t="s">
        <v>234</v>
      </c>
      <c r="J789">
        <f t="shared" si="226"/>
        <v>0</v>
      </c>
      <c r="K789">
        <f t="shared" si="227"/>
        <v>0</v>
      </c>
      <c r="L789">
        <f t="shared" si="228"/>
        <v>0</v>
      </c>
      <c r="M789">
        <f t="shared" si="229"/>
        <v>0</v>
      </c>
      <c r="N789">
        <f t="shared" si="230"/>
        <v>0</v>
      </c>
    </row>
    <row r="790" spans="1:14" x14ac:dyDescent="0.2">
      <c r="A790">
        <f t="shared" si="224"/>
        <v>788</v>
      </c>
      <c r="B790" s="1" t="s">
        <v>887</v>
      </c>
      <c r="C790">
        <v>124</v>
      </c>
      <c r="D790">
        <v>0</v>
      </c>
      <c r="E790">
        <v>0</v>
      </c>
      <c r="F790">
        <v>0</v>
      </c>
      <c r="G790">
        <v>0</v>
      </c>
      <c r="H790">
        <f t="shared" si="225"/>
        <v>65535</v>
      </c>
      <c r="J790">
        <f t="shared" si="226"/>
        <v>4</v>
      </c>
      <c r="K790">
        <f t="shared" si="227"/>
        <v>0</v>
      </c>
      <c r="L790">
        <f t="shared" si="228"/>
        <v>0</v>
      </c>
      <c r="M790">
        <f t="shared" si="229"/>
        <v>0</v>
      </c>
      <c r="N790">
        <f t="shared" si="230"/>
        <v>0</v>
      </c>
    </row>
    <row r="791" spans="1:14" x14ac:dyDescent="0.2">
      <c r="A791">
        <f t="shared" si="224"/>
        <v>789</v>
      </c>
      <c r="B791" s="1" t="s">
        <v>888</v>
      </c>
      <c r="C791">
        <v>125</v>
      </c>
      <c r="D791">
        <v>0</v>
      </c>
      <c r="E791">
        <v>0</v>
      </c>
      <c r="F791">
        <v>0</v>
      </c>
      <c r="G791">
        <v>0</v>
      </c>
      <c r="H791">
        <f t="shared" si="225"/>
        <v>65535</v>
      </c>
      <c r="J791">
        <f t="shared" si="226"/>
        <v>4</v>
      </c>
      <c r="K791">
        <f t="shared" si="227"/>
        <v>0</v>
      </c>
      <c r="L791">
        <f t="shared" si="228"/>
        <v>0</v>
      </c>
      <c r="M791">
        <f t="shared" si="229"/>
        <v>0</v>
      </c>
      <c r="N791">
        <f t="shared" si="230"/>
        <v>0</v>
      </c>
    </row>
    <row r="792" spans="1:14" x14ac:dyDescent="0.2">
      <c r="A792">
        <f t="shared" si="224"/>
        <v>790</v>
      </c>
      <c r="B792" s="1" t="s">
        <v>889</v>
      </c>
      <c r="C792">
        <v>126</v>
      </c>
      <c r="D792">
        <v>0</v>
      </c>
      <c r="E792">
        <v>0</v>
      </c>
      <c r="F792">
        <v>0</v>
      </c>
      <c r="G792">
        <v>0</v>
      </c>
      <c r="H792">
        <f t="shared" si="225"/>
        <v>65535</v>
      </c>
      <c r="J792">
        <f t="shared" si="226"/>
        <v>4</v>
      </c>
      <c r="K792">
        <f t="shared" si="227"/>
        <v>0</v>
      </c>
      <c r="L792">
        <f t="shared" si="228"/>
        <v>0</v>
      </c>
      <c r="M792">
        <f t="shared" si="229"/>
        <v>0</v>
      </c>
      <c r="N792">
        <f t="shared" si="230"/>
        <v>0</v>
      </c>
    </row>
    <row r="793" spans="1:14" x14ac:dyDescent="0.2">
      <c r="A793">
        <f t="shared" si="224"/>
        <v>791</v>
      </c>
      <c r="B793" s="1" t="s">
        <v>890</v>
      </c>
      <c r="C793">
        <v>127</v>
      </c>
      <c r="D793">
        <v>0</v>
      </c>
      <c r="E793">
        <v>0</v>
      </c>
      <c r="F793">
        <v>0</v>
      </c>
      <c r="G793">
        <v>0</v>
      </c>
      <c r="H793">
        <f t="shared" si="225"/>
        <v>65535</v>
      </c>
      <c r="J793">
        <f t="shared" si="226"/>
        <v>4</v>
      </c>
      <c r="K793">
        <f t="shared" si="227"/>
        <v>0</v>
      </c>
      <c r="L793">
        <f t="shared" si="228"/>
        <v>0</v>
      </c>
      <c r="M793">
        <f t="shared" si="229"/>
        <v>0</v>
      </c>
      <c r="N793">
        <f t="shared" si="230"/>
        <v>0</v>
      </c>
    </row>
    <row r="794" spans="1:14" x14ac:dyDescent="0.2">
      <c r="A794">
        <f t="shared" si="224"/>
        <v>792</v>
      </c>
      <c r="B794" s="1" t="s">
        <v>891</v>
      </c>
      <c r="C794">
        <v>126</v>
      </c>
      <c r="D794">
        <v>0</v>
      </c>
      <c r="E794">
        <v>0</v>
      </c>
      <c r="F794">
        <v>0</v>
      </c>
      <c r="G794">
        <v>0</v>
      </c>
      <c r="H794">
        <f t="shared" si="225"/>
        <v>65535</v>
      </c>
      <c r="J794">
        <f t="shared" si="226"/>
        <v>4</v>
      </c>
      <c r="K794">
        <f t="shared" si="227"/>
        <v>0</v>
      </c>
      <c r="L794">
        <f t="shared" si="228"/>
        <v>0</v>
      </c>
      <c r="M794">
        <f t="shared" si="229"/>
        <v>0</v>
      </c>
      <c r="N794">
        <f t="shared" si="230"/>
        <v>0</v>
      </c>
    </row>
    <row r="795" spans="1:14" x14ac:dyDescent="0.2">
      <c r="A795">
        <f t="shared" si="224"/>
        <v>793</v>
      </c>
      <c r="B795" s="1" t="s">
        <v>892</v>
      </c>
      <c r="C795">
        <v>125</v>
      </c>
      <c r="D795">
        <v>0</v>
      </c>
      <c r="E795">
        <v>0</v>
      </c>
      <c r="F795">
        <v>0</v>
      </c>
      <c r="G795">
        <v>0</v>
      </c>
      <c r="H795">
        <f t="shared" si="225"/>
        <v>65535</v>
      </c>
      <c r="J795">
        <f t="shared" si="226"/>
        <v>4</v>
      </c>
      <c r="K795">
        <f t="shared" si="227"/>
        <v>0</v>
      </c>
      <c r="L795">
        <f t="shared" si="228"/>
        <v>0</v>
      </c>
      <c r="M795">
        <f t="shared" si="229"/>
        <v>0</v>
      </c>
      <c r="N795">
        <f t="shared" si="230"/>
        <v>0</v>
      </c>
    </row>
    <row r="796" spans="1:14" x14ac:dyDescent="0.2">
      <c r="A796">
        <f t="shared" si="224"/>
        <v>794</v>
      </c>
      <c r="B796" s="1" t="s">
        <v>893</v>
      </c>
      <c r="C796">
        <v>124</v>
      </c>
      <c r="D796">
        <v>0</v>
      </c>
      <c r="E796">
        <v>0</v>
      </c>
      <c r="F796">
        <v>0</v>
      </c>
      <c r="G796">
        <v>0</v>
      </c>
      <c r="H796">
        <f t="shared" si="225"/>
        <v>65535</v>
      </c>
      <c r="J796">
        <f t="shared" si="226"/>
        <v>4</v>
      </c>
      <c r="K796">
        <f t="shared" si="227"/>
        <v>0</v>
      </c>
      <c r="L796">
        <f t="shared" si="228"/>
        <v>0</v>
      </c>
      <c r="M796">
        <f t="shared" si="229"/>
        <v>0</v>
      </c>
      <c r="N796">
        <f t="shared" si="230"/>
        <v>0</v>
      </c>
    </row>
    <row r="797" spans="1:14" x14ac:dyDescent="0.2">
      <c r="A797">
        <f t="shared" si="224"/>
        <v>795</v>
      </c>
      <c r="B797" s="1" t="s">
        <v>894</v>
      </c>
      <c r="C797">
        <v>125</v>
      </c>
      <c r="D797">
        <v>0</v>
      </c>
      <c r="E797">
        <v>5</v>
      </c>
      <c r="F797">
        <v>2</v>
      </c>
      <c r="G797">
        <v>1</v>
      </c>
      <c r="H797">
        <f t="shared" si="225"/>
        <v>65535</v>
      </c>
      <c r="J797">
        <f t="shared" si="226"/>
        <v>4</v>
      </c>
      <c r="K797">
        <f t="shared" si="227"/>
        <v>0</v>
      </c>
      <c r="L797">
        <f t="shared" si="228"/>
        <v>0</v>
      </c>
      <c r="M797">
        <f t="shared" si="229"/>
        <v>0</v>
      </c>
      <c r="N797">
        <f t="shared" si="230"/>
        <v>0</v>
      </c>
    </row>
    <row r="798" spans="1:14" x14ac:dyDescent="0.2">
      <c r="A798">
        <f t="shared" si="224"/>
        <v>796</v>
      </c>
      <c r="B798" s="1" t="s">
        <v>895</v>
      </c>
      <c r="C798">
        <v>124</v>
      </c>
      <c r="D798">
        <v>0</v>
      </c>
      <c r="E798">
        <v>5</v>
      </c>
      <c r="F798">
        <v>2</v>
      </c>
      <c r="G798">
        <v>1</v>
      </c>
      <c r="H798">
        <f t="shared" si="225"/>
        <v>65535</v>
      </c>
      <c r="J798">
        <f t="shared" si="226"/>
        <v>4</v>
      </c>
      <c r="K798">
        <f t="shared" si="227"/>
        <v>0</v>
      </c>
      <c r="L798">
        <f t="shared" si="228"/>
        <v>0</v>
      </c>
      <c r="M798">
        <f t="shared" si="229"/>
        <v>0</v>
      </c>
      <c r="N798">
        <f t="shared" si="230"/>
        <v>0</v>
      </c>
    </row>
    <row r="799" spans="1:14" x14ac:dyDescent="0.2">
      <c r="A799">
        <f t="shared" si="224"/>
        <v>797</v>
      </c>
      <c r="B799" s="1" t="s">
        <v>896</v>
      </c>
      <c r="C799">
        <v>125</v>
      </c>
      <c r="D799">
        <v>0</v>
      </c>
      <c r="E799">
        <v>5</v>
      </c>
      <c r="F799">
        <v>2</v>
      </c>
      <c r="G799">
        <v>1</v>
      </c>
      <c r="H799">
        <f t="shared" si="225"/>
        <v>65535</v>
      </c>
      <c r="J799">
        <f t="shared" si="226"/>
        <v>4</v>
      </c>
      <c r="K799">
        <f t="shared" si="227"/>
        <v>0</v>
      </c>
      <c r="L799">
        <f t="shared" si="228"/>
        <v>0</v>
      </c>
      <c r="M799">
        <f t="shared" si="229"/>
        <v>0</v>
      </c>
      <c r="N799">
        <f t="shared" si="230"/>
        <v>0</v>
      </c>
    </row>
    <row r="800" spans="1:14" x14ac:dyDescent="0.2">
      <c r="A800">
        <f t="shared" si="224"/>
        <v>798</v>
      </c>
      <c r="B800" s="1" t="s">
        <v>897</v>
      </c>
      <c r="C800">
        <v>124</v>
      </c>
      <c r="D800">
        <v>0</v>
      </c>
      <c r="E800">
        <v>5</v>
      </c>
      <c r="F800">
        <v>2</v>
      </c>
      <c r="G800">
        <v>1</v>
      </c>
      <c r="H800">
        <f t="shared" si="225"/>
        <v>65535</v>
      </c>
      <c r="J800">
        <f t="shared" si="226"/>
        <v>4</v>
      </c>
      <c r="K800">
        <f t="shared" si="227"/>
        <v>0</v>
      </c>
      <c r="L800">
        <f t="shared" si="228"/>
        <v>0</v>
      </c>
      <c r="M800">
        <f t="shared" si="229"/>
        <v>0</v>
      </c>
      <c r="N800">
        <f t="shared" si="230"/>
        <v>0</v>
      </c>
    </row>
    <row r="801" spans="1:14" x14ac:dyDescent="0.2">
      <c r="A801">
        <f t="shared" si="224"/>
        <v>799</v>
      </c>
      <c r="B801" s="1" t="s">
        <v>898</v>
      </c>
      <c r="C801">
        <v>125</v>
      </c>
      <c r="D801">
        <v>0</v>
      </c>
      <c r="E801">
        <v>-5</v>
      </c>
      <c r="F801">
        <v>-2</v>
      </c>
      <c r="G801">
        <v>-1</v>
      </c>
      <c r="H801">
        <f t="shared" si="225"/>
        <v>65535</v>
      </c>
      <c r="J801">
        <f t="shared" si="226"/>
        <v>4</v>
      </c>
      <c r="K801">
        <f t="shared" si="227"/>
        <v>0</v>
      </c>
      <c r="L801">
        <f t="shared" si="228"/>
        <v>0</v>
      </c>
      <c r="M801">
        <f t="shared" si="229"/>
        <v>0</v>
      </c>
      <c r="N801">
        <f t="shared" si="230"/>
        <v>0</v>
      </c>
    </row>
    <row r="802" spans="1:14" x14ac:dyDescent="0.2">
      <c r="A802">
        <f t="shared" si="224"/>
        <v>800</v>
      </c>
      <c r="B802" s="1" t="s">
        <v>899</v>
      </c>
      <c r="C802">
        <v>124</v>
      </c>
      <c r="D802">
        <v>0</v>
      </c>
      <c r="E802">
        <v>-5</v>
      </c>
      <c r="F802">
        <v>-2</v>
      </c>
      <c r="G802">
        <v>-1</v>
      </c>
      <c r="H802">
        <f t="shared" si="225"/>
        <v>65535</v>
      </c>
      <c r="J802">
        <f t="shared" ref="J802:J833" si="231">C802-C418</f>
        <v>4</v>
      </c>
      <c r="K802">
        <f t="shared" ref="K802:K833" si="232">D802-D418</f>
        <v>0</v>
      </c>
      <c r="L802">
        <f t="shared" ref="L802:L833" si="233">E802+E418</f>
        <v>0</v>
      </c>
      <c r="M802">
        <f t="shared" ref="M802:M833" si="234">F802+F418</f>
        <v>0</v>
      </c>
      <c r="N802">
        <f t="shared" ref="N802:N833" si="235">G802+G418</f>
        <v>0</v>
      </c>
    </row>
    <row r="803" spans="1:14" x14ac:dyDescent="0.2">
      <c r="A803">
        <f t="shared" si="224"/>
        <v>801</v>
      </c>
      <c r="B803" s="1" t="s">
        <v>900</v>
      </c>
      <c r="C803">
        <v>125</v>
      </c>
      <c r="D803">
        <v>0</v>
      </c>
      <c r="E803">
        <v>-5</v>
      </c>
      <c r="F803">
        <v>-2</v>
      </c>
      <c r="G803">
        <v>-1</v>
      </c>
      <c r="H803">
        <f t="shared" si="225"/>
        <v>65535</v>
      </c>
      <c r="J803">
        <f t="shared" si="231"/>
        <v>4</v>
      </c>
      <c r="K803">
        <f t="shared" si="232"/>
        <v>0</v>
      </c>
      <c r="L803">
        <f t="shared" si="233"/>
        <v>0</v>
      </c>
      <c r="M803">
        <f t="shared" si="234"/>
        <v>0</v>
      </c>
      <c r="N803">
        <f t="shared" si="235"/>
        <v>0</v>
      </c>
    </row>
    <row r="804" spans="1:14" x14ac:dyDescent="0.2">
      <c r="A804">
        <f t="shared" si="224"/>
        <v>802</v>
      </c>
      <c r="B804" s="1" t="s">
        <v>901</v>
      </c>
      <c r="C804">
        <v>124</v>
      </c>
      <c r="D804">
        <v>0</v>
      </c>
      <c r="E804">
        <v>-5</v>
      </c>
      <c r="F804">
        <v>-2</v>
      </c>
      <c r="G804">
        <v>-1</v>
      </c>
      <c r="H804">
        <f t="shared" si="225"/>
        <v>65535</v>
      </c>
      <c r="J804">
        <f t="shared" si="231"/>
        <v>4</v>
      </c>
      <c r="K804">
        <f t="shared" si="232"/>
        <v>0</v>
      </c>
      <c r="L804">
        <f t="shared" si="233"/>
        <v>0</v>
      </c>
      <c r="M804">
        <f t="shared" si="234"/>
        <v>0</v>
      </c>
      <c r="N804">
        <f t="shared" si="235"/>
        <v>0</v>
      </c>
    </row>
    <row r="805" spans="1:14" x14ac:dyDescent="0.2">
      <c r="A805">
        <f t="shared" si="224"/>
        <v>803</v>
      </c>
      <c r="B805" s="1" t="s">
        <v>902</v>
      </c>
      <c r="C805">
        <v>125</v>
      </c>
      <c r="D805">
        <v>0</v>
      </c>
      <c r="E805">
        <v>0</v>
      </c>
      <c r="F805">
        <v>0</v>
      </c>
      <c r="G805">
        <v>0</v>
      </c>
      <c r="H805">
        <f t="shared" si="225"/>
        <v>65535</v>
      </c>
      <c r="J805">
        <f t="shared" si="231"/>
        <v>4</v>
      </c>
      <c r="K805">
        <f t="shared" si="232"/>
        <v>0</v>
      </c>
      <c r="L805">
        <f t="shared" si="233"/>
        <v>0</v>
      </c>
      <c r="M805">
        <f t="shared" si="234"/>
        <v>0</v>
      </c>
      <c r="N805">
        <f t="shared" si="235"/>
        <v>0</v>
      </c>
    </row>
    <row r="806" spans="1:14" x14ac:dyDescent="0.2">
      <c r="A806">
        <f t="shared" si="224"/>
        <v>804</v>
      </c>
      <c r="B806" s="1" t="s">
        <v>903</v>
      </c>
      <c r="C806">
        <v>124</v>
      </c>
      <c r="D806">
        <v>3</v>
      </c>
      <c r="E806">
        <v>0</v>
      </c>
      <c r="F806">
        <v>0</v>
      </c>
      <c r="G806">
        <v>0</v>
      </c>
      <c r="H806">
        <f t="shared" si="225"/>
        <v>65535</v>
      </c>
      <c r="J806">
        <f t="shared" si="231"/>
        <v>4</v>
      </c>
      <c r="K806">
        <f t="shared" si="232"/>
        <v>0</v>
      </c>
      <c r="L806">
        <f t="shared" si="233"/>
        <v>0</v>
      </c>
      <c r="M806">
        <f t="shared" si="234"/>
        <v>0</v>
      </c>
      <c r="N806">
        <f t="shared" si="235"/>
        <v>0</v>
      </c>
    </row>
    <row r="807" spans="1:14" x14ac:dyDescent="0.2">
      <c r="A807">
        <f t="shared" si="224"/>
        <v>805</v>
      </c>
      <c r="B807" s="1" t="s">
        <v>904</v>
      </c>
      <c r="C807">
        <v>124</v>
      </c>
      <c r="D807">
        <v>2</v>
      </c>
      <c r="E807">
        <v>0</v>
      </c>
      <c r="F807">
        <v>0</v>
      </c>
      <c r="G807">
        <v>0</v>
      </c>
      <c r="H807">
        <f t="shared" si="225"/>
        <v>65535</v>
      </c>
      <c r="J807">
        <f t="shared" si="231"/>
        <v>4</v>
      </c>
      <c r="K807">
        <f t="shared" si="232"/>
        <v>0</v>
      </c>
      <c r="L807">
        <f t="shared" si="233"/>
        <v>0</v>
      </c>
      <c r="M807">
        <f t="shared" si="234"/>
        <v>0</v>
      </c>
      <c r="N807">
        <f t="shared" si="235"/>
        <v>0</v>
      </c>
    </row>
    <row r="808" spans="1:14" x14ac:dyDescent="0.2">
      <c r="A808">
        <f t="shared" si="224"/>
        <v>806</v>
      </c>
      <c r="B808" s="1" t="s">
        <v>905</v>
      </c>
      <c r="C808">
        <v>124</v>
      </c>
      <c r="D808">
        <v>1</v>
      </c>
      <c r="E808">
        <v>0</v>
      </c>
      <c r="F808">
        <v>0</v>
      </c>
      <c r="G808">
        <v>0</v>
      </c>
      <c r="H808">
        <f t="shared" si="225"/>
        <v>65535</v>
      </c>
      <c r="J808">
        <f t="shared" si="231"/>
        <v>4</v>
      </c>
      <c r="K808">
        <f t="shared" si="232"/>
        <v>0</v>
      </c>
      <c r="L808">
        <f t="shared" si="233"/>
        <v>0</v>
      </c>
      <c r="M808">
        <f t="shared" si="234"/>
        <v>0</v>
      </c>
      <c r="N808">
        <f t="shared" si="235"/>
        <v>0</v>
      </c>
    </row>
    <row r="809" spans="1:14" x14ac:dyDescent="0.2">
      <c r="A809">
        <f t="shared" si="224"/>
        <v>807</v>
      </c>
      <c r="B809" s="1" t="s">
        <v>906</v>
      </c>
      <c r="C809">
        <v>124</v>
      </c>
      <c r="D809">
        <v>-1</v>
      </c>
      <c r="E809">
        <v>0</v>
      </c>
      <c r="F809">
        <v>0</v>
      </c>
      <c r="G809">
        <v>0</v>
      </c>
      <c r="H809">
        <f t="shared" si="225"/>
        <v>65535</v>
      </c>
      <c r="J809">
        <f t="shared" si="231"/>
        <v>4</v>
      </c>
      <c r="K809">
        <f t="shared" si="232"/>
        <v>0</v>
      </c>
      <c r="L809">
        <f t="shared" si="233"/>
        <v>0</v>
      </c>
      <c r="M809">
        <f t="shared" si="234"/>
        <v>0</v>
      </c>
      <c r="N809">
        <f t="shared" si="235"/>
        <v>0</v>
      </c>
    </row>
    <row r="810" spans="1:14" x14ac:dyDescent="0.2">
      <c r="A810">
        <f t="shared" si="224"/>
        <v>808</v>
      </c>
      <c r="B810" s="1" t="s">
        <v>907</v>
      </c>
      <c r="C810">
        <v>125</v>
      </c>
      <c r="D810">
        <v>-2</v>
      </c>
      <c r="E810">
        <v>0</v>
      </c>
      <c r="F810">
        <v>0</v>
      </c>
      <c r="G810">
        <v>0</v>
      </c>
      <c r="H810">
        <f t="shared" si="225"/>
        <v>65535</v>
      </c>
      <c r="J810">
        <f t="shared" si="231"/>
        <v>4</v>
      </c>
      <c r="K810">
        <f t="shared" si="232"/>
        <v>0</v>
      </c>
      <c r="L810">
        <f t="shared" si="233"/>
        <v>0</v>
      </c>
      <c r="M810">
        <f t="shared" si="234"/>
        <v>0</v>
      </c>
      <c r="N810">
        <f t="shared" si="235"/>
        <v>0</v>
      </c>
    </row>
    <row r="811" spans="1:14" x14ac:dyDescent="0.2">
      <c r="A811">
        <f t="shared" si="224"/>
        <v>809</v>
      </c>
      <c r="B811" s="1" t="s">
        <v>908</v>
      </c>
      <c r="C811">
        <v>124</v>
      </c>
      <c r="D811">
        <v>-3</v>
      </c>
      <c r="E811">
        <v>0</v>
      </c>
      <c r="F811">
        <v>0</v>
      </c>
      <c r="G811">
        <v>0</v>
      </c>
      <c r="H811">
        <f t="shared" si="225"/>
        <v>65535</v>
      </c>
      <c r="J811">
        <f t="shared" si="231"/>
        <v>4</v>
      </c>
      <c r="K811">
        <f t="shared" si="232"/>
        <v>0</v>
      </c>
      <c r="L811">
        <f t="shared" si="233"/>
        <v>0</v>
      </c>
      <c r="M811">
        <f t="shared" si="234"/>
        <v>0</v>
      </c>
      <c r="N811">
        <f t="shared" si="235"/>
        <v>0</v>
      </c>
    </row>
    <row r="812" spans="1:14" x14ac:dyDescent="0.2">
      <c r="A812">
        <f t="shared" si="224"/>
        <v>810</v>
      </c>
      <c r="B812" s="1" t="s">
        <v>680</v>
      </c>
      <c r="C812">
        <v>76</v>
      </c>
      <c r="D812">
        <v>0</v>
      </c>
      <c r="E812">
        <v>0</v>
      </c>
      <c r="F812">
        <v>0</v>
      </c>
      <c r="G812">
        <v>0</v>
      </c>
      <c r="H812">
        <f t="shared" si="225"/>
        <v>65535</v>
      </c>
      <c r="J812">
        <f t="shared" si="231"/>
        <v>12</v>
      </c>
      <c r="K812">
        <f t="shared" si="232"/>
        <v>0</v>
      </c>
      <c r="L812">
        <f t="shared" si="233"/>
        <v>0</v>
      </c>
      <c r="M812">
        <f t="shared" si="234"/>
        <v>0</v>
      </c>
      <c r="N812">
        <f t="shared" si="235"/>
        <v>0</v>
      </c>
    </row>
    <row r="813" spans="1:14" x14ac:dyDescent="0.2">
      <c r="A813">
        <f t="shared" si="224"/>
        <v>811</v>
      </c>
      <c r="B813" s="1" t="s">
        <v>681</v>
      </c>
      <c r="C813">
        <v>77</v>
      </c>
      <c r="D813">
        <v>0</v>
      </c>
      <c r="E813">
        <v>0</v>
      </c>
      <c r="F813">
        <v>0</v>
      </c>
      <c r="G813">
        <v>0</v>
      </c>
      <c r="H813">
        <f t="shared" si="225"/>
        <v>65535</v>
      </c>
      <c r="J813">
        <f t="shared" si="231"/>
        <v>12</v>
      </c>
      <c r="K813">
        <f t="shared" si="232"/>
        <v>0</v>
      </c>
      <c r="L813">
        <f t="shared" si="233"/>
        <v>0</v>
      </c>
      <c r="M813">
        <f t="shared" si="234"/>
        <v>0</v>
      </c>
      <c r="N813">
        <f t="shared" si="235"/>
        <v>0</v>
      </c>
    </row>
    <row r="814" spans="1:14" x14ac:dyDescent="0.2">
      <c r="A814">
        <f t="shared" si="224"/>
        <v>812</v>
      </c>
      <c r="B814" s="1" t="s">
        <v>682</v>
      </c>
      <c r="C814">
        <v>78</v>
      </c>
      <c r="D814">
        <v>0</v>
      </c>
      <c r="E814">
        <v>0</v>
      </c>
      <c r="F814">
        <v>0</v>
      </c>
      <c r="G814">
        <v>0</v>
      </c>
      <c r="H814">
        <f t="shared" si="225"/>
        <v>65535</v>
      </c>
      <c r="J814">
        <f t="shared" si="231"/>
        <v>12</v>
      </c>
      <c r="K814">
        <f t="shared" si="232"/>
        <v>0</v>
      </c>
      <c r="L814">
        <f t="shared" si="233"/>
        <v>0</v>
      </c>
      <c r="M814">
        <f t="shared" si="234"/>
        <v>0</v>
      </c>
      <c r="N814">
        <f t="shared" si="235"/>
        <v>0</v>
      </c>
    </row>
    <row r="815" spans="1:14" x14ac:dyDescent="0.2">
      <c r="A815">
        <f t="shared" si="224"/>
        <v>813</v>
      </c>
      <c r="B815" s="1" t="s">
        <v>683</v>
      </c>
      <c r="C815">
        <v>79</v>
      </c>
      <c r="D815">
        <v>0</v>
      </c>
      <c r="E815">
        <v>0</v>
      </c>
      <c r="F815">
        <v>0</v>
      </c>
      <c r="G815">
        <v>0</v>
      </c>
      <c r="H815">
        <f t="shared" si="225"/>
        <v>65535</v>
      </c>
      <c r="J815">
        <f t="shared" si="231"/>
        <v>12</v>
      </c>
      <c r="K815">
        <f t="shared" si="232"/>
        <v>0</v>
      </c>
      <c r="L815">
        <f t="shared" si="233"/>
        <v>0</v>
      </c>
      <c r="M815">
        <f t="shared" si="234"/>
        <v>0</v>
      </c>
      <c r="N815">
        <f t="shared" si="235"/>
        <v>0</v>
      </c>
    </row>
    <row r="816" spans="1:14" x14ac:dyDescent="0.2">
      <c r="A816">
        <f t="shared" si="224"/>
        <v>814</v>
      </c>
      <c r="B816" s="1" t="s">
        <v>684</v>
      </c>
      <c r="C816">
        <v>80</v>
      </c>
      <c r="D816">
        <v>0</v>
      </c>
      <c r="E816">
        <v>0</v>
      </c>
      <c r="F816">
        <v>0</v>
      </c>
      <c r="G816">
        <v>0</v>
      </c>
      <c r="H816">
        <f t="shared" si="225"/>
        <v>65535</v>
      </c>
      <c r="J816">
        <f t="shared" si="231"/>
        <v>12</v>
      </c>
      <c r="K816">
        <f t="shared" si="232"/>
        <v>0</v>
      </c>
      <c r="L816">
        <f t="shared" si="233"/>
        <v>0</v>
      </c>
      <c r="M816">
        <f t="shared" si="234"/>
        <v>0</v>
      </c>
      <c r="N816">
        <f t="shared" si="235"/>
        <v>0</v>
      </c>
    </row>
    <row r="817" spans="1:14" x14ac:dyDescent="0.2">
      <c r="A817">
        <f t="shared" si="224"/>
        <v>815</v>
      </c>
      <c r="B817" s="1" t="s">
        <v>685</v>
      </c>
      <c r="C817">
        <v>81</v>
      </c>
      <c r="D817">
        <v>0</v>
      </c>
      <c r="E817">
        <v>0</v>
      </c>
      <c r="F817">
        <v>0</v>
      </c>
      <c r="G817">
        <v>0</v>
      </c>
      <c r="H817">
        <f t="shared" si="225"/>
        <v>65535</v>
      </c>
      <c r="J817">
        <f t="shared" si="231"/>
        <v>12</v>
      </c>
      <c r="K817">
        <f t="shared" si="232"/>
        <v>0</v>
      </c>
      <c r="L817">
        <f t="shared" si="233"/>
        <v>0</v>
      </c>
      <c r="M817">
        <f t="shared" si="234"/>
        <v>0</v>
      </c>
      <c r="N817">
        <f t="shared" si="235"/>
        <v>0</v>
      </c>
    </row>
    <row r="818" spans="1:14" x14ac:dyDescent="0.2">
      <c r="A818">
        <f t="shared" si="224"/>
        <v>816</v>
      </c>
      <c r="B818" s="1" t="s">
        <v>686</v>
      </c>
      <c r="C818">
        <v>82</v>
      </c>
      <c r="D818">
        <v>0</v>
      </c>
      <c r="E818">
        <v>0</v>
      </c>
      <c r="F818">
        <v>0</v>
      </c>
      <c r="G818">
        <v>0</v>
      </c>
      <c r="H818">
        <f t="shared" si="225"/>
        <v>65535</v>
      </c>
      <c r="J818">
        <f t="shared" si="231"/>
        <v>12</v>
      </c>
      <c r="K818">
        <f t="shared" si="232"/>
        <v>0</v>
      </c>
      <c r="L818">
        <f t="shared" si="233"/>
        <v>0</v>
      </c>
      <c r="M818">
        <f t="shared" si="234"/>
        <v>0</v>
      </c>
      <c r="N818">
        <f t="shared" si="235"/>
        <v>0</v>
      </c>
    </row>
    <row r="819" spans="1:14" x14ac:dyDescent="0.2">
      <c r="A819">
        <f t="shared" si="224"/>
        <v>817</v>
      </c>
      <c r="B819" s="1" t="s">
        <v>687</v>
      </c>
      <c r="C819">
        <v>83</v>
      </c>
      <c r="D819">
        <v>0</v>
      </c>
      <c r="E819">
        <v>0</v>
      </c>
      <c r="F819">
        <v>0</v>
      </c>
      <c r="G819">
        <v>0</v>
      </c>
      <c r="H819">
        <f t="shared" si="225"/>
        <v>65535</v>
      </c>
      <c r="J819">
        <f t="shared" si="231"/>
        <v>12</v>
      </c>
      <c r="K819">
        <f t="shared" si="232"/>
        <v>0</v>
      </c>
      <c r="L819">
        <f t="shared" si="233"/>
        <v>0</v>
      </c>
      <c r="M819">
        <f t="shared" si="234"/>
        <v>0</v>
      </c>
      <c r="N819">
        <f t="shared" si="235"/>
        <v>0</v>
      </c>
    </row>
    <row r="820" spans="1:14" x14ac:dyDescent="0.2">
      <c r="A820">
        <f t="shared" si="224"/>
        <v>818</v>
      </c>
      <c r="B820" s="1" t="s">
        <v>688</v>
      </c>
      <c r="C820">
        <v>84</v>
      </c>
      <c r="D820">
        <v>0</v>
      </c>
      <c r="E820">
        <v>0</v>
      </c>
      <c r="F820">
        <v>0</v>
      </c>
      <c r="G820">
        <v>0</v>
      </c>
      <c r="H820">
        <f t="shared" si="225"/>
        <v>65535</v>
      </c>
      <c r="J820">
        <f t="shared" si="231"/>
        <v>12</v>
      </c>
      <c r="K820">
        <f t="shared" si="232"/>
        <v>0</v>
      </c>
      <c r="L820">
        <f t="shared" si="233"/>
        <v>0</v>
      </c>
      <c r="M820">
        <f t="shared" si="234"/>
        <v>0</v>
      </c>
      <c r="N820">
        <f t="shared" si="235"/>
        <v>0</v>
      </c>
    </row>
    <row r="821" spans="1:14" x14ac:dyDescent="0.2">
      <c r="A821">
        <f t="shared" si="224"/>
        <v>819</v>
      </c>
      <c r="B821" s="1" t="s">
        <v>689</v>
      </c>
      <c r="C821">
        <v>85</v>
      </c>
      <c r="D821">
        <v>0</v>
      </c>
      <c r="E821">
        <v>0</v>
      </c>
      <c r="F821">
        <v>0</v>
      </c>
      <c r="G821">
        <v>0</v>
      </c>
      <c r="H821">
        <f t="shared" si="225"/>
        <v>65535</v>
      </c>
      <c r="J821">
        <f t="shared" si="231"/>
        <v>12</v>
      </c>
      <c r="K821">
        <f t="shared" si="232"/>
        <v>0</v>
      </c>
      <c r="L821">
        <f t="shared" si="233"/>
        <v>0</v>
      </c>
      <c r="M821">
        <f t="shared" si="234"/>
        <v>0</v>
      </c>
      <c r="N821">
        <f t="shared" si="235"/>
        <v>0</v>
      </c>
    </row>
    <row r="822" spans="1:14" x14ac:dyDescent="0.2">
      <c r="A822">
        <f t="shared" ref="A822:A899" si="236">A821+1</f>
        <v>820</v>
      </c>
      <c r="B822" s="1" t="s">
        <v>690</v>
      </c>
      <c r="C822">
        <v>86</v>
      </c>
      <c r="D822">
        <v>0</v>
      </c>
      <c r="E822">
        <v>0</v>
      </c>
      <c r="F822">
        <v>0</v>
      </c>
      <c r="G822">
        <v>0</v>
      </c>
      <c r="H822">
        <f t="shared" si="225"/>
        <v>65535</v>
      </c>
      <c r="J822">
        <f t="shared" si="231"/>
        <v>12</v>
      </c>
      <c r="K822">
        <f t="shared" si="232"/>
        <v>0</v>
      </c>
      <c r="L822">
        <f t="shared" si="233"/>
        <v>0</v>
      </c>
      <c r="M822">
        <f t="shared" si="234"/>
        <v>0</v>
      </c>
      <c r="N822">
        <f t="shared" si="235"/>
        <v>0</v>
      </c>
    </row>
    <row r="823" spans="1:14" x14ac:dyDescent="0.2">
      <c r="A823">
        <f t="shared" si="236"/>
        <v>821</v>
      </c>
      <c r="B823" s="1" t="s">
        <v>691</v>
      </c>
      <c r="C823">
        <v>87</v>
      </c>
      <c r="D823">
        <v>0</v>
      </c>
      <c r="E823">
        <v>0</v>
      </c>
      <c r="F823">
        <v>0</v>
      </c>
      <c r="G823">
        <v>0</v>
      </c>
      <c r="H823">
        <f t="shared" si="225"/>
        <v>65535</v>
      </c>
      <c r="J823">
        <f t="shared" si="231"/>
        <v>12</v>
      </c>
      <c r="K823">
        <f t="shared" si="232"/>
        <v>0</v>
      </c>
      <c r="L823">
        <f t="shared" si="233"/>
        <v>0</v>
      </c>
      <c r="M823">
        <f t="shared" si="234"/>
        <v>0</v>
      </c>
      <c r="N823">
        <f t="shared" si="235"/>
        <v>0</v>
      </c>
    </row>
    <row r="824" spans="1:14" x14ac:dyDescent="0.2">
      <c r="A824">
        <f t="shared" si="236"/>
        <v>822</v>
      </c>
      <c r="B824" s="1" t="s">
        <v>692</v>
      </c>
      <c r="C824" s="4">
        <v>13</v>
      </c>
      <c r="D824">
        <v>0</v>
      </c>
      <c r="E824">
        <v>-10</v>
      </c>
      <c r="F824">
        <v>-4</v>
      </c>
      <c r="G824">
        <v>-2</v>
      </c>
      <c r="H824">
        <f t="shared" si="225"/>
        <v>65535</v>
      </c>
      <c r="J824">
        <f t="shared" si="231"/>
        <v>8</v>
      </c>
      <c r="K824">
        <f t="shared" si="232"/>
        <v>0</v>
      </c>
      <c r="L824">
        <f t="shared" si="233"/>
        <v>0</v>
      </c>
      <c r="M824">
        <f t="shared" si="234"/>
        <v>0</v>
      </c>
      <c r="N824">
        <f t="shared" si="235"/>
        <v>0</v>
      </c>
    </row>
    <row r="825" spans="1:14" x14ac:dyDescent="0.2">
      <c r="A825">
        <f t="shared" si="236"/>
        <v>823</v>
      </c>
      <c r="B825" s="1" t="s">
        <v>693</v>
      </c>
      <c r="C825" s="4">
        <v>13</v>
      </c>
      <c r="D825">
        <v>0</v>
      </c>
      <c r="E825">
        <v>10</v>
      </c>
      <c r="F825">
        <v>4</v>
      </c>
      <c r="G825">
        <v>2</v>
      </c>
      <c r="H825">
        <f t="shared" si="225"/>
        <v>65535</v>
      </c>
      <c r="J825">
        <f t="shared" si="231"/>
        <v>8</v>
      </c>
      <c r="K825">
        <f t="shared" si="232"/>
        <v>0</v>
      </c>
      <c r="L825">
        <f t="shared" si="233"/>
        <v>0</v>
      </c>
      <c r="M825">
        <f t="shared" si="234"/>
        <v>0</v>
      </c>
      <c r="N825">
        <f t="shared" si="235"/>
        <v>0</v>
      </c>
    </row>
    <row r="826" spans="1:14" x14ac:dyDescent="0.2">
      <c r="A826">
        <f t="shared" si="236"/>
        <v>824</v>
      </c>
      <c r="B826" s="1" t="s">
        <v>909</v>
      </c>
      <c r="C826">
        <v>108</v>
      </c>
      <c r="D826">
        <v>0</v>
      </c>
      <c r="E826">
        <v>0</v>
      </c>
      <c r="F826">
        <v>0</v>
      </c>
      <c r="G826">
        <v>0</v>
      </c>
      <c r="H826">
        <f t="shared" si="225"/>
        <v>65535</v>
      </c>
      <c r="J826">
        <f t="shared" si="231"/>
        <v>8</v>
      </c>
      <c r="K826">
        <f t="shared" si="232"/>
        <v>0</v>
      </c>
      <c r="L826">
        <f t="shared" si="233"/>
        <v>0</v>
      </c>
      <c r="M826">
        <f t="shared" si="234"/>
        <v>0</v>
      </c>
      <c r="N826">
        <f t="shared" si="235"/>
        <v>0</v>
      </c>
    </row>
    <row r="827" spans="1:14" x14ac:dyDescent="0.2">
      <c r="A827">
        <f t="shared" si="236"/>
        <v>825</v>
      </c>
      <c r="B827" s="1" t="s">
        <v>910</v>
      </c>
      <c r="C827">
        <v>109</v>
      </c>
      <c r="D827">
        <v>0</v>
      </c>
      <c r="E827">
        <v>0</v>
      </c>
      <c r="F827">
        <v>0</v>
      </c>
      <c r="G827">
        <v>0</v>
      </c>
      <c r="H827">
        <f t="shared" si="225"/>
        <v>65535</v>
      </c>
      <c r="J827">
        <f t="shared" si="231"/>
        <v>8</v>
      </c>
      <c r="K827">
        <f t="shared" si="232"/>
        <v>0</v>
      </c>
      <c r="L827">
        <f t="shared" si="233"/>
        <v>0</v>
      </c>
      <c r="M827">
        <f t="shared" si="234"/>
        <v>0</v>
      </c>
      <c r="N827">
        <f t="shared" si="235"/>
        <v>0</v>
      </c>
    </row>
    <row r="828" spans="1:14" x14ac:dyDescent="0.2">
      <c r="A828">
        <f t="shared" si="236"/>
        <v>826</v>
      </c>
      <c r="B828" s="1" t="s">
        <v>911</v>
      </c>
      <c r="C828">
        <v>110</v>
      </c>
      <c r="D828">
        <v>0</v>
      </c>
      <c r="E828">
        <v>0</v>
      </c>
      <c r="F828">
        <v>0</v>
      </c>
      <c r="G828">
        <v>0</v>
      </c>
      <c r="H828">
        <f t="shared" si="225"/>
        <v>65535</v>
      </c>
      <c r="J828">
        <f t="shared" si="231"/>
        <v>8</v>
      </c>
      <c r="K828">
        <f t="shared" si="232"/>
        <v>0</v>
      </c>
      <c r="L828">
        <f t="shared" si="233"/>
        <v>0</v>
      </c>
      <c r="M828">
        <f t="shared" si="234"/>
        <v>0</v>
      </c>
      <c r="N828">
        <f t="shared" si="235"/>
        <v>0</v>
      </c>
    </row>
    <row r="829" spans="1:14" x14ac:dyDescent="0.2">
      <c r="A829">
        <f t="shared" si="236"/>
        <v>827</v>
      </c>
      <c r="B829" s="1" t="s">
        <v>912</v>
      </c>
      <c r="C829">
        <v>111</v>
      </c>
      <c r="D829">
        <v>0</v>
      </c>
      <c r="E829">
        <v>0</v>
      </c>
      <c r="F829">
        <v>0</v>
      </c>
      <c r="G829">
        <v>0</v>
      </c>
      <c r="H829">
        <f t="shared" si="225"/>
        <v>65535</v>
      </c>
      <c r="J829">
        <f t="shared" si="231"/>
        <v>8</v>
      </c>
      <c r="K829">
        <f t="shared" si="232"/>
        <v>0</v>
      </c>
      <c r="L829">
        <f t="shared" si="233"/>
        <v>0</v>
      </c>
      <c r="M829">
        <f t="shared" si="234"/>
        <v>0</v>
      </c>
      <c r="N829">
        <f t="shared" si="235"/>
        <v>0</v>
      </c>
    </row>
    <row r="830" spans="1:14" x14ac:dyDescent="0.2">
      <c r="A830">
        <f t="shared" si="236"/>
        <v>828</v>
      </c>
      <c r="B830" s="1" t="s">
        <v>913</v>
      </c>
      <c r="C830">
        <v>104</v>
      </c>
      <c r="D830">
        <v>0</v>
      </c>
      <c r="E830">
        <v>0</v>
      </c>
      <c r="F830">
        <v>0</v>
      </c>
      <c r="G830">
        <v>0</v>
      </c>
      <c r="H830">
        <f t="shared" si="225"/>
        <v>65535</v>
      </c>
      <c r="J830">
        <f t="shared" si="231"/>
        <v>8</v>
      </c>
      <c r="K830">
        <f t="shared" si="232"/>
        <v>0</v>
      </c>
      <c r="L830">
        <f t="shared" si="233"/>
        <v>0</v>
      </c>
      <c r="M830">
        <f t="shared" si="234"/>
        <v>0</v>
      </c>
      <c r="N830">
        <f t="shared" si="235"/>
        <v>0</v>
      </c>
    </row>
    <row r="831" spans="1:14" x14ac:dyDescent="0.2">
      <c r="A831">
        <f t="shared" si="236"/>
        <v>829</v>
      </c>
      <c r="B831" s="1" t="s">
        <v>914</v>
      </c>
      <c r="C831">
        <v>105</v>
      </c>
      <c r="D831">
        <v>0</v>
      </c>
      <c r="E831">
        <v>0</v>
      </c>
      <c r="F831">
        <v>0</v>
      </c>
      <c r="G831">
        <v>0</v>
      </c>
      <c r="H831">
        <f t="shared" si="225"/>
        <v>65535</v>
      </c>
      <c r="J831">
        <f t="shared" si="231"/>
        <v>8</v>
      </c>
      <c r="K831">
        <f t="shared" si="232"/>
        <v>0</v>
      </c>
      <c r="L831">
        <f t="shared" si="233"/>
        <v>0</v>
      </c>
      <c r="M831">
        <f t="shared" si="234"/>
        <v>0</v>
      </c>
      <c r="N831">
        <f t="shared" si="235"/>
        <v>0</v>
      </c>
    </row>
    <row r="832" spans="1:14" x14ac:dyDescent="0.2">
      <c r="A832">
        <f t="shared" si="236"/>
        <v>830</v>
      </c>
      <c r="B832" s="1" t="s">
        <v>915</v>
      </c>
      <c r="C832">
        <v>106</v>
      </c>
      <c r="D832">
        <v>0</v>
      </c>
      <c r="E832">
        <v>0</v>
      </c>
      <c r="F832">
        <v>0</v>
      </c>
      <c r="G832">
        <v>0</v>
      </c>
      <c r="H832">
        <f t="shared" si="225"/>
        <v>65535</v>
      </c>
      <c r="J832">
        <f t="shared" si="231"/>
        <v>8</v>
      </c>
      <c r="K832">
        <f t="shared" si="232"/>
        <v>0</v>
      </c>
      <c r="L832">
        <f t="shared" si="233"/>
        <v>0</v>
      </c>
      <c r="M832">
        <f t="shared" si="234"/>
        <v>0</v>
      </c>
      <c r="N832">
        <f t="shared" si="235"/>
        <v>0</v>
      </c>
    </row>
    <row r="833" spans="1:14" x14ac:dyDescent="0.2">
      <c r="A833">
        <f t="shared" si="236"/>
        <v>831</v>
      </c>
      <c r="B833" s="1" t="s">
        <v>916</v>
      </c>
      <c r="C833">
        <v>107</v>
      </c>
      <c r="D833">
        <v>0</v>
      </c>
      <c r="E833">
        <v>0</v>
      </c>
      <c r="F833">
        <v>0</v>
      </c>
      <c r="G833">
        <v>0</v>
      </c>
      <c r="H833">
        <f t="shared" si="225"/>
        <v>65535</v>
      </c>
      <c r="J833">
        <f t="shared" si="231"/>
        <v>8</v>
      </c>
      <c r="K833">
        <f t="shared" si="232"/>
        <v>0</v>
      </c>
      <c r="L833">
        <f t="shared" si="233"/>
        <v>0</v>
      </c>
      <c r="M833">
        <f t="shared" si="234"/>
        <v>0</v>
      </c>
      <c r="N833">
        <f t="shared" si="235"/>
        <v>0</v>
      </c>
    </row>
    <row r="834" spans="1:14" x14ac:dyDescent="0.2">
      <c r="A834">
        <f t="shared" si="236"/>
        <v>832</v>
      </c>
      <c r="B834" s="1" t="s">
        <v>650</v>
      </c>
      <c r="C834">
        <v>28</v>
      </c>
      <c r="D834">
        <v>0</v>
      </c>
      <c r="E834">
        <v>0</v>
      </c>
      <c r="F834">
        <v>0</v>
      </c>
      <c r="G834">
        <v>0</v>
      </c>
      <c r="H834">
        <f t="shared" ref="H834:H897" si="237">_xlfn.XLOOKUP(I834,$B$2:$B$982,$A$2:$A$982,65535)</f>
        <v>65535</v>
      </c>
      <c r="J834">
        <f t="shared" ref="J834:J845" si="238">C834-C450</f>
        <v>8</v>
      </c>
      <c r="K834">
        <f t="shared" ref="K834:K845" si="239">D834-D450</f>
        <v>0</v>
      </c>
      <c r="L834">
        <f t="shared" ref="L834:L845" si="240">E834+E450</f>
        <v>0</v>
      </c>
      <c r="M834">
        <f t="shared" ref="M834:M845" si="241">F834+F450</f>
        <v>0</v>
      </c>
      <c r="N834">
        <f t="shared" ref="N834:N845" si="242">G834+G450</f>
        <v>0</v>
      </c>
    </row>
    <row r="835" spans="1:14" x14ac:dyDescent="0.2">
      <c r="A835">
        <f t="shared" si="236"/>
        <v>833</v>
      </c>
      <c r="B835" s="1" t="s">
        <v>653</v>
      </c>
      <c r="C835">
        <v>29</v>
      </c>
      <c r="D835">
        <v>0</v>
      </c>
      <c r="E835">
        <v>0</v>
      </c>
      <c r="F835">
        <v>0</v>
      </c>
      <c r="G835">
        <v>0</v>
      </c>
      <c r="H835">
        <f t="shared" si="237"/>
        <v>65535</v>
      </c>
      <c r="J835">
        <f t="shared" si="238"/>
        <v>8</v>
      </c>
      <c r="K835">
        <f t="shared" si="239"/>
        <v>0</v>
      </c>
      <c r="L835">
        <f t="shared" si="240"/>
        <v>0</v>
      </c>
      <c r="M835">
        <f t="shared" si="241"/>
        <v>0</v>
      </c>
      <c r="N835">
        <f t="shared" si="242"/>
        <v>0</v>
      </c>
    </row>
    <row r="836" spans="1:14" x14ac:dyDescent="0.2">
      <c r="A836">
        <f t="shared" si="236"/>
        <v>834</v>
      </c>
      <c r="B836" s="1" t="s">
        <v>652</v>
      </c>
      <c r="C836">
        <v>30</v>
      </c>
      <c r="D836">
        <v>0</v>
      </c>
      <c r="E836">
        <v>0</v>
      </c>
      <c r="F836">
        <v>0</v>
      </c>
      <c r="G836">
        <v>0</v>
      </c>
      <c r="H836">
        <f t="shared" si="237"/>
        <v>65535</v>
      </c>
      <c r="J836">
        <f t="shared" si="238"/>
        <v>8</v>
      </c>
      <c r="K836">
        <f t="shared" si="239"/>
        <v>0</v>
      </c>
      <c r="L836">
        <f t="shared" si="240"/>
        <v>0</v>
      </c>
      <c r="M836">
        <f t="shared" si="241"/>
        <v>0</v>
      </c>
      <c r="N836">
        <f t="shared" si="242"/>
        <v>0</v>
      </c>
    </row>
    <row r="837" spans="1:14" x14ac:dyDescent="0.2">
      <c r="A837">
        <f t="shared" si="236"/>
        <v>835</v>
      </c>
      <c r="B837" s="1" t="s">
        <v>651</v>
      </c>
      <c r="C837">
        <v>31</v>
      </c>
      <c r="D837">
        <v>0</v>
      </c>
      <c r="E837">
        <v>0</v>
      </c>
      <c r="F837">
        <v>0</v>
      </c>
      <c r="G837">
        <v>0</v>
      </c>
      <c r="H837">
        <f t="shared" si="237"/>
        <v>65535</v>
      </c>
      <c r="J837">
        <f t="shared" si="238"/>
        <v>8</v>
      </c>
      <c r="K837">
        <f t="shared" si="239"/>
        <v>0</v>
      </c>
      <c r="L837">
        <f t="shared" si="240"/>
        <v>0</v>
      </c>
      <c r="M837">
        <f t="shared" si="241"/>
        <v>0</v>
      </c>
      <c r="N837">
        <f t="shared" si="242"/>
        <v>0</v>
      </c>
    </row>
    <row r="838" spans="1:14" x14ac:dyDescent="0.2">
      <c r="A838">
        <f t="shared" si="236"/>
        <v>836</v>
      </c>
      <c r="B838" s="1" t="s">
        <v>813</v>
      </c>
      <c r="C838">
        <v>116</v>
      </c>
      <c r="D838">
        <v>0</v>
      </c>
      <c r="E838">
        <v>0</v>
      </c>
      <c r="F838">
        <v>0</v>
      </c>
      <c r="G838">
        <v>0</v>
      </c>
      <c r="H838">
        <f t="shared" si="237"/>
        <v>65535</v>
      </c>
      <c r="J838">
        <f t="shared" si="238"/>
        <v>4</v>
      </c>
      <c r="K838">
        <f t="shared" si="239"/>
        <v>0</v>
      </c>
      <c r="L838">
        <f t="shared" si="240"/>
        <v>0</v>
      </c>
      <c r="M838">
        <f t="shared" si="241"/>
        <v>0</v>
      </c>
      <c r="N838">
        <f t="shared" si="242"/>
        <v>0</v>
      </c>
    </row>
    <row r="839" spans="1:14" x14ac:dyDescent="0.2">
      <c r="A839">
        <f t="shared" si="236"/>
        <v>837</v>
      </c>
      <c r="B839" s="1" t="s">
        <v>814</v>
      </c>
      <c r="C839">
        <v>117</v>
      </c>
      <c r="D839">
        <v>0</v>
      </c>
      <c r="E839">
        <v>0</v>
      </c>
      <c r="F839">
        <v>0</v>
      </c>
      <c r="G839">
        <v>0</v>
      </c>
      <c r="H839">
        <f t="shared" si="237"/>
        <v>65535</v>
      </c>
      <c r="J839">
        <f t="shared" si="238"/>
        <v>4</v>
      </c>
      <c r="K839">
        <f t="shared" si="239"/>
        <v>0</v>
      </c>
      <c r="L839">
        <f t="shared" si="240"/>
        <v>0</v>
      </c>
      <c r="M839">
        <f t="shared" si="241"/>
        <v>0</v>
      </c>
      <c r="N839">
        <f t="shared" si="242"/>
        <v>0</v>
      </c>
    </row>
    <row r="840" spans="1:14" x14ac:dyDescent="0.2">
      <c r="A840">
        <f t="shared" si="236"/>
        <v>838</v>
      </c>
      <c r="B840" s="1" t="s">
        <v>815</v>
      </c>
      <c r="C840">
        <v>118</v>
      </c>
      <c r="D840">
        <v>0</v>
      </c>
      <c r="E840">
        <v>0</v>
      </c>
      <c r="F840">
        <v>0</v>
      </c>
      <c r="G840">
        <v>0</v>
      </c>
      <c r="H840">
        <f t="shared" si="237"/>
        <v>65535</v>
      </c>
      <c r="J840">
        <f t="shared" si="238"/>
        <v>4</v>
      </c>
      <c r="K840">
        <f t="shared" si="239"/>
        <v>0</v>
      </c>
      <c r="L840">
        <f t="shared" si="240"/>
        <v>0</v>
      </c>
      <c r="M840">
        <f t="shared" si="241"/>
        <v>0</v>
      </c>
      <c r="N840">
        <f t="shared" si="242"/>
        <v>0</v>
      </c>
    </row>
    <row r="841" spans="1:14" x14ac:dyDescent="0.2">
      <c r="A841">
        <f t="shared" si="236"/>
        <v>839</v>
      </c>
      <c r="B841" s="1" t="s">
        <v>816</v>
      </c>
      <c r="C841">
        <v>119</v>
      </c>
      <c r="D841">
        <v>0</v>
      </c>
      <c r="E841">
        <v>0</v>
      </c>
      <c r="F841">
        <v>0</v>
      </c>
      <c r="G841">
        <v>0</v>
      </c>
      <c r="H841">
        <f t="shared" si="237"/>
        <v>65535</v>
      </c>
      <c r="J841">
        <f t="shared" si="238"/>
        <v>4</v>
      </c>
      <c r="K841">
        <f t="shared" si="239"/>
        <v>0</v>
      </c>
      <c r="L841">
        <f t="shared" si="240"/>
        <v>0</v>
      </c>
      <c r="M841">
        <f t="shared" si="241"/>
        <v>0</v>
      </c>
      <c r="N841">
        <f t="shared" si="242"/>
        <v>0</v>
      </c>
    </row>
    <row r="842" spans="1:14" x14ac:dyDescent="0.2">
      <c r="A842">
        <f t="shared" si="236"/>
        <v>840</v>
      </c>
      <c r="B842" s="1" t="s">
        <v>817</v>
      </c>
      <c r="C842">
        <v>28</v>
      </c>
      <c r="D842">
        <v>0</v>
      </c>
      <c r="E842">
        <v>0</v>
      </c>
      <c r="F842">
        <v>0</v>
      </c>
      <c r="G842">
        <v>0</v>
      </c>
      <c r="H842">
        <f t="shared" si="237"/>
        <v>65535</v>
      </c>
      <c r="J842">
        <f t="shared" si="238"/>
        <v>8</v>
      </c>
      <c r="K842">
        <f t="shared" si="239"/>
        <v>0</v>
      </c>
      <c r="L842">
        <f t="shared" si="240"/>
        <v>0</v>
      </c>
      <c r="M842">
        <f t="shared" si="241"/>
        <v>0</v>
      </c>
      <c r="N842">
        <f t="shared" si="242"/>
        <v>0</v>
      </c>
    </row>
    <row r="843" spans="1:14" x14ac:dyDescent="0.2">
      <c r="A843">
        <f t="shared" si="236"/>
        <v>841</v>
      </c>
      <c r="B843" s="1" t="s">
        <v>818</v>
      </c>
      <c r="C843">
        <v>29</v>
      </c>
      <c r="D843">
        <v>0</v>
      </c>
      <c r="E843">
        <v>0</v>
      </c>
      <c r="F843">
        <v>0</v>
      </c>
      <c r="G843">
        <v>0</v>
      </c>
      <c r="H843">
        <f t="shared" si="237"/>
        <v>65535</v>
      </c>
      <c r="J843">
        <f t="shared" si="238"/>
        <v>8</v>
      </c>
      <c r="K843">
        <f t="shared" si="239"/>
        <v>0</v>
      </c>
      <c r="L843">
        <f t="shared" si="240"/>
        <v>0</v>
      </c>
      <c r="M843">
        <f t="shared" si="241"/>
        <v>0</v>
      </c>
      <c r="N843">
        <f t="shared" si="242"/>
        <v>0</v>
      </c>
    </row>
    <row r="844" spans="1:14" x14ac:dyDescent="0.2">
      <c r="A844">
        <f t="shared" si="236"/>
        <v>842</v>
      </c>
      <c r="B844" s="1" t="s">
        <v>819</v>
      </c>
      <c r="C844">
        <v>30</v>
      </c>
      <c r="D844">
        <v>0</v>
      </c>
      <c r="E844">
        <v>0</v>
      </c>
      <c r="F844">
        <v>0</v>
      </c>
      <c r="G844">
        <v>0</v>
      </c>
      <c r="H844">
        <f t="shared" si="237"/>
        <v>65535</v>
      </c>
      <c r="J844">
        <f t="shared" si="238"/>
        <v>8</v>
      </c>
      <c r="K844">
        <f t="shared" si="239"/>
        <v>0</v>
      </c>
      <c r="L844">
        <f t="shared" si="240"/>
        <v>0</v>
      </c>
      <c r="M844">
        <f t="shared" si="241"/>
        <v>0</v>
      </c>
      <c r="N844">
        <f t="shared" si="242"/>
        <v>0</v>
      </c>
    </row>
    <row r="845" spans="1:14" x14ac:dyDescent="0.2">
      <c r="A845">
        <f t="shared" si="236"/>
        <v>843</v>
      </c>
      <c r="B845" s="1" t="s">
        <v>820</v>
      </c>
      <c r="C845">
        <v>31</v>
      </c>
      <c r="D845">
        <v>0</v>
      </c>
      <c r="E845">
        <v>0</v>
      </c>
      <c r="F845">
        <v>0</v>
      </c>
      <c r="G845">
        <v>0</v>
      </c>
      <c r="H845">
        <f t="shared" si="237"/>
        <v>65535</v>
      </c>
      <c r="J845">
        <f t="shared" si="238"/>
        <v>8</v>
      </c>
      <c r="K845">
        <f t="shared" si="239"/>
        <v>0</v>
      </c>
      <c r="L845">
        <f t="shared" si="240"/>
        <v>0</v>
      </c>
      <c r="M845">
        <f t="shared" si="241"/>
        <v>0</v>
      </c>
      <c r="N845">
        <f t="shared" si="242"/>
        <v>0</v>
      </c>
    </row>
    <row r="846" spans="1:14" x14ac:dyDescent="0.2">
      <c r="A846">
        <f t="shared" si="236"/>
        <v>844</v>
      </c>
      <c r="B846" s="1" t="s">
        <v>977</v>
      </c>
      <c r="C846">
        <v>135</v>
      </c>
      <c r="D846">
        <v>-2</v>
      </c>
      <c r="E846">
        <v>0</v>
      </c>
      <c r="F846">
        <v>0</v>
      </c>
      <c r="G846">
        <v>0</v>
      </c>
      <c r="H846">
        <f t="shared" si="237"/>
        <v>65535</v>
      </c>
      <c r="J846">
        <f>C846-C1216</f>
        <v>135</v>
      </c>
      <c r="K846">
        <f>D846-D1216</f>
        <v>-2</v>
      </c>
      <c r="L846">
        <f t="shared" ref="L846:N847" si="243">E846+E1216</f>
        <v>0</v>
      </c>
      <c r="M846">
        <f t="shared" si="243"/>
        <v>0</v>
      </c>
      <c r="N846">
        <f t="shared" si="243"/>
        <v>0</v>
      </c>
    </row>
    <row r="847" spans="1:14" x14ac:dyDescent="0.2">
      <c r="A847">
        <f t="shared" si="236"/>
        <v>845</v>
      </c>
      <c r="B847" s="1" t="s">
        <v>976</v>
      </c>
      <c r="C847">
        <v>136</v>
      </c>
      <c r="D847">
        <v>-2</v>
      </c>
      <c r="E847">
        <v>0</v>
      </c>
      <c r="F847">
        <v>0</v>
      </c>
      <c r="G847">
        <v>0</v>
      </c>
      <c r="H847">
        <f t="shared" si="237"/>
        <v>65535</v>
      </c>
      <c r="J847">
        <f>C847-C1217</f>
        <v>136</v>
      </c>
      <c r="K847">
        <f>D847-D1217</f>
        <v>-2</v>
      </c>
      <c r="L847">
        <f t="shared" si="243"/>
        <v>0</v>
      </c>
      <c r="M847">
        <f t="shared" si="243"/>
        <v>0</v>
      </c>
      <c r="N847">
        <f t="shared" si="243"/>
        <v>0</v>
      </c>
    </row>
    <row r="848" spans="1:14" x14ac:dyDescent="0.2">
      <c r="A848">
        <f t="shared" si="236"/>
        <v>846</v>
      </c>
      <c r="B848" s="1" t="s">
        <v>978</v>
      </c>
      <c r="C848">
        <v>137</v>
      </c>
      <c r="D848">
        <v>-2</v>
      </c>
      <c r="E848">
        <v>0</v>
      </c>
      <c r="F848">
        <v>0</v>
      </c>
      <c r="G848">
        <v>0</v>
      </c>
      <c r="H848">
        <f t="shared" si="237"/>
        <v>65535</v>
      </c>
      <c r="J848">
        <f t="shared" ref="J848:K850" si="244">C848-C1216</f>
        <v>137</v>
      </c>
      <c r="K848">
        <f t="shared" si="244"/>
        <v>-2</v>
      </c>
      <c r="L848">
        <f t="shared" ref="L848:N850" si="245">E848+E1216</f>
        <v>0</v>
      </c>
      <c r="M848">
        <f t="shared" si="245"/>
        <v>0</v>
      </c>
      <c r="N848">
        <f t="shared" si="245"/>
        <v>0</v>
      </c>
    </row>
    <row r="849" spans="1:14" x14ac:dyDescent="0.2">
      <c r="A849">
        <f t="shared" si="236"/>
        <v>847</v>
      </c>
      <c r="B849" s="1" t="s">
        <v>979</v>
      </c>
      <c r="C849">
        <v>138</v>
      </c>
      <c r="D849">
        <v>-2</v>
      </c>
      <c r="E849">
        <v>0</v>
      </c>
      <c r="F849">
        <v>0</v>
      </c>
      <c r="G849">
        <v>0</v>
      </c>
      <c r="H849">
        <f t="shared" si="237"/>
        <v>65535</v>
      </c>
      <c r="J849">
        <f t="shared" si="244"/>
        <v>138</v>
      </c>
      <c r="K849">
        <f t="shared" si="244"/>
        <v>-2</v>
      </c>
      <c r="L849">
        <f t="shared" si="245"/>
        <v>0</v>
      </c>
      <c r="M849">
        <f t="shared" si="245"/>
        <v>0</v>
      </c>
      <c r="N849">
        <f t="shared" si="245"/>
        <v>0</v>
      </c>
    </row>
    <row r="850" spans="1:14" x14ac:dyDescent="0.2">
      <c r="A850">
        <f t="shared" si="236"/>
        <v>848</v>
      </c>
      <c r="B850" s="1" t="s">
        <v>980</v>
      </c>
      <c r="C850">
        <v>139</v>
      </c>
      <c r="D850">
        <v>-2</v>
      </c>
      <c r="E850">
        <v>0</v>
      </c>
      <c r="F850">
        <v>0</v>
      </c>
      <c r="G850">
        <v>0</v>
      </c>
      <c r="H850">
        <f t="shared" si="237"/>
        <v>65535</v>
      </c>
      <c r="J850">
        <f t="shared" si="244"/>
        <v>139</v>
      </c>
      <c r="K850">
        <f t="shared" si="244"/>
        <v>-2</v>
      </c>
      <c r="L850">
        <f t="shared" si="245"/>
        <v>0</v>
      </c>
      <c r="M850">
        <f t="shared" si="245"/>
        <v>0</v>
      </c>
      <c r="N850">
        <f t="shared" si="245"/>
        <v>0</v>
      </c>
    </row>
    <row r="851" spans="1:14" x14ac:dyDescent="0.2">
      <c r="A851">
        <f t="shared" si="236"/>
        <v>849</v>
      </c>
      <c r="B851" s="1" t="s">
        <v>981</v>
      </c>
      <c r="C851">
        <v>140</v>
      </c>
      <c r="D851">
        <v>0</v>
      </c>
      <c r="E851">
        <v>0</v>
      </c>
      <c r="F851">
        <v>0</v>
      </c>
      <c r="G851">
        <v>0</v>
      </c>
      <c r="H851">
        <f t="shared" si="237"/>
        <v>65535</v>
      </c>
      <c r="J851">
        <f>C851-C1218</f>
        <v>140</v>
      </c>
      <c r="K851">
        <f>D851-D1218</f>
        <v>0</v>
      </c>
      <c r="L851">
        <f t="shared" ref="L851:N852" si="246">E851+E1218</f>
        <v>0</v>
      </c>
      <c r="M851">
        <f t="shared" si="246"/>
        <v>0</v>
      </c>
      <c r="N851">
        <f t="shared" si="246"/>
        <v>0</v>
      </c>
    </row>
    <row r="852" spans="1:14" x14ac:dyDescent="0.2">
      <c r="A852">
        <f t="shared" si="236"/>
        <v>850</v>
      </c>
      <c r="B852" s="1" t="s">
        <v>982</v>
      </c>
      <c r="C852">
        <v>141</v>
      </c>
      <c r="D852">
        <v>0</v>
      </c>
      <c r="E852">
        <v>0</v>
      </c>
      <c r="F852">
        <v>0</v>
      </c>
      <c r="G852">
        <v>0</v>
      </c>
      <c r="H852">
        <f t="shared" si="237"/>
        <v>65535</v>
      </c>
      <c r="J852">
        <f>C852-C1219</f>
        <v>141</v>
      </c>
      <c r="K852">
        <f>D852-D1219</f>
        <v>0</v>
      </c>
      <c r="L852">
        <f t="shared" si="246"/>
        <v>0</v>
      </c>
      <c r="M852">
        <f t="shared" si="246"/>
        <v>0</v>
      </c>
      <c r="N852">
        <f t="shared" si="246"/>
        <v>0</v>
      </c>
    </row>
    <row r="853" spans="1:14" x14ac:dyDescent="0.2">
      <c r="A853">
        <f t="shared" si="236"/>
        <v>851</v>
      </c>
      <c r="B853" s="1" t="s">
        <v>990</v>
      </c>
      <c r="C853">
        <v>135</v>
      </c>
      <c r="D853">
        <v>-2</v>
      </c>
      <c r="E853" s="10">
        <v>5</v>
      </c>
      <c r="F853" s="9">
        <v>2</v>
      </c>
      <c r="G853" s="10">
        <v>1</v>
      </c>
      <c r="H853">
        <f t="shared" si="237"/>
        <v>65535</v>
      </c>
      <c r="J853">
        <f>C853-C1230</f>
        <v>135</v>
      </c>
      <c r="K853">
        <f>D853-D1230</f>
        <v>-2</v>
      </c>
      <c r="L853">
        <f t="shared" ref="L853:N854" si="247">E853+E1230</f>
        <v>5</v>
      </c>
      <c r="M853">
        <f t="shared" si="247"/>
        <v>2</v>
      </c>
      <c r="N853">
        <f t="shared" si="247"/>
        <v>1</v>
      </c>
    </row>
    <row r="854" spans="1:14" x14ac:dyDescent="0.2">
      <c r="A854">
        <f t="shared" si="236"/>
        <v>852</v>
      </c>
      <c r="B854" s="1" t="s">
        <v>991</v>
      </c>
      <c r="C854">
        <v>136</v>
      </c>
      <c r="D854">
        <v>-2</v>
      </c>
      <c r="E854">
        <v>2</v>
      </c>
      <c r="F854">
        <v>1</v>
      </c>
      <c r="G854">
        <v>1</v>
      </c>
      <c r="H854">
        <f t="shared" si="237"/>
        <v>65535</v>
      </c>
      <c r="J854">
        <f>C854-C1231</f>
        <v>136</v>
      </c>
      <c r="K854">
        <f>D854-D1231</f>
        <v>-2</v>
      </c>
      <c r="L854">
        <f t="shared" si="247"/>
        <v>2</v>
      </c>
      <c r="M854">
        <f t="shared" si="247"/>
        <v>1</v>
      </c>
      <c r="N854">
        <f t="shared" si="247"/>
        <v>1</v>
      </c>
    </row>
    <row r="855" spans="1:14" x14ac:dyDescent="0.2">
      <c r="A855">
        <f t="shared" si="236"/>
        <v>853</v>
      </c>
      <c r="B855" s="1" t="s">
        <v>992</v>
      </c>
      <c r="C855">
        <v>137</v>
      </c>
      <c r="D855">
        <v>-2</v>
      </c>
      <c r="E855">
        <v>2</v>
      </c>
      <c r="F855">
        <v>0</v>
      </c>
      <c r="G855">
        <v>0</v>
      </c>
      <c r="H855">
        <f t="shared" si="237"/>
        <v>65535</v>
      </c>
      <c r="J855">
        <f t="shared" ref="J855:K857" si="248">C855-C1230</f>
        <v>137</v>
      </c>
      <c r="K855">
        <f t="shared" si="248"/>
        <v>-2</v>
      </c>
      <c r="L855">
        <f t="shared" ref="L855:N857" si="249">E855+E1230</f>
        <v>2</v>
      </c>
      <c r="M855">
        <f t="shared" si="249"/>
        <v>0</v>
      </c>
      <c r="N855">
        <f t="shared" si="249"/>
        <v>0</v>
      </c>
    </row>
    <row r="856" spans="1:14" x14ac:dyDescent="0.2">
      <c r="A856">
        <f t="shared" si="236"/>
        <v>854</v>
      </c>
      <c r="B856" s="1" t="s">
        <v>993</v>
      </c>
      <c r="C856">
        <v>138</v>
      </c>
      <c r="D856">
        <v>-2</v>
      </c>
      <c r="E856">
        <v>2</v>
      </c>
      <c r="F856">
        <v>1</v>
      </c>
      <c r="G856">
        <v>1</v>
      </c>
      <c r="H856">
        <f t="shared" si="237"/>
        <v>65535</v>
      </c>
      <c r="J856">
        <f t="shared" si="248"/>
        <v>138</v>
      </c>
      <c r="K856">
        <f t="shared" si="248"/>
        <v>-2</v>
      </c>
      <c r="L856">
        <f t="shared" si="249"/>
        <v>2</v>
      </c>
      <c r="M856">
        <f t="shared" si="249"/>
        <v>1</v>
      </c>
      <c r="N856">
        <f t="shared" si="249"/>
        <v>1</v>
      </c>
    </row>
    <row r="857" spans="1:14" x14ac:dyDescent="0.2">
      <c r="A857">
        <f t="shared" si="236"/>
        <v>855</v>
      </c>
      <c r="B857" s="1" t="s">
        <v>994</v>
      </c>
      <c r="C857">
        <v>139</v>
      </c>
      <c r="D857">
        <v>-2</v>
      </c>
      <c r="E857">
        <v>2</v>
      </c>
      <c r="F857">
        <v>0</v>
      </c>
      <c r="G857">
        <v>0</v>
      </c>
      <c r="H857">
        <f t="shared" si="237"/>
        <v>65535</v>
      </c>
      <c r="J857">
        <f t="shared" si="248"/>
        <v>139</v>
      </c>
      <c r="K857">
        <f t="shared" si="248"/>
        <v>-2</v>
      </c>
      <c r="L857">
        <f t="shared" si="249"/>
        <v>2</v>
      </c>
      <c r="M857">
        <f t="shared" si="249"/>
        <v>0</v>
      </c>
      <c r="N857">
        <f t="shared" si="249"/>
        <v>0</v>
      </c>
    </row>
    <row r="858" spans="1:14" x14ac:dyDescent="0.2">
      <c r="A858">
        <f t="shared" si="236"/>
        <v>856</v>
      </c>
      <c r="B858" s="1" t="s">
        <v>995</v>
      </c>
      <c r="C858">
        <v>140</v>
      </c>
      <c r="D858">
        <v>0</v>
      </c>
      <c r="E858">
        <v>2</v>
      </c>
      <c r="F858">
        <v>1</v>
      </c>
      <c r="G858">
        <v>1</v>
      </c>
      <c r="H858">
        <f t="shared" si="237"/>
        <v>65535</v>
      </c>
      <c r="J858">
        <f>C858-C1232</f>
        <v>140</v>
      </c>
      <c r="K858">
        <f>D858-D1232</f>
        <v>0</v>
      </c>
      <c r="L858">
        <f t="shared" ref="L858:N859" si="250">E858+E1232</f>
        <v>2</v>
      </c>
      <c r="M858">
        <f t="shared" si="250"/>
        <v>1</v>
      </c>
      <c r="N858">
        <f t="shared" si="250"/>
        <v>1</v>
      </c>
    </row>
    <row r="859" spans="1:14" x14ac:dyDescent="0.2">
      <c r="A859">
        <f t="shared" si="236"/>
        <v>857</v>
      </c>
      <c r="B859" s="1" t="s">
        <v>996</v>
      </c>
      <c r="C859">
        <v>141</v>
      </c>
      <c r="D859">
        <v>0</v>
      </c>
      <c r="E859">
        <v>0</v>
      </c>
      <c r="F859">
        <v>0</v>
      </c>
      <c r="G859">
        <v>0</v>
      </c>
      <c r="H859">
        <f t="shared" si="237"/>
        <v>65535</v>
      </c>
      <c r="J859">
        <f>C859-C1233</f>
        <v>141</v>
      </c>
      <c r="K859">
        <f>D859-D1233</f>
        <v>0</v>
      </c>
      <c r="L859">
        <f t="shared" si="250"/>
        <v>0</v>
      </c>
      <c r="M859">
        <f t="shared" si="250"/>
        <v>0</v>
      </c>
      <c r="N859">
        <f t="shared" si="250"/>
        <v>0</v>
      </c>
    </row>
    <row r="860" spans="1:14" ht="49" customHeight="1" x14ac:dyDescent="0.2">
      <c r="A860">
        <f t="shared" si="236"/>
        <v>858</v>
      </c>
      <c r="B860" s="1" t="s">
        <v>149</v>
      </c>
      <c r="C860">
        <v>4</v>
      </c>
      <c r="D860">
        <v>-2</v>
      </c>
      <c r="E860">
        <v>0</v>
      </c>
      <c r="F860">
        <v>0</v>
      </c>
      <c r="G860">
        <v>0</v>
      </c>
      <c r="H860">
        <f t="shared" si="237"/>
        <v>65535</v>
      </c>
    </row>
    <row r="861" spans="1:14" x14ac:dyDescent="0.2">
      <c r="A861">
        <f t="shared" si="236"/>
        <v>859</v>
      </c>
      <c r="B861" s="1" t="s">
        <v>150</v>
      </c>
      <c r="C861">
        <v>5</v>
      </c>
      <c r="D861">
        <v>-1</v>
      </c>
      <c r="E861">
        <v>0</v>
      </c>
      <c r="F861">
        <v>0</v>
      </c>
      <c r="G861">
        <v>0</v>
      </c>
      <c r="H861">
        <f t="shared" si="237"/>
        <v>65535</v>
      </c>
    </row>
    <row r="862" spans="1:14" x14ac:dyDescent="0.2">
      <c r="A862">
        <f t="shared" si="236"/>
        <v>860</v>
      </c>
      <c r="B862" s="1" t="s">
        <v>151</v>
      </c>
      <c r="C862">
        <v>5</v>
      </c>
      <c r="D862">
        <v>0</v>
      </c>
      <c r="E862">
        <v>0</v>
      </c>
      <c r="F862">
        <v>0</v>
      </c>
      <c r="G862">
        <v>0</v>
      </c>
      <c r="H862">
        <f t="shared" si="237"/>
        <v>65535</v>
      </c>
    </row>
    <row r="863" spans="1:14" x14ac:dyDescent="0.2">
      <c r="A863">
        <f t="shared" si="236"/>
        <v>861</v>
      </c>
      <c r="B863" s="1" t="s">
        <v>152</v>
      </c>
      <c r="C863">
        <v>5</v>
      </c>
      <c r="D863">
        <v>1</v>
      </c>
      <c r="E863">
        <v>0</v>
      </c>
      <c r="F863">
        <v>0</v>
      </c>
      <c r="G863">
        <v>0</v>
      </c>
      <c r="H863">
        <f t="shared" si="237"/>
        <v>65535</v>
      </c>
    </row>
    <row r="864" spans="1:14" x14ac:dyDescent="0.2">
      <c r="A864">
        <f t="shared" si="236"/>
        <v>862</v>
      </c>
      <c r="B864" s="1" t="s">
        <v>153</v>
      </c>
      <c r="C864">
        <v>5</v>
      </c>
      <c r="D864">
        <v>2</v>
      </c>
      <c r="E864">
        <v>0</v>
      </c>
      <c r="F864">
        <v>0</v>
      </c>
      <c r="G864">
        <v>0</v>
      </c>
      <c r="H864">
        <f t="shared" si="237"/>
        <v>65535</v>
      </c>
    </row>
    <row r="865" spans="1:8" x14ac:dyDescent="0.2">
      <c r="A865">
        <f t="shared" si="236"/>
        <v>863</v>
      </c>
      <c r="B865" s="1" t="s">
        <v>154</v>
      </c>
      <c r="C865">
        <v>5</v>
      </c>
      <c r="D865">
        <v>4</v>
      </c>
      <c r="E865">
        <v>0</v>
      </c>
      <c r="F865">
        <v>0</v>
      </c>
      <c r="G865">
        <v>0</v>
      </c>
      <c r="H865">
        <f t="shared" si="237"/>
        <v>65535</v>
      </c>
    </row>
    <row r="866" spans="1:8" x14ac:dyDescent="0.2">
      <c r="A866">
        <f t="shared" si="236"/>
        <v>864</v>
      </c>
      <c r="B866" s="1" t="s">
        <v>155</v>
      </c>
      <c r="C866">
        <v>5</v>
      </c>
      <c r="D866">
        <v>7</v>
      </c>
      <c r="E866">
        <v>0</v>
      </c>
      <c r="F866">
        <v>0</v>
      </c>
      <c r="G866">
        <v>0</v>
      </c>
      <c r="H866">
        <f t="shared" si="237"/>
        <v>65535</v>
      </c>
    </row>
    <row r="867" spans="1:8" x14ac:dyDescent="0.2">
      <c r="A867">
        <f t="shared" si="236"/>
        <v>865</v>
      </c>
      <c r="B867" s="1" t="s">
        <v>156</v>
      </c>
      <c r="C867">
        <v>6</v>
      </c>
      <c r="D867">
        <v>11</v>
      </c>
      <c r="E867">
        <v>0</v>
      </c>
      <c r="F867">
        <v>0</v>
      </c>
      <c r="G867">
        <v>0</v>
      </c>
      <c r="H867">
        <f t="shared" si="237"/>
        <v>65535</v>
      </c>
    </row>
    <row r="868" spans="1:8" x14ac:dyDescent="0.2">
      <c r="A868">
        <f t="shared" si="236"/>
        <v>866</v>
      </c>
      <c r="B868" s="1" t="s">
        <v>157</v>
      </c>
      <c r="C868">
        <v>7</v>
      </c>
      <c r="D868">
        <v>15</v>
      </c>
      <c r="E868">
        <v>0</v>
      </c>
      <c r="F868">
        <v>0</v>
      </c>
      <c r="G868">
        <v>0</v>
      </c>
      <c r="H868">
        <f t="shared" si="237"/>
        <v>65535</v>
      </c>
    </row>
    <row r="869" spans="1:8" ht="38" customHeight="1" x14ac:dyDescent="0.2">
      <c r="A869">
        <f t="shared" si="236"/>
        <v>867</v>
      </c>
      <c r="B869" s="1" t="s">
        <v>694</v>
      </c>
      <c r="C869">
        <v>0</v>
      </c>
      <c r="D869">
        <v>0</v>
      </c>
      <c r="E869">
        <v>0</v>
      </c>
      <c r="F869">
        <v>0</v>
      </c>
      <c r="G869">
        <v>0</v>
      </c>
      <c r="H869">
        <f t="shared" si="237"/>
        <v>65535</v>
      </c>
    </row>
    <row r="870" spans="1:8" ht="16" customHeight="1" x14ac:dyDescent="0.2">
      <c r="A870">
        <f t="shared" si="236"/>
        <v>868</v>
      </c>
      <c r="B870" s="1" t="s">
        <v>696</v>
      </c>
      <c r="C870">
        <v>1</v>
      </c>
      <c r="D870">
        <v>0</v>
      </c>
      <c r="E870">
        <v>0</v>
      </c>
      <c r="F870">
        <v>0</v>
      </c>
      <c r="G870">
        <v>0</v>
      </c>
      <c r="H870">
        <f t="shared" si="237"/>
        <v>65535</v>
      </c>
    </row>
    <row r="871" spans="1:8" ht="16" customHeight="1" x14ac:dyDescent="0.2">
      <c r="A871">
        <f t="shared" si="236"/>
        <v>869</v>
      </c>
      <c r="B871" s="1" t="s">
        <v>697</v>
      </c>
      <c r="C871">
        <v>2</v>
      </c>
      <c r="D871">
        <v>0</v>
      </c>
      <c r="E871">
        <v>0</v>
      </c>
      <c r="F871">
        <v>0</v>
      </c>
      <c r="G871">
        <v>0</v>
      </c>
      <c r="H871">
        <f t="shared" si="237"/>
        <v>65535</v>
      </c>
    </row>
    <row r="872" spans="1:8" ht="16" customHeight="1" x14ac:dyDescent="0.2">
      <c r="A872">
        <f t="shared" si="236"/>
        <v>870</v>
      </c>
      <c r="B872" s="1" t="s">
        <v>698</v>
      </c>
      <c r="C872">
        <v>3</v>
      </c>
      <c r="D872">
        <v>0</v>
      </c>
      <c r="E872">
        <v>0</v>
      </c>
      <c r="F872">
        <v>0</v>
      </c>
      <c r="G872">
        <v>0</v>
      </c>
      <c r="H872">
        <f t="shared" si="237"/>
        <v>65535</v>
      </c>
    </row>
    <row r="873" spans="1:8" ht="16" customHeight="1" x14ac:dyDescent="0.2">
      <c r="A873">
        <f t="shared" si="236"/>
        <v>871</v>
      </c>
      <c r="B873" s="1" t="s">
        <v>699</v>
      </c>
      <c r="C873">
        <v>16</v>
      </c>
      <c r="D873">
        <v>0</v>
      </c>
      <c r="E873">
        <v>0</v>
      </c>
      <c r="F873">
        <v>0</v>
      </c>
      <c r="G873">
        <v>0</v>
      </c>
      <c r="H873">
        <f t="shared" si="237"/>
        <v>65535</v>
      </c>
    </row>
    <row r="874" spans="1:8" ht="16" customHeight="1" x14ac:dyDescent="0.2">
      <c r="A874">
        <f t="shared" si="236"/>
        <v>872</v>
      </c>
      <c r="B874" s="1" t="s">
        <v>702</v>
      </c>
      <c r="C874">
        <v>17</v>
      </c>
      <c r="D874">
        <v>0</v>
      </c>
      <c r="E874">
        <v>0</v>
      </c>
      <c r="F874">
        <v>0</v>
      </c>
      <c r="G874">
        <v>0</v>
      </c>
      <c r="H874">
        <f t="shared" si="237"/>
        <v>65535</v>
      </c>
    </row>
    <row r="875" spans="1:8" ht="16" customHeight="1" x14ac:dyDescent="0.2">
      <c r="A875">
        <f t="shared" si="236"/>
        <v>873</v>
      </c>
      <c r="B875" s="1" t="s">
        <v>701</v>
      </c>
      <c r="C875">
        <v>18</v>
      </c>
      <c r="D875">
        <v>0</v>
      </c>
      <c r="E875">
        <v>0</v>
      </c>
      <c r="F875">
        <v>0</v>
      </c>
      <c r="G875">
        <v>0</v>
      </c>
      <c r="H875">
        <f t="shared" si="237"/>
        <v>65535</v>
      </c>
    </row>
    <row r="876" spans="1:8" ht="16" customHeight="1" x14ac:dyDescent="0.2">
      <c r="A876">
        <f t="shared" si="236"/>
        <v>874</v>
      </c>
      <c r="B876" s="1" t="s">
        <v>700</v>
      </c>
      <c r="C876">
        <v>19</v>
      </c>
      <c r="D876">
        <v>0</v>
      </c>
      <c r="E876">
        <v>0</v>
      </c>
      <c r="F876">
        <v>0</v>
      </c>
      <c r="G876">
        <v>0</v>
      </c>
      <c r="H876">
        <f t="shared" si="237"/>
        <v>65535</v>
      </c>
    </row>
    <row r="877" spans="1:8" ht="16" customHeight="1" x14ac:dyDescent="0.2">
      <c r="A877">
        <f t="shared" si="236"/>
        <v>875</v>
      </c>
      <c r="B877" s="1" t="s">
        <v>703</v>
      </c>
      <c r="C877">
        <v>16</v>
      </c>
      <c r="D877">
        <v>0</v>
      </c>
      <c r="E877">
        <v>0</v>
      </c>
      <c r="F877">
        <v>0</v>
      </c>
      <c r="G877">
        <v>0</v>
      </c>
      <c r="H877">
        <f t="shared" si="237"/>
        <v>65535</v>
      </c>
    </row>
    <row r="878" spans="1:8" ht="16" customHeight="1" x14ac:dyDescent="0.2">
      <c r="A878">
        <f t="shared" si="236"/>
        <v>876</v>
      </c>
      <c r="B878" s="1" t="s">
        <v>704</v>
      </c>
      <c r="C878">
        <v>20</v>
      </c>
      <c r="D878">
        <v>0</v>
      </c>
      <c r="E878">
        <v>0</v>
      </c>
      <c r="F878">
        <v>0</v>
      </c>
      <c r="G878">
        <v>0</v>
      </c>
      <c r="H878">
        <f t="shared" si="237"/>
        <v>65535</v>
      </c>
    </row>
    <row r="879" spans="1:8" ht="16" customHeight="1" x14ac:dyDescent="0.2">
      <c r="A879">
        <f t="shared" si="236"/>
        <v>877</v>
      </c>
      <c r="B879" s="1" t="s">
        <v>705</v>
      </c>
      <c r="C879">
        <v>20</v>
      </c>
      <c r="D879">
        <v>0</v>
      </c>
      <c r="E879">
        <v>0</v>
      </c>
      <c r="F879">
        <v>0</v>
      </c>
      <c r="G879">
        <v>0</v>
      </c>
      <c r="H879">
        <f t="shared" si="237"/>
        <v>65535</v>
      </c>
    </row>
    <row r="880" spans="1:8" ht="16" customHeight="1" x14ac:dyDescent="0.2">
      <c r="A880">
        <f t="shared" si="236"/>
        <v>878</v>
      </c>
      <c r="B880" s="1" t="s">
        <v>706</v>
      </c>
      <c r="C880">
        <v>21</v>
      </c>
      <c r="D880">
        <v>0</v>
      </c>
      <c r="E880">
        <v>0</v>
      </c>
      <c r="F880">
        <v>0</v>
      </c>
      <c r="G880">
        <v>0</v>
      </c>
      <c r="H880">
        <f t="shared" si="237"/>
        <v>65535</v>
      </c>
    </row>
    <row r="881" spans="1:8" ht="16" customHeight="1" x14ac:dyDescent="0.2">
      <c r="A881">
        <f t="shared" si="236"/>
        <v>879</v>
      </c>
      <c r="B881" s="1" t="s">
        <v>707</v>
      </c>
      <c r="C881">
        <v>22</v>
      </c>
      <c r="D881">
        <v>0</v>
      </c>
      <c r="E881">
        <v>0</v>
      </c>
      <c r="F881">
        <v>0</v>
      </c>
      <c r="G881">
        <v>0</v>
      </c>
      <c r="H881">
        <f t="shared" si="237"/>
        <v>65535</v>
      </c>
    </row>
    <row r="882" spans="1:8" ht="16" customHeight="1" x14ac:dyDescent="0.2">
      <c r="A882">
        <f t="shared" si="236"/>
        <v>880</v>
      </c>
      <c r="B882" s="1" t="s">
        <v>708</v>
      </c>
      <c r="C882">
        <v>22</v>
      </c>
      <c r="D882">
        <v>0</v>
      </c>
      <c r="E882">
        <v>0</v>
      </c>
      <c r="F882">
        <v>0</v>
      </c>
      <c r="G882">
        <v>0</v>
      </c>
      <c r="H882">
        <f t="shared" si="237"/>
        <v>65535</v>
      </c>
    </row>
    <row r="883" spans="1:8" ht="16" customHeight="1" x14ac:dyDescent="0.2">
      <c r="A883">
        <f t="shared" si="236"/>
        <v>881</v>
      </c>
      <c r="B883" s="1" t="s">
        <v>709</v>
      </c>
      <c r="C883">
        <v>22</v>
      </c>
      <c r="D883">
        <v>0</v>
      </c>
      <c r="E883">
        <v>0</v>
      </c>
      <c r="F883">
        <v>0</v>
      </c>
      <c r="G883">
        <v>0</v>
      </c>
      <c r="H883">
        <f t="shared" si="237"/>
        <v>65535</v>
      </c>
    </row>
    <row r="884" spans="1:8" ht="16" customHeight="1" x14ac:dyDescent="0.2">
      <c r="A884">
        <f t="shared" si="236"/>
        <v>882</v>
      </c>
      <c r="B884" s="1" t="s">
        <v>710</v>
      </c>
      <c r="C884">
        <v>20</v>
      </c>
      <c r="D884">
        <v>0</v>
      </c>
      <c r="E884">
        <v>0</v>
      </c>
      <c r="F884">
        <v>0</v>
      </c>
      <c r="G884">
        <v>0</v>
      </c>
      <c r="H884">
        <f t="shared" si="237"/>
        <v>65535</v>
      </c>
    </row>
    <row r="885" spans="1:8" ht="16" customHeight="1" x14ac:dyDescent="0.2">
      <c r="A885">
        <f t="shared" si="236"/>
        <v>883</v>
      </c>
      <c r="B885" s="1" t="s">
        <v>727</v>
      </c>
      <c r="C885">
        <v>20</v>
      </c>
      <c r="D885">
        <v>0</v>
      </c>
      <c r="E885">
        <v>0</v>
      </c>
      <c r="F885">
        <v>0</v>
      </c>
      <c r="G885">
        <v>0</v>
      </c>
      <c r="H885">
        <f t="shared" si="237"/>
        <v>65535</v>
      </c>
    </row>
    <row r="886" spans="1:8" ht="16" customHeight="1" x14ac:dyDescent="0.2">
      <c r="A886">
        <f t="shared" si="236"/>
        <v>884</v>
      </c>
      <c r="B886" s="1" t="s">
        <v>728</v>
      </c>
      <c r="C886">
        <v>20</v>
      </c>
      <c r="D886">
        <v>0</v>
      </c>
      <c r="E886">
        <v>0</v>
      </c>
      <c r="F886">
        <v>0</v>
      </c>
      <c r="G886">
        <v>0</v>
      </c>
      <c r="H886">
        <f t="shared" si="237"/>
        <v>65535</v>
      </c>
    </row>
    <row r="887" spans="1:8" ht="16" customHeight="1" x14ac:dyDescent="0.2">
      <c r="A887">
        <f t="shared" si="236"/>
        <v>885</v>
      </c>
      <c r="B887" s="1" t="s">
        <v>729</v>
      </c>
      <c r="C887">
        <v>20</v>
      </c>
      <c r="D887">
        <v>0</v>
      </c>
      <c r="E887">
        <v>0</v>
      </c>
      <c r="F887">
        <v>0</v>
      </c>
      <c r="G887">
        <v>0</v>
      </c>
      <c r="H887">
        <f t="shared" si="237"/>
        <v>65535</v>
      </c>
    </row>
    <row r="888" spans="1:8" ht="16" customHeight="1" x14ac:dyDescent="0.2">
      <c r="A888">
        <f t="shared" si="236"/>
        <v>886</v>
      </c>
      <c r="B888" s="1" t="s">
        <v>730</v>
      </c>
      <c r="C888">
        <v>20</v>
      </c>
      <c r="D888">
        <v>0</v>
      </c>
      <c r="E888">
        <v>0</v>
      </c>
      <c r="F888">
        <v>0</v>
      </c>
      <c r="G888">
        <v>0</v>
      </c>
      <c r="H888">
        <f t="shared" si="237"/>
        <v>65535</v>
      </c>
    </row>
    <row r="889" spans="1:8" ht="16" customHeight="1" x14ac:dyDescent="0.2">
      <c r="A889">
        <f t="shared" si="236"/>
        <v>887</v>
      </c>
      <c r="B889" s="1" t="s">
        <v>731</v>
      </c>
      <c r="C889">
        <v>16</v>
      </c>
      <c r="D889">
        <v>0</v>
      </c>
      <c r="E889">
        <v>0</v>
      </c>
      <c r="F889">
        <v>0</v>
      </c>
      <c r="G889">
        <v>0</v>
      </c>
      <c r="H889">
        <f t="shared" si="237"/>
        <v>65535</v>
      </c>
    </row>
    <row r="890" spans="1:8" ht="16" customHeight="1" x14ac:dyDescent="0.2">
      <c r="A890">
        <f t="shared" si="236"/>
        <v>888</v>
      </c>
      <c r="B890" s="1" t="s">
        <v>777</v>
      </c>
      <c r="C890">
        <v>1</v>
      </c>
      <c r="D890">
        <v>0</v>
      </c>
      <c r="E890">
        <v>0</v>
      </c>
      <c r="F890">
        <v>0</v>
      </c>
      <c r="G890">
        <v>0</v>
      </c>
      <c r="H890">
        <f t="shared" si="237"/>
        <v>65535</v>
      </c>
    </row>
    <row r="891" spans="1:8" ht="16" customHeight="1" x14ac:dyDescent="0.2">
      <c r="A891">
        <f t="shared" si="236"/>
        <v>889</v>
      </c>
      <c r="B891" s="1" t="s">
        <v>778</v>
      </c>
      <c r="C891">
        <v>0</v>
      </c>
      <c r="D891">
        <v>0</v>
      </c>
      <c r="E891">
        <v>0</v>
      </c>
      <c r="F891">
        <v>0</v>
      </c>
      <c r="G891">
        <v>0</v>
      </c>
      <c r="H891">
        <f t="shared" si="237"/>
        <v>65535</v>
      </c>
    </row>
    <row r="892" spans="1:8" ht="16" customHeight="1" x14ac:dyDescent="0.2">
      <c r="A892">
        <f t="shared" si="236"/>
        <v>890</v>
      </c>
      <c r="B892" s="1" t="s">
        <v>779</v>
      </c>
      <c r="C892">
        <v>0</v>
      </c>
      <c r="D892">
        <v>0</v>
      </c>
      <c r="E892">
        <v>0</v>
      </c>
      <c r="F892">
        <v>0</v>
      </c>
      <c r="G892">
        <v>0</v>
      </c>
      <c r="H892">
        <f t="shared" si="237"/>
        <v>65535</v>
      </c>
    </row>
    <row r="893" spans="1:8" ht="16" customHeight="1" x14ac:dyDescent="0.2">
      <c r="A893">
        <f t="shared" si="236"/>
        <v>891</v>
      </c>
      <c r="B893" s="1" t="s">
        <v>780</v>
      </c>
      <c r="C893">
        <v>0</v>
      </c>
      <c r="D893">
        <v>0</v>
      </c>
      <c r="E893">
        <v>0</v>
      </c>
      <c r="F893">
        <v>0</v>
      </c>
      <c r="G893">
        <v>0</v>
      </c>
      <c r="H893">
        <f t="shared" si="237"/>
        <v>65535</v>
      </c>
    </row>
    <row r="894" spans="1:8" ht="16" customHeight="1" x14ac:dyDescent="0.2">
      <c r="A894">
        <f t="shared" si="236"/>
        <v>892</v>
      </c>
      <c r="B894" s="1" t="s">
        <v>781</v>
      </c>
      <c r="C894">
        <v>0</v>
      </c>
      <c r="D894">
        <v>0</v>
      </c>
      <c r="E894">
        <v>0</v>
      </c>
      <c r="F894">
        <v>0</v>
      </c>
      <c r="G894">
        <v>0</v>
      </c>
      <c r="H894">
        <f t="shared" si="237"/>
        <v>65535</v>
      </c>
    </row>
    <row r="895" spans="1:8" ht="16" customHeight="1" x14ac:dyDescent="0.2">
      <c r="A895">
        <f t="shared" si="236"/>
        <v>893</v>
      </c>
      <c r="B895" s="1" t="s">
        <v>782</v>
      </c>
      <c r="C895">
        <v>1</v>
      </c>
      <c r="D895">
        <v>0</v>
      </c>
      <c r="E895">
        <v>0</v>
      </c>
      <c r="F895">
        <v>0</v>
      </c>
      <c r="G895">
        <v>0</v>
      </c>
      <c r="H895">
        <f t="shared" si="237"/>
        <v>65535</v>
      </c>
    </row>
    <row r="896" spans="1:8" ht="16" customHeight="1" x14ac:dyDescent="0.2">
      <c r="A896">
        <f t="shared" si="236"/>
        <v>894</v>
      </c>
      <c r="B896" s="1" t="s">
        <v>797</v>
      </c>
      <c r="C896">
        <v>1</v>
      </c>
      <c r="D896">
        <v>0</v>
      </c>
      <c r="E896">
        <v>0</v>
      </c>
      <c r="F896">
        <v>0</v>
      </c>
      <c r="G896">
        <v>0</v>
      </c>
      <c r="H896">
        <f t="shared" si="237"/>
        <v>65535</v>
      </c>
    </row>
    <row r="897" spans="1:9" ht="16" customHeight="1" x14ac:dyDescent="0.2">
      <c r="A897">
        <f t="shared" si="236"/>
        <v>895</v>
      </c>
      <c r="B897" s="1" t="s">
        <v>798</v>
      </c>
      <c r="C897">
        <v>1</v>
      </c>
      <c r="D897">
        <v>0</v>
      </c>
      <c r="E897">
        <v>0</v>
      </c>
      <c r="F897">
        <v>0</v>
      </c>
      <c r="G897">
        <v>0</v>
      </c>
      <c r="H897">
        <f t="shared" si="237"/>
        <v>65535</v>
      </c>
    </row>
    <row r="898" spans="1:9" ht="16" customHeight="1" x14ac:dyDescent="0.2">
      <c r="A898">
        <f t="shared" si="236"/>
        <v>896</v>
      </c>
      <c r="B898" s="1" t="s">
        <v>799</v>
      </c>
      <c r="C898">
        <v>1</v>
      </c>
      <c r="D898">
        <v>0</v>
      </c>
      <c r="E898">
        <v>0</v>
      </c>
      <c r="F898">
        <v>0</v>
      </c>
      <c r="G898">
        <v>0</v>
      </c>
      <c r="H898">
        <f t="shared" ref="H898:H961" si="251">_xlfn.XLOOKUP(I898,$B$2:$B$982,$A$2:$A$982,65535)</f>
        <v>65535</v>
      </c>
    </row>
    <row r="899" spans="1:9" ht="16" customHeight="1" x14ac:dyDescent="0.2">
      <c r="A899">
        <f t="shared" si="236"/>
        <v>897</v>
      </c>
      <c r="B899" s="1" t="s">
        <v>800</v>
      </c>
      <c r="C899">
        <v>1</v>
      </c>
      <c r="D899">
        <v>0</v>
      </c>
      <c r="E899">
        <v>0</v>
      </c>
      <c r="F899">
        <v>0</v>
      </c>
      <c r="G899">
        <v>0</v>
      </c>
      <c r="H899">
        <f t="shared" si="251"/>
        <v>65535</v>
      </c>
    </row>
    <row r="900" spans="1:9" ht="16" customHeight="1" x14ac:dyDescent="0.2">
      <c r="A900">
        <f t="shared" ref="A900:A963" si="252">A899+1</f>
        <v>898</v>
      </c>
      <c r="B900" s="1" t="s">
        <v>802</v>
      </c>
      <c r="C900">
        <v>1</v>
      </c>
      <c r="D900">
        <v>0</v>
      </c>
      <c r="E900">
        <v>0</v>
      </c>
      <c r="F900">
        <v>0</v>
      </c>
      <c r="G900">
        <v>0</v>
      </c>
      <c r="H900">
        <f t="shared" si="251"/>
        <v>65535</v>
      </c>
    </row>
    <row r="901" spans="1:9" ht="16" customHeight="1" x14ac:dyDescent="0.2">
      <c r="A901">
        <f t="shared" si="252"/>
        <v>899</v>
      </c>
      <c r="B901" s="1" t="s">
        <v>801</v>
      </c>
      <c r="C901">
        <v>1</v>
      </c>
      <c r="D901">
        <v>0</v>
      </c>
      <c r="E901">
        <v>0</v>
      </c>
      <c r="F901">
        <v>0</v>
      </c>
      <c r="G901">
        <v>0</v>
      </c>
      <c r="H901">
        <f t="shared" si="251"/>
        <v>65535</v>
      </c>
    </row>
    <row r="902" spans="1:9" ht="16" customHeight="1" x14ac:dyDescent="0.2">
      <c r="A902">
        <f t="shared" si="252"/>
        <v>900</v>
      </c>
      <c r="B902" s="1" t="s">
        <v>803</v>
      </c>
      <c r="C902">
        <v>1</v>
      </c>
      <c r="D902">
        <v>0</v>
      </c>
      <c r="E902">
        <v>0</v>
      </c>
      <c r="F902">
        <v>0</v>
      </c>
      <c r="G902">
        <v>0</v>
      </c>
      <c r="H902">
        <f t="shared" si="251"/>
        <v>65535</v>
      </c>
    </row>
    <row r="903" spans="1:9" ht="16" customHeight="1" x14ac:dyDescent="0.2">
      <c r="A903">
        <f t="shared" si="252"/>
        <v>901</v>
      </c>
      <c r="B903" s="1" t="s">
        <v>804</v>
      </c>
      <c r="C903">
        <v>1</v>
      </c>
      <c r="D903">
        <v>0</v>
      </c>
      <c r="E903">
        <v>0</v>
      </c>
      <c r="F903">
        <v>0</v>
      </c>
      <c r="G903">
        <v>0</v>
      </c>
      <c r="H903">
        <f t="shared" si="251"/>
        <v>65535</v>
      </c>
    </row>
    <row r="904" spans="1:9" ht="16" customHeight="1" x14ac:dyDescent="0.2">
      <c r="A904">
        <f t="shared" si="252"/>
        <v>902</v>
      </c>
      <c r="B904" s="1" t="s">
        <v>843</v>
      </c>
      <c r="C904">
        <v>4</v>
      </c>
      <c r="D904">
        <v>0</v>
      </c>
      <c r="E904">
        <v>0</v>
      </c>
      <c r="F904">
        <v>0</v>
      </c>
      <c r="G904">
        <v>0</v>
      </c>
      <c r="H904">
        <f t="shared" si="251"/>
        <v>65535</v>
      </c>
    </row>
    <row r="905" spans="1:9" ht="16" customHeight="1" x14ac:dyDescent="0.2">
      <c r="A905">
        <f t="shared" si="252"/>
        <v>903</v>
      </c>
      <c r="B905" s="1" t="s">
        <v>844</v>
      </c>
      <c r="C905">
        <v>5</v>
      </c>
      <c r="D905">
        <v>0</v>
      </c>
      <c r="E905">
        <v>0</v>
      </c>
      <c r="F905">
        <v>0</v>
      </c>
      <c r="G905">
        <v>0</v>
      </c>
      <c r="H905">
        <f t="shared" si="251"/>
        <v>65535</v>
      </c>
    </row>
    <row r="906" spans="1:9" ht="16" customHeight="1" x14ac:dyDescent="0.2">
      <c r="A906">
        <f t="shared" si="252"/>
        <v>904</v>
      </c>
      <c r="B906" s="1" t="s">
        <v>845</v>
      </c>
      <c r="C906">
        <v>6</v>
      </c>
      <c r="D906">
        <v>0</v>
      </c>
      <c r="E906">
        <v>0</v>
      </c>
      <c r="F906">
        <v>0</v>
      </c>
      <c r="G906">
        <v>0</v>
      </c>
      <c r="H906">
        <f t="shared" si="251"/>
        <v>65535</v>
      </c>
    </row>
    <row r="907" spans="1:9" ht="16" customHeight="1" x14ac:dyDescent="0.2">
      <c r="A907">
        <f t="shared" si="252"/>
        <v>905</v>
      </c>
      <c r="B907" s="1" t="s">
        <v>846</v>
      </c>
      <c r="C907">
        <v>7</v>
      </c>
      <c r="D907">
        <v>0</v>
      </c>
      <c r="E907">
        <v>0</v>
      </c>
      <c r="F907">
        <v>0</v>
      </c>
      <c r="G907">
        <v>0</v>
      </c>
      <c r="H907">
        <f t="shared" si="251"/>
        <v>65535</v>
      </c>
    </row>
    <row r="908" spans="1:9" ht="16" customHeight="1" x14ac:dyDescent="0.2">
      <c r="A908">
        <f t="shared" si="252"/>
        <v>906</v>
      </c>
      <c r="B908" s="1" t="s">
        <v>847</v>
      </c>
      <c r="C908">
        <v>6</v>
      </c>
      <c r="D908">
        <v>0</v>
      </c>
      <c r="E908">
        <v>0</v>
      </c>
      <c r="F908">
        <v>0</v>
      </c>
      <c r="G908">
        <v>0</v>
      </c>
      <c r="H908">
        <f t="shared" si="251"/>
        <v>65535</v>
      </c>
    </row>
    <row r="909" spans="1:9" ht="16" customHeight="1" x14ac:dyDescent="0.2">
      <c r="A909">
        <f t="shared" si="252"/>
        <v>907</v>
      </c>
      <c r="B909" s="1" t="s">
        <v>848</v>
      </c>
      <c r="C909">
        <v>5</v>
      </c>
      <c r="D909">
        <v>0</v>
      </c>
      <c r="E909">
        <v>0</v>
      </c>
      <c r="F909">
        <v>0</v>
      </c>
      <c r="G909">
        <v>0</v>
      </c>
      <c r="H909">
        <f t="shared" si="251"/>
        <v>65535</v>
      </c>
    </row>
    <row r="910" spans="1:9" ht="16" customHeight="1" x14ac:dyDescent="0.2">
      <c r="A910">
        <f t="shared" si="252"/>
        <v>908</v>
      </c>
      <c r="B910" s="1" t="s">
        <v>849</v>
      </c>
      <c r="C910">
        <v>4</v>
      </c>
      <c r="D910">
        <v>0</v>
      </c>
      <c r="E910">
        <v>0</v>
      </c>
      <c r="F910">
        <v>0</v>
      </c>
      <c r="G910">
        <v>0</v>
      </c>
      <c r="H910">
        <f t="shared" si="251"/>
        <v>902</v>
      </c>
      <c r="I910" s="1" t="s">
        <v>843</v>
      </c>
    </row>
    <row r="911" spans="1:9" ht="16" customHeight="1" x14ac:dyDescent="0.2">
      <c r="A911">
        <f t="shared" si="252"/>
        <v>909</v>
      </c>
      <c r="B911" s="1" t="s">
        <v>850</v>
      </c>
      <c r="C911">
        <v>5</v>
      </c>
      <c r="D911">
        <v>0</v>
      </c>
      <c r="E911">
        <v>5</v>
      </c>
      <c r="F911">
        <v>2</v>
      </c>
      <c r="G911">
        <v>1</v>
      </c>
      <c r="H911">
        <f t="shared" si="251"/>
        <v>65535</v>
      </c>
    </row>
    <row r="912" spans="1:9" ht="16" customHeight="1" x14ac:dyDescent="0.2">
      <c r="A912">
        <f t="shared" si="252"/>
        <v>910</v>
      </c>
      <c r="B912" s="1" t="s">
        <v>851</v>
      </c>
      <c r="C912">
        <v>4</v>
      </c>
      <c r="D912">
        <v>0</v>
      </c>
      <c r="E912">
        <v>5</v>
      </c>
      <c r="F912">
        <v>2</v>
      </c>
      <c r="G912">
        <v>1</v>
      </c>
      <c r="H912">
        <f t="shared" si="251"/>
        <v>902</v>
      </c>
      <c r="I912" s="1" t="s">
        <v>843</v>
      </c>
    </row>
    <row r="913" spans="1:9" ht="16" customHeight="1" x14ac:dyDescent="0.2">
      <c r="A913">
        <f t="shared" si="252"/>
        <v>911</v>
      </c>
      <c r="B913" s="1" t="s">
        <v>852</v>
      </c>
      <c r="C913">
        <v>5</v>
      </c>
      <c r="D913">
        <v>0</v>
      </c>
      <c r="E913">
        <v>5</v>
      </c>
      <c r="F913">
        <v>2</v>
      </c>
      <c r="G913">
        <v>1</v>
      </c>
      <c r="H913">
        <f t="shared" si="251"/>
        <v>65535</v>
      </c>
    </row>
    <row r="914" spans="1:9" ht="16" customHeight="1" x14ac:dyDescent="0.2">
      <c r="A914">
        <f t="shared" si="252"/>
        <v>912</v>
      </c>
      <c r="B914" s="1" t="s">
        <v>853</v>
      </c>
      <c r="C914">
        <v>4</v>
      </c>
      <c r="D914">
        <v>0</v>
      </c>
      <c r="E914">
        <v>5</v>
      </c>
      <c r="F914">
        <v>2</v>
      </c>
      <c r="G914">
        <v>1</v>
      </c>
      <c r="H914">
        <f t="shared" si="251"/>
        <v>65535</v>
      </c>
    </row>
    <row r="915" spans="1:9" ht="16" customHeight="1" x14ac:dyDescent="0.2">
      <c r="A915">
        <f t="shared" si="252"/>
        <v>913</v>
      </c>
      <c r="B915" s="1" t="s">
        <v>854</v>
      </c>
      <c r="C915">
        <v>5</v>
      </c>
      <c r="D915">
        <v>0</v>
      </c>
      <c r="E915">
        <v>-5</v>
      </c>
      <c r="F915">
        <v>-2</v>
      </c>
      <c r="G915">
        <v>-1</v>
      </c>
      <c r="H915">
        <f t="shared" si="251"/>
        <v>65535</v>
      </c>
    </row>
    <row r="916" spans="1:9" ht="16" customHeight="1" x14ac:dyDescent="0.2">
      <c r="A916">
        <f t="shared" si="252"/>
        <v>914</v>
      </c>
      <c r="B916" s="1" t="s">
        <v>855</v>
      </c>
      <c r="C916">
        <v>4</v>
      </c>
      <c r="D916">
        <v>0</v>
      </c>
      <c r="E916">
        <v>-5</v>
      </c>
      <c r="F916">
        <v>-2</v>
      </c>
      <c r="G916">
        <v>-1</v>
      </c>
      <c r="H916">
        <f t="shared" si="251"/>
        <v>902</v>
      </c>
      <c r="I916" s="1" t="s">
        <v>843</v>
      </c>
    </row>
    <row r="917" spans="1:9" ht="16" customHeight="1" x14ac:dyDescent="0.2">
      <c r="A917">
        <f t="shared" si="252"/>
        <v>915</v>
      </c>
      <c r="B917" s="1" t="s">
        <v>856</v>
      </c>
      <c r="C917">
        <v>5</v>
      </c>
      <c r="D917">
        <v>0</v>
      </c>
      <c r="E917">
        <v>-5</v>
      </c>
      <c r="F917">
        <v>-2</v>
      </c>
      <c r="G917">
        <v>-1</v>
      </c>
      <c r="H917">
        <f t="shared" si="251"/>
        <v>65535</v>
      </c>
    </row>
    <row r="918" spans="1:9" ht="16" customHeight="1" x14ac:dyDescent="0.2">
      <c r="A918">
        <f t="shared" si="252"/>
        <v>916</v>
      </c>
      <c r="B918" s="1" t="s">
        <v>857</v>
      </c>
      <c r="C918">
        <v>4</v>
      </c>
      <c r="D918">
        <v>0</v>
      </c>
      <c r="E918">
        <v>-5</v>
      </c>
      <c r="F918">
        <v>-2</v>
      </c>
      <c r="G918">
        <v>-1</v>
      </c>
      <c r="H918">
        <f t="shared" si="251"/>
        <v>65535</v>
      </c>
    </row>
    <row r="919" spans="1:9" ht="16" customHeight="1" x14ac:dyDescent="0.2">
      <c r="A919">
        <f t="shared" si="252"/>
        <v>917</v>
      </c>
      <c r="B919" s="1" t="s">
        <v>858</v>
      </c>
      <c r="C919">
        <v>5</v>
      </c>
      <c r="D919">
        <v>0</v>
      </c>
      <c r="E919">
        <v>0</v>
      </c>
      <c r="F919">
        <v>0</v>
      </c>
      <c r="G919">
        <v>0</v>
      </c>
      <c r="H919">
        <f t="shared" si="251"/>
        <v>65535</v>
      </c>
    </row>
    <row r="920" spans="1:9" ht="16" customHeight="1" x14ac:dyDescent="0.2">
      <c r="A920">
        <f t="shared" si="252"/>
        <v>918</v>
      </c>
      <c r="B920" s="1" t="s">
        <v>859</v>
      </c>
      <c r="C920">
        <v>4</v>
      </c>
      <c r="D920">
        <v>3</v>
      </c>
      <c r="E920">
        <v>0</v>
      </c>
      <c r="F920">
        <v>0</v>
      </c>
      <c r="G920">
        <v>0</v>
      </c>
      <c r="H920">
        <f t="shared" si="251"/>
        <v>65535</v>
      </c>
    </row>
    <row r="921" spans="1:9" ht="16" customHeight="1" x14ac:dyDescent="0.2">
      <c r="A921">
        <f t="shared" si="252"/>
        <v>919</v>
      </c>
      <c r="B921" s="1" t="s">
        <v>860</v>
      </c>
      <c r="C921">
        <v>4</v>
      </c>
      <c r="D921">
        <v>2</v>
      </c>
      <c r="E921">
        <v>0</v>
      </c>
      <c r="F921">
        <v>0</v>
      </c>
      <c r="G921">
        <v>0</v>
      </c>
      <c r="H921">
        <f t="shared" si="251"/>
        <v>65535</v>
      </c>
    </row>
    <row r="922" spans="1:9" ht="16" customHeight="1" x14ac:dyDescent="0.2">
      <c r="A922">
        <f t="shared" si="252"/>
        <v>920</v>
      </c>
      <c r="B922" s="1" t="s">
        <v>861</v>
      </c>
      <c r="C922">
        <v>4</v>
      </c>
      <c r="D922">
        <v>1</v>
      </c>
      <c r="E922">
        <v>0</v>
      </c>
      <c r="F922">
        <v>0</v>
      </c>
      <c r="G922">
        <v>0</v>
      </c>
      <c r="H922">
        <f t="shared" si="251"/>
        <v>65535</v>
      </c>
    </row>
    <row r="923" spans="1:9" ht="16" customHeight="1" x14ac:dyDescent="0.2">
      <c r="A923">
        <f t="shared" si="252"/>
        <v>921</v>
      </c>
      <c r="B923" s="1" t="s">
        <v>862</v>
      </c>
      <c r="C923">
        <v>4</v>
      </c>
      <c r="D923">
        <v>-1</v>
      </c>
      <c r="E923">
        <v>0</v>
      </c>
      <c r="F923">
        <v>0</v>
      </c>
      <c r="G923">
        <v>0</v>
      </c>
      <c r="H923">
        <f t="shared" si="251"/>
        <v>65535</v>
      </c>
    </row>
    <row r="924" spans="1:9" ht="16" customHeight="1" x14ac:dyDescent="0.2">
      <c r="A924">
        <f t="shared" si="252"/>
        <v>922</v>
      </c>
      <c r="B924" s="1" t="s">
        <v>863</v>
      </c>
      <c r="C924">
        <v>5</v>
      </c>
      <c r="D924">
        <v>-2</v>
      </c>
      <c r="E924">
        <v>0</v>
      </c>
      <c r="F924">
        <v>0</v>
      </c>
      <c r="G924">
        <v>0</v>
      </c>
      <c r="H924">
        <f t="shared" si="251"/>
        <v>65535</v>
      </c>
    </row>
    <row r="925" spans="1:9" ht="16" customHeight="1" x14ac:dyDescent="0.2">
      <c r="A925">
        <f t="shared" si="252"/>
        <v>923</v>
      </c>
      <c r="B925" s="1" t="s">
        <v>864</v>
      </c>
      <c r="C925">
        <v>4</v>
      </c>
      <c r="D925">
        <v>-3</v>
      </c>
      <c r="E925">
        <v>0</v>
      </c>
      <c r="F925">
        <v>0</v>
      </c>
      <c r="G925">
        <v>0</v>
      </c>
      <c r="H925">
        <f t="shared" si="251"/>
        <v>902</v>
      </c>
      <c r="I925" s="1" t="s">
        <v>843</v>
      </c>
    </row>
    <row r="926" spans="1:9" ht="38" customHeight="1" x14ac:dyDescent="0.2">
      <c r="A926">
        <f t="shared" si="252"/>
        <v>924</v>
      </c>
      <c r="B926" s="1" t="s">
        <v>711</v>
      </c>
      <c r="C926">
        <v>8</v>
      </c>
      <c r="D926">
        <v>0</v>
      </c>
      <c r="E926">
        <v>0</v>
      </c>
      <c r="F926">
        <v>0</v>
      </c>
      <c r="G926">
        <v>0</v>
      </c>
      <c r="H926">
        <f t="shared" si="251"/>
        <v>65535</v>
      </c>
    </row>
    <row r="927" spans="1:9" ht="16" customHeight="1" x14ac:dyDescent="0.2">
      <c r="A927">
        <f t="shared" si="252"/>
        <v>925</v>
      </c>
      <c r="B927" s="1" t="s">
        <v>712</v>
      </c>
      <c r="C927">
        <v>9</v>
      </c>
      <c r="D927">
        <v>0</v>
      </c>
      <c r="E927">
        <v>0</v>
      </c>
      <c r="F927">
        <v>0</v>
      </c>
      <c r="G927">
        <v>0</v>
      </c>
      <c r="H927">
        <f t="shared" si="251"/>
        <v>65535</v>
      </c>
    </row>
    <row r="928" spans="1:9" ht="16" customHeight="1" x14ac:dyDescent="0.2">
      <c r="A928">
        <f t="shared" si="252"/>
        <v>926</v>
      </c>
      <c r="B928" s="1" t="s">
        <v>713</v>
      </c>
      <c r="C928">
        <v>10</v>
      </c>
      <c r="D928">
        <v>0</v>
      </c>
      <c r="E928">
        <v>0</v>
      </c>
      <c r="F928">
        <v>0</v>
      </c>
      <c r="G928">
        <v>0</v>
      </c>
      <c r="H928">
        <f t="shared" si="251"/>
        <v>65535</v>
      </c>
    </row>
    <row r="929" spans="1:8" ht="16" customHeight="1" x14ac:dyDescent="0.2">
      <c r="A929">
        <f t="shared" si="252"/>
        <v>927</v>
      </c>
      <c r="B929" s="1" t="s">
        <v>714</v>
      </c>
      <c r="C929">
        <v>11</v>
      </c>
      <c r="D929">
        <v>0</v>
      </c>
      <c r="E929">
        <v>0</v>
      </c>
      <c r="F929">
        <v>0</v>
      </c>
      <c r="G929">
        <v>0</v>
      </c>
      <c r="H929">
        <f t="shared" si="251"/>
        <v>65535</v>
      </c>
    </row>
    <row r="930" spans="1:8" ht="16" customHeight="1" x14ac:dyDescent="0.2">
      <c r="A930">
        <f t="shared" si="252"/>
        <v>928</v>
      </c>
      <c r="B930" s="1" t="s">
        <v>715</v>
      </c>
      <c r="C930">
        <v>24</v>
      </c>
      <c r="D930">
        <v>0</v>
      </c>
      <c r="E930">
        <v>0</v>
      </c>
      <c r="F930">
        <v>0</v>
      </c>
      <c r="G930">
        <v>0</v>
      </c>
      <c r="H930">
        <f t="shared" si="251"/>
        <v>65535</v>
      </c>
    </row>
    <row r="931" spans="1:8" ht="16" customHeight="1" x14ac:dyDescent="0.2">
      <c r="A931">
        <f t="shared" si="252"/>
        <v>929</v>
      </c>
      <c r="B931" s="1" t="s">
        <v>716</v>
      </c>
      <c r="C931">
        <v>25</v>
      </c>
      <c r="D931">
        <v>0</v>
      </c>
      <c r="E931">
        <v>0</v>
      </c>
      <c r="F931">
        <v>0</v>
      </c>
      <c r="G931">
        <v>0</v>
      </c>
      <c r="H931">
        <f t="shared" si="251"/>
        <v>65535</v>
      </c>
    </row>
    <row r="932" spans="1:8" ht="16" customHeight="1" x14ac:dyDescent="0.2">
      <c r="A932">
        <f t="shared" si="252"/>
        <v>930</v>
      </c>
      <c r="B932" s="1" t="s">
        <v>717</v>
      </c>
      <c r="C932">
        <v>26</v>
      </c>
      <c r="D932">
        <v>0</v>
      </c>
      <c r="E932">
        <v>0</v>
      </c>
      <c r="F932">
        <v>0</v>
      </c>
      <c r="G932">
        <v>0</v>
      </c>
      <c r="H932">
        <f t="shared" si="251"/>
        <v>65535</v>
      </c>
    </row>
    <row r="933" spans="1:8" ht="16" customHeight="1" x14ac:dyDescent="0.2">
      <c r="A933">
        <f t="shared" si="252"/>
        <v>931</v>
      </c>
      <c r="B933" s="1" t="s">
        <v>718</v>
      </c>
      <c r="C933">
        <v>27</v>
      </c>
      <c r="D933">
        <v>0</v>
      </c>
      <c r="E933">
        <v>0</v>
      </c>
      <c r="F933">
        <v>0</v>
      </c>
      <c r="G933">
        <v>0</v>
      </c>
      <c r="H933">
        <f t="shared" si="251"/>
        <v>65535</v>
      </c>
    </row>
    <row r="934" spans="1:8" ht="16" customHeight="1" x14ac:dyDescent="0.2">
      <c r="A934">
        <f t="shared" si="252"/>
        <v>932</v>
      </c>
      <c r="B934" s="1" t="s">
        <v>719</v>
      </c>
      <c r="C934">
        <v>23</v>
      </c>
      <c r="D934">
        <v>0</v>
      </c>
      <c r="E934">
        <v>0</v>
      </c>
      <c r="F934">
        <v>0</v>
      </c>
      <c r="G934">
        <v>0</v>
      </c>
      <c r="H934">
        <f t="shared" si="251"/>
        <v>65535</v>
      </c>
    </row>
    <row r="935" spans="1:8" ht="16" customHeight="1" x14ac:dyDescent="0.2">
      <c r="A935">
        <f t="shared" si="252"/>
        <v>933</v>
      </c>
      <c r="B935" s="1" t="s">
        <v>720</v>
      </c>
      <c r="C935">
        <v>27</v>
      </c>
      <c r="D935">
        <v>0</v>
      </c>
      <c r="E935">
        <v>0</v>
      </c>
      <c r="F935">
        <v>0</v>
      </c>
      <c r="G935">
        <v>0</v>
      </c>
      <c r="H935">
        <f t="shared" si="251"/>
        <v>65535</v>
      </c>
    </row>
    <row r="936" spans="1:8" ht="16" customHeight="1" x14ac:dyDescent="0.2">
      <c r="A936">
        <f t="shared" si="252"/>
        <v>934</v>
      </c>
      <c r="B936" s="1" t="s">
        <v>721</v>
      </c>
      <c r="C936">
        <v>27</v>
      </c>
      <c r="D936">
        <v>0</v>
      </c>
      <c r="E936">
        <v>0</v>
      </c>
      <c r="F936">
        <v>0</v>
      </c>
      <c r="G936">
        <v>0</v>
      </c>
      <c r="H936">
        <f t="shared" si="251"/>
        <v>65535</v>
      </c>
    </row>
    <row r="937" spans="1:8" ht="16" customHeight="1" x14ac:dyDescent="0.2">
      <c r="A937">
        <f t="shared" si="252"/>
        <v>935</v>
      </c>
      <c r="B937" s="1" t="s">
        <v>722</v>
      </c>
      <c r="C937">
        <v>28</v>
      </c>
      <c r="D937">
        <v>0</v>
      </c>
      <c r="E937">
        <v>0</v>
      </c>
      <c r="F937">
        <v>0</v>
      </c>
      <c r="G937">
        <v>0</v>
      </c>
      <c r="H937">
        <f t="shared" si="251"/>
        <v>65535</v>
      </c>
    </row>
    <row r="938" spans="1:8" ht="16" customHeight="1" x14ac:dyDescent="0.2">
      <c r="A938">
        <f t="shared" si="252"/>
        <v>936</v>
      </c>
      <c r="B938" s="1" t="s">
        <v>723</v>
      </c>
      <c r="C938">
        <v>29</v>
      </c>
      <c r="D938">
        <v>0</v>
      </c>
      <c r="E938">
        <v>0</v>
      </c>
      <c r="F938">
        <v>0</v>
      </c>
      <c r="G938">
        <v>0</v>
      </c>
      <c r="H938">
        <f t="shared" si="251"/>
        <v>65535</v>
      </c>
    </row>
    <row r="939" spans="1:8" ht="16" customHeight="1" x14ac:dyDescent="0.2">
      <c r="A939">
        <f t="shared" si="252"/>
        <v>937</v>
      </c>
      <c r="B939" s="1" t="s">
        <v>724</v>
      </c>
      <c r="C939">
        <v>29</v>
      </c>
      <c r="D939">
        <v>0</v>
      </c>
      <c r="E939">
        <v>0</v>
      </c>
      <c r="F939">
        <v>0</v>
      </c>
      <c r="G939">
        <v>0</v>
      </c>
      <c r="H939">
        <f t="shared" si="251"/>
        <v>65535</v>
      </c>
    </row>
    <row r="940" spans="1:8" ht="16" customHeight="1" x14ac:dyDescent="0.2">
      <c r="A940">
        <f t="shared" si="252"/>
        <v>938</v>
      </c>
      <c r="B940" s="1" t="s">
        <v>725</v>
      </c>
      <c r="C940">
        <v>29</v>
      </c>
      <c r="D940">
        <v>0</v>
      </c>
      <c r="E940">
        <v>0</v>
      </c>
      <c r="F940">
        <v>0</v>
      </c>
      <c r="G940">
        <v>0</v>
      </c>
      <c r="H940">
        <f t="shared" si="251"/>
        <v>65535</v>
      </c>
    </row>
    <row r="941" spans="1:8" ht="16" customHeight="1" x14ac:dyDescent="0.2">
      <c r="A941">
        <f t="shared" si="252"/>
        <v>939</v>
      </c>
      <c r="B941" s="1" t="s">
        <v>726</v>
      </c>
      <c r="C941">
        <v>27</v>
      </c>
      <c r="D941">
        <v>0</v>
      </c>
      <c r="E941">
        <v>0</v>
      </c>
      <c r="F941">
        <v>0</v>
      </c>
      <c r="G941">
        <v>0</v>
      </c>
      <c r="H941">
        <f t="shared" si="251"/>
        <v>65535</v>
      </c>
    </row>
    <row r="942" spans="1:8" ht="16" customHeight="1" x14ac:dyDescent="0.2">
      <c r="A942">
        <f t="shared" si="252"/>
        <v>940</v>
      </c>
      <c r="B942" s="1" t="s">
        <v>732</v>
      </c>
      <c r="C942">
        <v>27</v>
      </c>
      <c r="D942">
        <v>0</v>
      </c>
      <c r="E942">
        <v>0</v>
      </c>
      <c r="F942">
        <v>0</v>
      </c>
      <c r="G942">
        <v>0</v>
      </c>
      <c r="H942">
        <f t="shared" si="251"/>
        <v>65535</v>
      </c>
    </row>
    <row r="943" spans="1:8" ht="16" customHeight="1" x14ac:dyDescent="0.2">
      <c r="A943">
        <f t="shared" si="252"/>
        <v>941</v>
      </c>
      <c r="B943" s="1" t="s">
        <v>733</v>
      </c>
      <c r="C943">
        <v>27</v>
      </c>
      <c r="D943">
        <v>0</v>
      </c>
      <c r="E943">
        <v>0</v>
      </c>
      <c r="F943">
        <v>0</v>
      </c>
      <c r="G943">
        <v>0</v>
      </c>
      <c r="H943">
        <f t="shared" si="251"/>
        <v>65535</v>
      </c>
    </row>
    <row r="944" spans="1:8" ht="16" customHeight="1" x14ac:dyDescent="0.2">
      <c r="A944">
        <f t="shared" si="252"/>
        <v>942</v>
      </c>
      <c r="B944" s="1" t="s">
        <v>734</v>
      </c>
      <c r="C944">
        <v>27</v>
      </c>
      <c r="D944">
        <v>0</v>
      </c>
      <c r="E944">
        <v>0</v>
      </c>
      <c r="F944">
        <v>0</v>
      </c>
      <c r="G944">
        <v>0</v>
      </c>
      <c r="H944">
        <f t="shared" si="251"/>
        <v>65535</v>
      </c>
    </row>
    <row r="945" spans="1:8" ht="16" customHeight="1" x14ac:dyDescent="0.2">
      <c r="A945">
        <f t="shared" si="252"/>
        <v>943</v>
      </c>
      <c r="B945" s="1" t="s">
        <v>735</v>
      </c>
      <c r="C945">
        <v>27</v>
      </c>
      <c r="D945">
        <v>0</v>
      </c>
      <c r="E945">
        <v>0</v>
      </c>
      <c r="F945">
        <v>0</v>
      </c>
      <c r="G945">
        <v>0</v>
      </c>
      <c r="H945">
        <f t="shared" si="251"/>
        <v>65535</v>
      </c>
    </row>
    <row r="946" spans="1:8" ht="16" customHeight="1" x14ac:dyDescent="0.2">
      <c r="A946">
        <f t="shared" si="252"/>
        <v>944</v>
      </c>
      <c r="B946" s="1" t="s">
        <v>736</v>
      </c>
      <c r="C946">
        <v>23</v>
      </c>
      <c r="D946">
        <v>0</v>
      </c>
      <c r="E946">
        <v>0</v>
      </c>
      <c r="F946">
        <v>0</v>
      </c>
      <c r="G946">
        <v>0</v>
      </c>
      <c r="H946">
        <f t="shared" si="251"/>
        <v>65535</v>
      </c>
    </row>
    <row r="947" spans="1:8" ht="16" customHeight="1" x14ac:dyDescent="0.2">
      <c r="A947">
        <f t="shared" si="252"/>
        <v>945</v>
      </c>
      <c r="B947" s="1" t="s">
        <v>783</v>
      </c>
      <c r="C947">
        <v>9</v>
      </c>
      <c r="D947">
        <v>0</v>
      </c>
      <c r="E947">
        <v>0</v>
      </c>
      <c r="F947">
        <v>0</v>
      </c>
      <c r="G947">
        <v>0</v>
      </c>
      <c r="H947">
        <f t="shared" si="251"/>
        <v>65535</v>
      </c>
    </row>
    <row r="948" spans="1:8" ht="16" customHeight="1" x14ac:dyDescent="0.2">
      <c r="A948">
        <f t="shared" si="252"/>
        <v>946</v>
      </c>
      <c r="B948" s="1" t="s">
        <v>784</v>
      </c>
      <c r="C948">
        <v>8</v>
      </c>
      <c r="D948">
        <v>0</v>
      </c>
      <c r="E948">
        <v>0</v>
      </c>
      <c r="F948">
        <v>0</v>
      </c>
      <c r="G948">
        <v>0</v>
      </c>
      <c r="H948">
        <f t="shared" si="251"/>
        <v>65535</v>
      </c>
    </row>
    <row r="949" spans="1:8" ht="16" customHeight="1" x14ac:dyDescent="0.2">
      <c r="A949">
        <f t="shared" si="252"/>
        <v>947</v>
      </c>
      <c r="B949" s="1" t="s">
        <v>785</v>
      </c>
      <c r="C949">
        <v>8</v>
      </c>
      <c r="D949">
        <v>0</v>
      </c>
      <c r="E949">
        <v>0</v>
      </c>
      <c r="F949">
        <v>0</v>
      </c>
      <c r="G949">
        <v>0</v>
      </c>
      <c r="H949">
        <f t="shared" si="251"/>
        <v>65535</v>
      </c>
    </row>
    <row r="950" spans="1:8" ht="16" customHeight="1" x14ac:dyDescent="0.2">
      <c r="A950">
        <f t="shared" si="252"/>
        <v>948</v>
      </c>
      <c r="B950" s="1" t="s">
        <v>786</v>
      </c>
      <c r="C950">
        <v>8</v>
      </c>
      <c r="D950">
        <v>0</v>
      </c>
      <c r="E950">
        <v>0</v>
      </c>
      <c r="F950">
        <v>0</v>
      </c>
      <c r="G950">
        <v>0</v>
      </c>
      <c r="H950">
        <f t="shared" si="251"/>
        <v>65535</v>
      </c>
    </row>
    <row r="951" spans="1:8" ht="16" customHeight="1" x14ac:dyDescent="0.2">
      <c r="A951">
        <f t="shared" si="252"/>
        <v>949</v>
      </c>
      <c r="B951" s="1" t="s">
        <v>787</v>
      </c>
      <c r="C951">
        <v>8</v>
      </c>
      <c r="D951">
        <v>0</v>
      </c>
      <c r="E951">
        <v>0</v>
      </c>
      <c r="F951">
        <v>0</v>
      </c>
      <c r="G951">
        <v>0</v>
      </c>
      <c r="H951">
        <f t="shared" si="251"/>
        <v>65535</v>
      </c>
    </row>
    <row r="952" spans="1:8" ht="16" customHeight="1" x14ac:dyDescent="0.2">
      <c r="A952">
        <f t="shared" si="252"/>
        <v>950</v>
      </c>
      <c r="B952" s="1" t="s">
        <v>788</v>
      </c>
      <c r="C952">
        <v>9</v>
      </c>
      <c r="D952">
        <v>0</v>
      </c>
      <c r="E952">
        <v>0</v>
      </c>
      <c r="F952">
        <v>0</v>
      </c>
      <c r="G952">
        <v>0</v>
      </c>
      <c r="H952">
        <f t="shared" si="251"/>
        <v>65535</v>
      </c>
    </row>
    <row r="953" spans="1:8" ht="16" customHeight="1" x14ac:dyDescent="0.2">
      <c r="A953">
        <f t="shared" si="252"/>
        <v>951</v>
      </c>
      <c r="B953" s="1" t="s">
        <v>789</v>
      </c>
      <c r="C953">
        <v>9</v>
      </c>
      <c r="D953">
        <v>0</v>
      </c>
      <c r="E953">
        <v>0</v>
      </c>
      <c r="F953">
        <v>0</v>
      </c>
      <c r="G953">
        <v>0</v>
      </c>
      <c r="H953">
        <f t="shared" si="251"/>
        <v>65535</v>
      </c>
    </row>
    <row r="954" spans="1:8" ht="16" customHeight="1" x14ac:dyDescent="0.2">
      <c r="A954">
        <f t="shared" si="252"/>
        <v>952</v>
      </c>
      <c r="B954" s="1" t="s">
        <v>790</v>
      </c>
      <c r="C954">
        <v>9</v>
      </c>
      <c r="D954">
        <v>0</v>
      </c>
      <c r="E954">
        <v>0</v>
      </c>
      <c r="F954">
        <v>0</v>
      </c>
      <c r="G954">
        <v>0</v>
      </c>
      <c r="H954">
        <f t="shared" si="251"/>
        <v>65535</v>
      </c>
    </row>
    <row r="955" spans="1:8" ht="16" customHeight="1" x14ac:dyDescent="0.2">
      <c r="A955">
        <f t="shared" si="252"/>
        <v>953</v>
      </c>
      <c r="B955" s="1" t="s">
        <v>791</v>
      </c>
      <c r="C955">
        <v>9</v>
      </c>
      <c r="D955">
        <v>0</v>
      </c>
      <c r="E955">
        <v>0</v>
      </c>
      <c r="F955">
        <v>0</v>
      </c>
      <c r="G955">
        <v>0</v>
      </c>
      <c r="H955">
        <f t="shared" si="251"/>
        <v>65535</v>
      </c>
    </row>
    <row r="956" spans="1:8" ht="16" customHeight="1" x14ac:dyDescent="0.2">
      <c r="A956">
        <f t="shared" si="252"/>
        <v>954</v>
      </c>
      <c r="B956" s="1" t="s">
        <v>792</v>
      </c>
      <c r="C956">
        <v>9</v>
      </c>
      <c r="D956">
        <v>0</v>
      </c>
      <c r="E956">
        <v>0</v>
      </c>
      <c r="F956">
        <v>0</v>
      </c>
      <c r="G956">
        <v>0</v>
      </c>
      <c r="H956">
        <f t="shared" si="251"/>
        <v>65535</v>
      </c>
    </row>
    <row r="957" spans="1:8" ht="16" customHeight="1" x14ac:dyDescent="0.2">
      <c r="A957">
        <f t="shared" si="252"/>
        <v>955</v>
      </c>
      <c r="B957" s="1" t="s">
        <v>793</v>
      </c>
      <c r="C957">
        <v>9</v>
      </c>
      <c r="D957">
        <v>0</v>
      </c>
      <c r="E957">
        <v>0</v>
      </c>
      <c r="F957">
        <v>0</v>
      </c>
      <c r="G957">
        <v>0</v>
      </c>
      <c r="H957">
        <f t="shared" si="251"/>
        <v>65535</v>
      </c>
    </row>
    <row r="958" spans="1:8" ht="16" customHeight="1" x14ac:dyDescent="0.2">
      <c r="A958">
        <f t="shared" si="252"/>
        <v>956</v>
      </c>
      <c r="B958" s="1" t="s">
        <v>794</v>
      </c>
      <c r="C958">
        <v>9</v>
      </c>
      <c r="D958">
        <v>0</v>
      </c>
      <c r="E958">
        <v>0</v>
      </c>
      <c r="F958">
        <v>0</v>
      </c>
      <c r="G958">
        <v>0</v>
      </c>
      <c r="H958">
        <f t="shared" si="251"/>
        <v>65535</v>
      </c>
    </row>
    <row r="959" spans="1:8" ht="16" customHeight="1" x14ac:dyDescent="0.2">
      <c r="A959">
        <f t="shared" si="252"/>
        <v>957</v>
      </c>
      <c r="B959" s="1" t="s">
        <v>795</v>
      </c>
      <c r="C959">
        <v>9</v>
      </c>
      <c r="D959">
        <v>0</v>
      </c>
      <c r="E959">
        <v>0</v>
      </c>
      <c r="F959">
        <v>0</v>
      </c>
      <c r="G959">
        <v>0</v>
      </c>
      <c r="H959">
        <f t="shared" si="251"/>
        <v>65535</v>
      </c>
    </row>
    <row r="960" spans="1:8" ht="16" customHeight="1" x14ac:dyDescent="0.2">
      <c r="A960">
        <f t="shared" si="252"/>
        <v>958</v>
      </c>
      <c r="B960" s="1" t="s">
        <v>796</v>
      </c>
      <c r="C960">
        <v>9</v>
      </c>
      <c r="D960">
        <v>0</v>
      </c>
      <c r="E960">
        <v>0</v>
      </c>
      <c r="F960">
        <v>0</v>
      </c>
      <c r="G960">
        <v>0</v>
      </c>
      <c r="H960">
        <f t="shared" si="251"/>
        <v>65535</v>
      </c>
    </row>
    <row r="961" spans="1:9" ht="16" customHeight="1" x14ac:dyDescent="0.2">
      <c r="A961">
        <f t="shared" si="252"/>
        <v>959</v>
      </c>
      <c r="B961" s="1" t="s">
        <v>886</v>
      </c>
      <c r="C961">
        <v>12</v>
      </c>
      <c r="D961">
        <v>0</v>
      </c>
      <c r="E961">
        <v>0</v>
      </c>
      <c r="F961">
        <v>0</v>
      </c>
      <c r="G961">
        <v>0</v>
      </c>
      <c r="H961">
        <f t="shared" si="251"/>
        <v>65535</v>
      </c>
    </row>
    <row r="962" spans="1:9" ht="16" customHeight="1" x14ac:dyDescent="0.2">
      <c r="A962">
        <f t="shared" si="252"/>
        <v>960</v>
      </c>
      <c r="B962" s="1" t="s">
        <v>865</v>
      </c>
      <c r="C962">
        <v>13</v>
      </c>
      <c r="D962">
        <v>0</v>
      </c>
      <c r="E962">
        <v>0</v>
      </c>
      <c r="F962">
        <v>0</v>
      </c>
      <c r="G962">
        <v>0</v>
      </c>
      <c r="H962">
        <f t="shared" ref="H962:H1025" si="253">_xlfn.XLOOKUP(I962,$B$2:$B$982,$A$2:$A$982,65535)</f>
        <v>65535</v>
      </c>
    </row>
    <row r="963" spans="1:9" ht="16" customHeight="1" x14ac:dyDescent="0.2">
      <c r="A963">
        <f t="shared" si="252"/>
        <v>961</v>
      </c>
      <c r="B963" s="1" t="s">
        <v>866</v>
      </c>
      <c r="C963">
        <v>14</v>
      </c>
      <c r="D963">
        <v>0</v>
      </c>
      <c r="E963">
        <v>0</v>
      </c>
      <c r="F963">
        <v>0</v>
      </c>
      <c r="G963">
        <v>0</v>
      </c>
      <c r="H963">
        <f t="shared" si="253"/>
        <v>65535</v>
      </c>
    </row>
    <row r="964" spans="1:9" ht="16" customHeight="1" x14ac:dyDescent="0.2">
      <c r="A964">
        <f t="shared" ref="A964:A1027" si="254">A963+1</f>
        <v>962</v>
      </c>
      <c r="B964" s="1" t="s">
        <v>867</v>
      </c>
      <c r="C964">
        <v>15</v>
      </c>
      <c r="D964">
        <v>0</v>
      </c>
      <c r="E964">
        <v>0</v>
      </c>
      <c r="F964">
        <v>0</v>
      </c>
      <c r="G964">
        <v>0</v>
      </c>
      <c r="H964">
        <f t="shared" si="253"/>
        <v>65535</v>
      </c>
    </row>
    <row r="965" spans="1:9" ht="16" customHeight="1" x14ac:dyDescent="0.2">
      <c r="A965">
        <f t="shared" si="254"/>
        <v>963</v>
      </c>
      <c r="B965" s="1" t="s">
        <v>868</v>
      </c>
      <c r="C965">
        <v>14</v>
      </c>
      <c r="D965">
        <v>0</v>
      </c>
      <c r="E965">
        <v>0</v>
      </c>
      <c r="F965">
        <v>0</v>
      </c>
      <c r="G965">
        <v>0</v>
      </c>
      <c r="H965">
        <f t="shared" si="253"/>
        <v>65535</v>
      </c>
    </row>
    <row r="966" spans="1:9" ht="16" customHeight="1" x14ac:dyDescent="0.2">
      <c r="A966">
        <f t="shared" si="254"/>
        <v>964</v>
      </c>
      <c r="B966" s="1" t="s">
        <v>869</v>
      </c>
      <c r="C966">
        <v>13</v>
      </c>
      <c r="D966">
        <v>0</v>
      </c>
      <c r="E966">
        <v>0</v>
      </c>
      <c r="F966">
        <v>0</v>
      </c>
      <c r="G966">
        <v>0</v>
      </c>
      <c r="H966">
        <f t="shared" si="253"/>
        <v>65535</v>
      </c>
    </row>
    <row r="967" spans="1:9" ht="16" customHeight="1" x14ac:dyDescent="0.2">
      <c r="A967">
        <f t="shared" si="254"/>
        <v>965</v>
      </c>
      <c r="B967" s="1" t="s">
        <v>870</v>
      </c>
      <c r="C967">
        <v>12</v>
      </c>
      <c r="D967">
        <v>0</v>
      </c>
      <c r="E967">
        <v>0</v>
      </c>
      <c r="F967">
        <v>0</v>
      </c>
      <c r="G967">
        <v>0</v>
      </c>
      <c r="H967">
        <f t="shared" si="253"/>
        <v>959</v>
      </c>
      <c r="I967" s="1" t="s">
        <v>886</v>
      </c>
    </row>
    <row r="968" spans="1:9" ht="16" customHeight="1" x14ac:dyDescent="0.2">
      <c r="A968">
        <f t="shared" si="254"/>
        <v>966</v>
      </c>
      <c r="B968" s="1" t="s">
        <v>871</v>
      </c>
      <c r="C968">
        <v>13</v>
      </c>
      <c r="D968">
        <v>0</v>
      </c>
      <c r="E968">
        <v>-5</v>
      </c>
      <c r="F968">
        <v>-2</v>
      </c>
      <c r="G968">
        <v>-1</v>
      </c>
      <c r="H968">
        <f t="shared" si="253"/>
        <v>65535</v>
      </c>
    </row>
    <row r="969" spans="1:9" ht="16" customHeight="1" x14ac:dyDescent="0.2">
      <c r="A969">
        <f t="shared" si="254"/>
        <v>967</v>
      </c>
      <c r="B969" s="1" t="s">
        <v>872</v>
      </c>
      <c r="C969">
        <v>12</v>
      </c>
      <c r="D969">
        <v>0</v>
      </c>
      <c r="E969">
        <v>-5</v>
      </c>
      <c r="F969">
        <v>-2</v>
      </c>
      <c r="G969">
        <v>-1</v>
      </c>
      <c r="H969">
        <f t="shared" si="253"/>
        <v>959</v>
      </c>
      <c r="I969" s="1" t="s">
        <v>886</v>
      </c>
    </row>
    <row r="970" spans="1:9" ht="16" customHeight="1" x14ac:dyDescent="0.2">
      <c r="A970">
        <f t="shared" si="254"/>
        <v>968</v>
      </c>
      <c r="B970" s="1" t="s">
        <v>873</v>
      </c>
      <c r="C970">
        <v>13</v>
      </c>
      <c r="D970">
        <v>0</v>
      </c>
      <c r="E970">
        <v>-5</v>
      </c>
      <c r="F970">
        <v>-2</v>
      </c>
      <c r="G970">
        <v>-1</v>
      </c>
      <c r="H970">
        <f t="shared" si="253"/>
        <v>65535</v>
      </c>
    </row>
    <row r="971" spans="1:9" ht="16" customHeight="1" x14ac:dyDescent="0.2">
      <c r="A971">
        <f t="shared" si="254"/>
        <v>969</v>
      </c>
      <c r="B971" s="1" t="s">
        <v>874</v>
      </c>
      <c r="C971">
        <v>12</v>
      </c>
      <c r="D971">
        <v>0</v>
      </c>
      <c r="E971">
        <v>-5</v>
      </c>
      <c r="F971">
        <v>-2</v>
      </c>
      <c r="G971">
        <v>-1</v>
      </c>
      <c r="H971">
        <f t="shared" si="253"/>
        <v>65535</v>
      </c>
    </row>
    <row r="972" spans="1:9" ht="16" customHeight="1" x14ac:dyDescent="0.2">
      <c r="A972">
        <f t="shared" si="254"/>
        <v>970</v>
      </c>
      <c r="B972" s="1" t="s">
        <v>875</v>
      </c>
      <c r="C972">
        <v>13</v>
      </c>
      <c r="D972">
        <v>0</v>
      </c>
      <c r="E972">
        <v>5</v>
      </c>
      <c r="F972">
        <v>2</v>
      </c>
      <c r="G972">
        <v>1</v>
      </c>
      <c r="H972">
        <f t="shared" si="253"/>
        <v>65535</v>
      </c>
    </row>
    <row r="973" spans="1:9" ht="16" customHeight="1" x14ac:dyDescent="0.2">
      <c r="A973">
        <f t="shared" si="254"/>
        <v>971</v>
      </c>
      <c r="B973" s="1" t="s">
        <v>876</v>
      </c>
      <c r="C973">
        <v>12</v>
      </c>
      <c r="D973">
        <v>0</v>
      </c>
      <c r="E973">
        <v>5</v>
      </c>
      <c r="F973">
        <v>2</v>
      </c>
      <c r="G973">
        <v>1</v>
      </c>
      <c r="H973">
        <f t="shared" si="253"/>
        <v>959</v>
      </c>
      <c r="I973" s="1" t="s">
        <v>886</v>
      </c>
    </row>
    <row r="974" spans="1:9" ht="16" customHeight="1" x14ac:dyDescent="0.2">
      <c r="A974">
        <f t="shared" si="254"/>
        <v>972</v>
      </c>
      <c r="B974" s="1" t="s">
        <v>877</v>
      </c>
      <c r="C974">
        <v>13</v>
      </c>
      <c r="D974">
        <v>0</v>
      </c>
      <c r="E974">
        <v>5</v>
      </c>
      <c r="F974">
        <v>2</v>
      </c>
      <c r="G974">
        <v>1</v>
      </c>
      <c r="H974">
        <f t="shared" si="253"/>
        <v>65535</v>
      </c>
    </row>
    <row r="975" spans="1:9" ht="16" customHeight="1" x14ac:dyDescent="0.2">
      <c r="A975">
        <f t="shared" si="254"/>
        <v>973</v>
      </c>
      <c r="B975" s="1" t="s">
        <v>878</v>
      </c>
      <c r="C975">
        <v>12</v>
      </c>
      <c r="D975">
        <v>0</v>
      </c>
      <c r="E975">
        <v>5</v>
      </c>
      <c r="F975">
        <v>2</v>
      </c>
      <c r="G975">
        <v>-1</v>
      </c>
      <c r="H975">
        <f t="shared" si="253"/>
        <v>65535</v>
      </c>
    </row>
    <row r="976" spans="1:9" ht="16" customHeight="1" x14ac:dyDescent="0.2">
      <c r="A976">
        <f t="shared" si="254"/>
        <v>974</v>
      </c>
      <c r="B976" s="1" t="s">
        <v>879</v>
      </c>
      <c r="C976">
        <v>13</v>
      </c>
      <c r="D976">
        <v>0</v>
      </c>
      <c r="E976">
        <v>0</v>
      </c>
      <c r="F976">
        <v>0</v>
      </c>
      <c r="G976">
        <v>0</v>
      </c>
      <c r="H976">
        <f t="shared" si="253"/>
        <v>65535</v>
      </c>
    </row>
    <row r="977" spans="1:9" ht="16" customHeight="1" x14ac:dyDescent="0.2">
      <c r="A977">
        <f t="shared" si="254"/>
        <v>975</v>
      </c>
      <c r="B977" s="1" t="s">
        <v>880</v>
      </c>
      <c r="C977">
        <v>12</v>
      </c>
      <c r="D977">
        <v>3</v>
      </c>
      <c r="E977">
        <v>0</v>
      </c>
      <c r="F977">
        <v>0</v>
      </c>
      <c r="G977">
        <v>0</v>
      </c>
      <c r="H977">
        <f t="shared" si="253"/>
        <v>65535</v>
      </c>
    </row>
    <row r="978" spans="1:9" ht="16" customHeight="1" x14ac:dyDescent="0.2">
      <c r="A978">
        <f t="shared" si="254"/>
        <v>976</v>
      </c>
      <c r="B978" s="1" t="s">
        <v>881</v>
      </c>
      <c r="C978">
        <v>12</v>
      </c>
      <c r="D978">
        <v>2</v>
      </c>
      <c r="E978">
        <v>0</v>
      </c>
      <c r="F978">
        <v>0</v>
      </c>
      <c r="G978">
        <v>0</v>
      </c>
      <c r="H978">
        <f t="shared" si="253"/>
        <v>65535</v>
      </c>
    </row>
    <row r="979" spans="1:9" ht="16" customHeight="1" x14ac:dyDescent="0.2">
      <c r="A979">
        <f t="shared" si="254"/>
        <v>977</v>
      </c>
      <c r="B979" s="1" t="s">
        <v>882</v>
      </c>
      <c r="C979">
        <v>12</v>
      </c>
      <c r="D979">
        <v>1</v>
      </c>
      <c r="E979">
        <v>0</v>
      </c>
      <c r="F979">
        <v>0</v>
      </c>
      <c r="G979">
        <v>0</v>
      </c>
      <c r="H979">
        <f t="shared" si="253"/>
        <v>65535</v>
      </c>
    </row>
    <row r="980" spans="1:9" ht="16" customHeight="1" x14ac:dyDescent="0.2">
      <c r="A980">
        <f t="shared" si="254"/>
        <v>978</v>
      </c>
      <c r="B980" s="1" t="s">
        <v>883</v>
      </c>
      <c r="C980">
        <v>12</v>
      </c>
      <c r="D980">
        <v>-1</v>
      </c>
      <c r="E980">
        <v>0</v>
      </c>
      <c r="F980">
        <v>0</v>
      </c>
      <c r="G980">
        <v>0</v>
      </c>
      <c r="H980">
        <f t="shared" si="253"/>
        <v>65535</v>
      </c>
    </row>
    <row r="981" spans="1:9" ht="16" customHeight="1" x14ac:dyDescent="0.2">
      <c r="A981">
        <f t="shared" si="254"/>
        <v>979</v>
      </c>
      <c r="B981" s="1" t="s">
        <v>884</v>
      </c>
      <c r="C981">
        <v>13</v>
      </c>
      <c r="D981">
        <v>-2</v>
      </c>
      <c r="E981">
        <v>0</v>
      </c>
      <c r="F981">
        <v>0</v>
      </c>
      <c r="G981">
        <v>0</v>
      </c>
      <c r="H981">
        <f t="shared" si="253"/>
        <v>65535</v>
      </c>
    </row>
    <row r="982" spans="1:9" ht="16" customHeight="1" x14ac:dyDescent="0.2">
      <c r="A982">
        <f t="shared" si="254"/>
        <v>980</v>
      </c>
      <c r="B982" s="1" t="s">
        <v>885</v>
      </c>
      <c r="C982">
        <v>12</v>
      </c>
      <c r="D982">
        <v>-3</v>
      </c>
      <c r="E982">
        <v>0</v>
      </c>
      <c r="F982">
        <v>0</v>
      </c>
      <c r="G982">
        <v>0</v>
      </c>
      <c r="H982">
        <f t="shared" si="253"/>
        <v>959</v>
      </c>
      <c r="I982" s="1" t="s">
        <v>886</v>
      </c>
    </row>
    <row r="983" spans="1:9" ht="16" customHeight="1" x14ac:dyDescent="0.2">
      <c r="A983">
        <f t="shared" si="254"/>
        <v>981</v>
      </c>
      <c r="B983" s="1" t="s">
        <v>917</v>
      </c>
      <c r="C983">
        <v>80</v>
      </c>
      <c r="D983">
        <v>0</v>
      </c>
      <c r="E983">
        <v>0</v>
      </c>
      <c r="F983">
        <v>0</v>
      </c>
      <c r="G983">
        <v>0</v>
      </c>
      <c r="H983">
        <f t="shared" si="253"/>
        <v>65535</v>
      </c>
      <c r="I983" s="1"/>
    </row>
    <row r="984" spans="1:9" ht="16" customHeight="1" x14ac:dyDescent="0.2">
      <c r="A984">
        <f t="shared" si="254"/>
        <v>982</v>
      </c>
      <c r="B984" s="1" t="s">
        <v>918</v>
      </c>
      <c r="C984">
        <f>C983+1</f>
        <v>81</v>
      </c>
      <c r="D984">
        <v>0</v>
      </c>
      <c r="E984">
        <v>0</v>
      </c>
      <c r="F984">
        <v>0</v>
      </c>
      <c r="G984">
        <v>0</v>
      </c>
      <c r="H984">
        <f t="shared" si="253"/>
        <v>65535</v>
      </c>
      <c r="I984" s="1"/>
    </row>
    <row r="985" spans="1:9" ht="16" customHeight="1" x14ac:dyDescent="0.2">
      <c r="A985">
        <f t="shared" si="254"/>
        <v>983</v>
      </c>
      <c r="B985" s="1" t="s">
        <v>919</v>
      </c>
      <c r="C985">
        <f t="shared" ref="C985:C1034" si="255">C984+1</f>
        <v>82</v>
      </c>
      <c r="D985">
        <v>0</v>
      </c>
      <c r="E985">
        <v>0</v>
      </c>
      <c r="F985">
        <v>0</v>
      </c>
      <c r="G985">
        <v>0</v>
      </c>
      <c r="H985">
        <f t="shared" si="253"/>
        <v>65535</v>
      </c>
      <c r="I985" s="1"/>
    </row>
    <row r="986" spans="1:9" ht="16" customHeight="1" x14ac:dyDescent="0.2">
      <c r="A986">
        <f t="shared" si="254"/>
        <v>984</v>
      </c>
      <c r="B986" s="1" t="s">
        <v>920</v>
      </c>
      <c r="C986">
        <f t="shared" si="255"/>
        <v>83</v>
      </c>
      <c r="D986">
        <v>0</v>
      </c>
      <c r="E986">
        <v>0</v>
      </c>
      <c r="F986">
        <v>0</v>
      </c>
      <c r="G986">
        <v>0</v>
      </c>
      <c r="H986">
        <f t="shared" si="253"/>
        <v>65535</v>
      </c>
      <c r="I986" s="1"/>
    </row>
    <row r="987" spans="1:9" ht="16" customHeight="1" x14ac:dyDescent="0.2">
      <c r="A987">
        <f t="shared" si="254"/>
        <v>985</v>
      </c>
      <c r="B987" s="1" t="s">
        <v>941</v>
      </c>
      <c r="C987">
        <f t="shared" si="255"/>
        <v>84</v>
      </c>
      <c r="D987">
        <v>0</v>
      </c>
      <c r="E987">
        <v>0</v>
      </c>
      <c r="F987">
        <v>0</v>
      </c>
      <c r="G987">
        <v>0</v>
      </c>
      <c r="H987">
        <f t="shared" si="253"/>
        <v>65535</v>
      </c>
      <c r="I987" s="1"/>
    </row>
    <row r="988" spans="1:9" ht="16" customHeight="1" x14ac:dyDescent="0.2">
      <c r="A988">
        <f t="shared" si="254"/>
        <v>986</v>
      </c>
      <c r="B988" s="1" t="s">
        <v>942</v>
      </c>
      <c r="C988">
        <f t="shared" si="255"/>
        <v>85</v>
      </c>
      <c r="D988">
        <v>0</v>
      </c>
      <c r="E988">
        <v>0</v>
      </c>
      <c r="F988">
        <v>0</v>
      </c>
      <c r="G988">
        <v>0</v>
      </c>
      <c r="H988">
        <f t="shared" si="253"/>
        <v>65535</v>
      </c>
      <c r="I988" s="1"/>
    </row>
    <row r="989" spans="1:9" ht="16" customHeight="1" x14ac:dyDescent="0.2">
      <c r="A989">
        <f t="shared" si="254"/>
        <v>987</v>
      </c>
      <c r="B989" s="1" t="s">
        <v>943</v>
      </c>
      <c r="C989">
        <f t="shared" si="255"/>
        <v>86</v>
      </c>
      <c r="D989">
        <v>0</v>
      </c>
      <c r="E989">
        <v>0</v>
      </c>
      <c r="F989">
        <v>0</v>
      </c>
      <c r="G989">
        <v>0</v>
      </c>
      <c r="H989">
        <f t="shared" si="253"/>
        <v>65535</v>
      </c>
      <c r="I989" s="1"/>
    </row>
    <row r="990" spans="1:9" ht="16" customHeight="1" x14ac:dyDescent="0.2">
      <c r="A990">
        <f t="shared" si="254"/>
        <v>988</v>
      </c>
      <c r="B990" s="1" t="s">
        <v>944</v>
      </c>
      <c r="C990">
        <f t="shared" si="255"/>
        <v>87</v>
      </c>
      <c r="D990">
        <v>0</v>
      </c>
      <c r="E990">
        <v>0</v>
      </c>
      <c r="F990">
        <v>0</v>
      </c>
      <c r="G990">
        <v>0</v>
      </c>
      <c r="H990">
        <f t="shared" si="253"/>
        <v>65535</v>
      </c>
      <c r="I990" s="1"/>
    </row>
    <row r="991" spans="1:9" ht="16" customHeight="1" x14ac:dyDescent="0.2">
      <c r="A991">
        <f t="shared" si="254"/>
        <v>989</v>
      </c>
      <c r="B991" s="1" t="s">
        <v>949</v>
      </c>
      <c r="C991">
        <f t="shared" si="255"/>
        <v>88</v>
      </c>
      <c r="D991">
        <v>0</v>
      </c>
      <c r="E991">
        <v>0</v>
      </c>
      <c r="F991">
        <v>0</v>
      </c>
      <c r="G991">
        <v>0</v>
      </c>
      <c r="H991">
        <f t="shared" si="253"/>
        <v>65535</v>
      </c>
      <c r="I991" s="1"/>
    </row>
    <row r="992" spans="1:9" ht="16" customHeight="1" x14ac:dyDescent="0.2">
      <c r="A992">
        <f t="shared" si="254"/>
        <v>990</v>
      </c>
      <c r="B992" s="1" t="s">
        <v>950</v>
      </c>
      <c r="C992">
        <f t="shared" si="255"/>
        <v>89</v>
      </c>
      <c r="D992">
        <v>0</v>
      </c>
      <c r="E992">
        <v>0</v>
      </c>
      <c r="F992">
        <v>0</v>
      </c>
      <c r="G992">
        <v>0</v>
      </c>
      <c r="H992">
        <f t="shared" si="253"/>
        <v>65535</v>
      </c>
      <c r="I992" s="1"/>
    </row>
    <row r="993" spans="1:9" ht="16" customHeight="1" x14ac:dyDescent="0.2">
      <c r="A993">
        <f t="shared" si="254"/>
        <v>991</v>
      </c>
      <c r="B993" s="1" t="s">
        <v>951</v>
      </c>
      <c r="C993">
        <f t="shared" si="255"/>
        <v>90</v>
      </c>
      <c r="D993">
        <v>0</v>
      </c>
      <c r="E993">
        <v>0</v>
      </c>
      <c r="F993">
        <v>0</v>
      </c>
      <c r="G993">
        <v>0</v>
      </c>
      <c r="H993">
        <f t="shared" si="253"/>
        <v>65535</v>
      </c>
      <c r="I993" s="1"/>
    </row>
    <row r="994" spans="1:9" ht="16" customHeight="1" x14ac:dyDescent="0.2">
      <c r="A994">
        <f t="shared" si="254"/>
        <v>992</v>
      </c>
      <c r="B994" s="1" t="s">
        <v>952</v>
      </c>
      <c r="C994">
        <f t="shared" si="255"/>
        <v>91</v>
      </c>
      <c r="D994">
        <v>0</v>
      </c>
      <c r="E994">
        <v>0</v>
      </c>
      <c r="F994">
        <v>0</v>
      </c>
      <c r="G994">
        <v>0</v>
      </c>
      <c r="H994">
        <f t="shared" si="253"/>
        <v>65535</v>
      </c>
      <c r="I994" s="1"/>
    </row>
    <row r="995" spans="1:9" ht="16" customHeight="1" x14ac:dyDescent="0.2">
      <c r="A995">
        <f t="shared" si="254"/>
        <v>993</v>
      </c>
      <c r="B995" s="1" t="s">
        <v>953</v>
      </c>
      <c r="C995">
        <f t="shared" si="255"/>
        <v>92</v>
      </c>
      <c r="D995">
        <v>0</v>
      </c>
      <c r="E995">
        <v>0</v>
      </c>
      <c r="F995">
        <v>0</v>
      </c>
      <c r="G995">
        <v>0</v>
      </c>
      <c r="H995">
        <f t="shared" si="253"/>
        <v>65535</v>
      </c>
      <c r="I995" s="1"/>
    </row>
    <row r="996" spans="1:9" ht="16" customHeight="1" x14ac:dyDescent="0.2">
      <c r="A996">
        <f t="shared" si="254"/>
        <v>994</v>
      </c>
      <c r="B996" s="1" t="s">
        <v>921</v>
      </c>
      <c r="C996">
        <v>32</v>
      </c>
      <c r="D996">
        <v>0</v>
      </c>
      <c r="E996">
        <v>0</v>
      </c>
      <c r="F996">
        <v>0</v>
      </c>
      <c r="G996">
        <v>0</v>
      </c>
      <c r="H996">
        <f t="shared" si="253"/>
        <v>65535</v>
      </c>
      <c r="I996" s="1"/>
    </row>
    <row r="997" spans="1:9" ht="16" customHeight="1" x14ac:dyDescent="0.2">
      <c r="A997">
        <f t="shared" si="254"/>
        <v>995</v>
      </c>
      <c r="B997" s="1" t="s">
        <v>922</v>
      </c>
      <c r="C997">
        <f t="shared" si="255"/>
        <v>33</v>
      </c>
      <c r="D997">
        <v>0</v>
      </c>
      <c r="E997">
        <v>0</v>
      </c>
      <c r="F997">
        <v>0</v>
      </c>
      <c r="G997">
        <v>0</v>
      </c>
      <c r="H997">
        <f t="shared" si="253"/>
        <v>65535</v>
      </c>
      <c r="I997" s="1"/>
    </row>
    <row r="998" spans="1:9" ht="16" customHeight="1" x14ac:dyDescent="0.2">
      <c r="A998">
        <f t="shared" si="254"/>
        <v>996</v>
      </c>
      <c r="B998" s="1" t="s">
        <v>923</v>
      </c>
      <c r="C998">
        <f t="shared" si="255"/>
        <v>34</v>
      </c>
      <c r="D998">
        <v>0</v>
      </c>
      <c r="E998">
        <v>0</v>
      </c>
      <c r="F998">
        <v>0</v>
      </c>
      <c r="G998">
        <v>0</v>
      </c>
      <c r="H998">
        <f t="shared" si="253"/>
        <v>65535</v>
      </c>
      <c r="I998" s="1"/>
    </row>
    <row r="999" spans="1:9" ht="16" customHeight="1" x14ac:dyDescent="0.2">
      <c r="A999">
        <f t="shared" si="254"/>
        <v>997</v>
      </c>
      <c r="B999" s="1" t="s">
        <v>924</v>
      </c>
      <c r="C999">
        <f t="shared" si="255"/>
        <v>35</v>
      </c>
      <c r="D999">
        <v>0</v>
      </c>
      <c r="E999">
        <v>0</v>
      </c>
      <c r="F999">
        <v>0</v>
      </c>
      <c r="G999">
        <v>0</v>
      </c>
      <c r="H999">
        <f t="shared" si="253"/>
        <v>65535</v>
      </c>
      <c r="I999" s="1"/>
    </row>
    <row r="1000" spans="1:9" ht="16" customHeight="1" x14ac:dyDescent="0.2">
      <c r="A1000">
        <f t="shared" si="254"/>
        <v>998</v>
      </c>
      <c r="B1000" s="1" t="s">
        <v>945</v>
      </c>
      <c r="C1000">
        <f t="shared" si="255"/>
        <v>36</v>
      </c>
      <c r="D1000">
        <v>0</v>
      </c>
      <c r="E1000">
        <v>0</v>
      </c>
      <c r="F1000">
        <v>0</v>
      </c>
      <c r="G1000">
        <v>0</v>
      </c>
      <c r="H1000">
        <f t="shared" si="253"/>
        <v>65535</v>
      </c>
      <c r="I1000" s="1"/>
    </row>
    <row r="1001" spans="1:9" ht="16" customHeight="1" x14ac:dyDescent="0.2">
      <c r="A1001">
        <f t="shared" si="254"/>
        <v>999</v>
      </c>
      <c r="B1001" s="1" t="s">
        <v>946</v>
      </c>
      <c r="C1001">
        <f t="shared" si="255"/>
        <v>37</v>
      </c>
      <c r="D1001">
        <v>0</v>
      </c>
      <c r="E1001">
        <v>0</v>
      </c>
      <c r="F1001">
        <v>0</v>
      </c>
      <c r="G1001">
        <v>0</v>
      </c>
      <c r="H1001">
        <f t="shared" si="253"/>
        <v>65535</v>
      </c>
      <c r="I1001" s="1"/>
    </row>
    <row r="1002" spans="1:9" ht="16" customHeight="1" x14ac:dyDescent="0.2">
      <c r="A1002">
        <f t="shared" si="254"/>
        <v>1000</v>
      </c>
      <c r="B1002" s="1" t="s">
        <v>947</v>
      </c>
      <c r="C1002">
        <f t="shared" si="255"/>
        <v>38</v>
      </c>
      <c r="D1002">
        <v>0</v>
      </c>
      <c r="E1002">
        <v>0</v>
      </c>
      <c r="F1002">
        <v>0</v>
      </c>
      <c r="G1002">
        <v>0</v>
      </c>
      <c r="H1002">
        <f t="shared" si="253"/>
        <v>65535</v>
      </c>
      <c r="I1002" s="1"/>
    </row>
    <row r="1003" spans="1:9" ht="16" customHeight="1" x14ac:dyDescent="0.2">
      <c r="A1003">
        <f t="shared" si="254"/>
        <v>1001</v>
      </c>
      <c r="B1003" s="1" t="s">
        <v>948</v>
      </c>
      <c r="C1003">
        <f t="shared" si="255"/>
        <v>39</v>
      </c>
      <c r="D1003">
        <v>0</v>
      </c>
      <c r="E1003">
        <v>0</v>
      </c>
      <c r="F1003">
        <v>0</v>
      </c>
      <c r="G1003">
        <v>0</v>
      </c>
      <c r="H1003">
        <f t="shared" si="253"/>
        <v>65535</v>
      </c>
      <c r="I1003" s="1"/>
    </row>
    <row r="1004" spans="1:9" ht="16" customHeight="1" x14ac:dyDescent="0.2">
      <c r="A1004">
        <f t="shared" si="254"/>
        <v>1002</v>
      </c>
      <c r="B1004" s="1" t="s">
        <v>954</v>
      </c>
      <c r="C1004">
        <f t="shared" si="255"/>
        <v>40</v>
      </c>
      <c r="D1004">
        <v>0</v>
      </c>
      <c r="E1004">
        <v>0</v>
      </c>
      <c r="F1004">
        <v>0</v>
      </c>
      <c r="G1004">
        <v>0</v>
      </c>
      <c r="H1004">
        <f t="shared" si="253"/>
        <v>65535</v>
      </c>
      <c r="I1004" s="1"/>
    </row>
    <row r="1005" spans="1:9" ht="16" customHeight="1" x14ac:dyDescent="0.2">
      <c r="A1005">
        <f t="shared" si="254"/>
        <v>1003</v>
      </c>
      <c r="B1005" s="1" t="s">
        <v>955</v>
      </c>
      <c r="C1005">
        <f t="shared" si="255"/>
        <v>41</v>
      </c>
      <c r="D1005">
        <v>0</v>
      </c>
      <c r="E1005">
        <v>0</v>
      </c>
      <c r="F1005">
        <v>0</v>
      </c>
      <c r="G1005">
        <v>0</v>
      </c>
      <c r="H1005">
        <f t="shared" si="253"/>
        <v>65535</v>
      </c>
      <c r="I1005" s="1"/>
    </row>
    <row r="1006" spans="1:9" ht="16" customHeight="1" x14ac:dyDescent="0.2">
      <c r="A1006">
        <f t="shared" si="254"/>
        <v>1004</v>
      </c>
      <c r="B1006" s="1" t="s">
        <v>956</v>
      </c>
      <c r="C1006">
        <f t="shared" si="255"/>
        <v>42</v>
      </c>
      <c r="D1006">
        <v>0</v>
      </c>
      <c r="E1006">
        <v>0</v>
      </c>
      <c r="F1006">
        <v>0</v>
      </c>
      <c r="G1006">
        <v>0</v>
      </c>
      <c r="H1006">
        <f t="shared" si="253"/>
        <v>65535</v>
      </c>
      <c r="I1006" s="1"/>
    </row>
    <row r="1007" spans="1:9" ht="16" customHeight="1" x14ac:dyDescent="0.2">
      <c r="A1007">
        <f t="shared" si="254"/>
        <v>1005</v>
      </c>
      <c r="B1007" s="1" t="s">
        <v>957</v>
      </c>
      <c r="C1007">
        <f t="shared" si="255"/>
        <v>43</v>
      </c>
      <c r="D1007">
        <v>0</v>
      </c>
      <c r="E1007">
        <v>0</v>
      </c>
      <c r="F1007">
        <v>0</v>
      </c>
      <c r="G1007">
        <v>0</v>
      </c>
      <c r="H1007">
        <f t="shared" si="253"/>
        <v>65535</v>
      </c>
      <c r="I1007" s="1"/>
    </row>
    <row r="1008" spans="1:9" ht="16" customHeight="1" x14ac:dyDescent="0.2">
      <c r="A1008">
        <f t="shared" si="254"/>
        <v>1006</v>
      </c>
      <c r="B1008" s="1" t="s">
        <v>958</v>
      </c>
      <c r="C1008">
        <f t="shared" si="255"/>
        <v>44</v>
      </c>
      <c r="D1008">
        <v>0</v>
      </c>
      <c r="E1008">
        <v>0</v>
      </c>
      <c r="F1008">
        <v>0</v>
      </c>
      <c r="G1008">
        <v>0</v>
      </c>
      <c r="H1008">
        <f t="shared" si="253"/>
        <v>65535</v>
      </c>
      <c r="I1008" s="1"/>
    </row>
    <row r="1009" spans="1:9" ht="16" customHeight="1" x14ac:dyDescent="0.2">
      <c r="A1009">
        <f t="shared" si="254"/>
        <v>1007</v>
      </c>
      <c r="B1009" s="1" t="s">
        <v>925</v>
      </c>
      <c r="C1009">
        <v>64</v>
      </c>
      <c r="D1009">
        <v>0</v>
      </c>
      <c r="E1009">
        <v>0</v>
      </c>
      <c r="F1009">
        <v>0</v>
      </c>
      <c r="G1009">
        <v>0</v>
      </c>
      <c r="H1009">
        <f t="shared" si="253"/>
        <v>65535</v>
      </c>
      <c r="I1009" s="1"/>
    </row>
    <row r="1010" spans="1:9" ht="16" customHeight="1" x14ac:dyDescent="0.2">
      <c r="A1010">
        <f t="shared" si="254"/>
        <v>1008</v>
      </c>
      <c r="B1010" s="1" t="s">
        <v>926</v>
      </c>
      <c r="C1010">
        <f t="shared" si="255"/>
        <v>65</v>
      </c>
      <c r="D1010">
        <v>0</v>
      </c>
      <c r="E1010">
        <v>0</v>
      </c>
      <c r="F1010">
        <v>0</v>
      </c>
      <c r="G1010">
        <v>0</v>
      </c>
      <c r="H1010">
        <f t="shared" si="253"/>
        <v>65535</v>
      </c>
      <c r="I1010" s="1"/>
    </row>
    <row r="1011" spans="1:9" ht="16" customHeight="1" x14ac:dyDescent="0.2">
      <c r="A1011">
        <f t="shared" si="254"/>
        <v>1009</v>
      </c>
      <c r="B1011" s="1" t="s">
        <v>927</v>
      </c>
      <c r="C1011">
        <f t="shared" si="255"/>
        <v>66</v>
      </c>
      <c r="D1011">
        <v>0</v>
      </c>
      <c r="E1011">
        <v>0</v>
      </c>
      <c r="F1011">
        <v>0</v>
      </c>
      <c r="G1011">
        <v>0</v>
      </c>
      <c r="H1011">
        <f t="shared" si="253"/>
        <v>65535</v>
      </c>
      <c r="I1011" s="1"/>
    </row>
    <row r="1012" spans="1:9" ht="16" customHeight="1" x14ac:dyDescent="0.2">
      <c r="A1012">
        <f t="shared" si="254"/>
        <v>1010</v>
      </c>
      <c r="B1012" s="1" t="s">
        <v>928</v>
      </c>
      <c r="C1012">
        <f t="shared" si="255"/>
        <v>67</v>
      </c>
      <c r="D1012">
        <v>0</v>
      </c>
      <c r="E1012">
        <v>0</v>
      </c>
      <c r="F1012">
        <v>0</v>
      </c>
      <c r="G1012">
        <v>0</v>
      </c>
      <c r="H1012">
        <f t="shared" si="253"/>
        <v>65535</v>
      </c>
      <c r="I1012" s="1"/>
    </row>
    <row r="1013" spans="1:9" ht="16" customHeight="1" x14ac:dyDescent="0.2">
      <c r="A1013">
        <f t="shared" si="254"/>
        <v>1011</v>
      </c>
      <c r="B1013" s="1" t="s">
        <v>933</v>
      </c>
      <c r="C1013">
        <f t="shared" si="255"/>
        <v>68</v>
      </c>
      <c r="D1013">
        <v>0</v>
      </c>
      <c r="E1013">
        <v>0</v>
      </c>
      <c r="F1013">
        <v>0</v>
      </c>
      <c r="G1013">
        <v>0</v>
      </c>
      <c r="H1013">
        <f t="shared" si="253"/>
        <v>65535</v>
      </c>
      <c r="I1013" s="1"/>
    </row>
    <row r="1014" spans="1:9" ht="16" customHeight="1" x14ac:dyDescent="0.2">
      <c r="A1014">
        <f t="shared" si="254"/>
        <v>1012</v>
      </c>
      <c r="B1014" s="1" t="s">
        <v>934</v>
      </c>
      <c r="C1014">
        <f t="shared" si="255"/>
        <v>69</v>
      </c>
      <c r="D1014">
        <v>0</v>
      </c>
      <c r="E1014">
        <v>0</v>
      </c>
      <c r="F1014">
        <v>0</v>
      </c>
      <c r="G1014">
        <v>0</v>
      </c>
      <c r="H1014">
        <f t="shared" si="253"/>
        <v>65535</v>
      </c>
      <c r="I1014" s="1"/>
    </row>
    <row r="1015" spans="1:9" ht="16" customHeight="1" x14ac:dyDescent="0.2">
      <c r="A1015">
        <f t="shared" si="254"/>
        <v>1013</v>
      </c>
      <c r="B1015" s="1" t="s">
        <v>935</v>
      </c>
      <c r="C1015">
        <f t="shared" si="255"/>
        <v>70</v>
      </c>
      <c r="D1015">
        <v>0</v>
      </c>
      <c r="E1015">
        <v>0</v>
      </c>
      <c r="F1015">
        <v>0</v>
      </c>
      <c r="G1015">
        <v>0</v>
      </c>
      <c r="H1015">
        <f t="shared" si="253"/>
        <v>65535</v>
      </c>
      <c r="I1015" s="1"/>
    </row>
    <row r="1016" spans="1:9" ht="16" customHeight="1" x14ac:dyDescent="0.2">
      <c r="A1016">
        <f t="shared" si="254"/>
        <v>1014</v>
      </c>
      <c r="B1016" s="1" t="s">
        <v>936</v>
      </c>
      <c r="C1016">
        <f t="shared" si="255"/>
        <v>71</v>
      </c>
      <c r="D1016">
        <v>0</v>
      </c>
      <c r="E1016">
        <v>0</v>
      </c>
      <c r="F1016">
        <v>0</v>
      </c>
      <c r="G1016">
        <v>0</v>
      </c>
      <c r="H1016">
        <f t="shared" si="253"/>
        <v>65535</v>
      </c>
      <c r="I1016" s="1"/>
    </row>
    <row r="1017" spans="1:9" ht="16" customHeight="1" x14ac:dyDescent="0.2">
      <c r="A1017">
        <f t="shared" si="254"/>
        <v>1015</v>
      </c>
      <c r="B1017" s="1" t="s">
        <v>959</v>
      </c>
      <c r="C1017">
        <f t="shared" si="255"/>
        <v>72</v>
      </c>
      <c r="D1017">
        <v>0</v>
      </c>
      <c r="E1017">
        <v>0</v>
      </c>
      <c r="F1017">
        <v>0</v>
      </c>
      <c r="G1017">
        <v>0</v>
      </c>
      <c r="H1017">
        <f t="shared" si="253"/>
        <v>65535</v>
      </c>
      <c r="I1017" s="1"/>
    </row>
    <row r="1018" spans="1:9" ht="16" customHeight="1" x14ac:dyDescent="0.2">
      <c r="A1018">
        <f t="shared" si="254"/>
        <v>1016</v>
      </c>
      <c r="B1018" s="1" t="s">
        <v>960</v>
      </c>
      <c r="C1018">
        <f t="shared" si="255"/>
        <v>73</v>
      </c>
      <c r="D1018">
        <v>0</v>
      </c>
      <c r="E1018">
        <v>0</v>
      </c>
      <c r="F1018">
        <v>0</v>
      </c>
      <c r="G1018">
        <v>0</v>
      </c>
      <c r="H1018">
        <f t="shared" si="253"/>
        <v>65535</v>
      </c>
      <c r="I1018" s="1"/>
    </row>
    <row r="1019" spans="1:9" ht="16" customHeight="1" x14ac:dyDescent="0.2">
      <c r="A1019">
        <f t="shared" si="254"/>
        <v>1017</v>
      </c>
      <c r="B1019" s="1" t="s">
        <v>961</v>
      </c>
      <c r="C1019">
        <f t="shared" si="255"/>
        <v>74</v>
      </c>
      <c r="D1019">
        <v>0</v>
      </c>
      <c r="E1019">
        <v>0</v>
      </c>
      <c r="F1019">
        <v>0</v>
      </c>
      <c r="G1019">
        <v>0</v>
      </c>
      <c r="H1019">
        <f t="shared" si="253"/>
        <v>65535</v>
      </c>
      <c r="I1019" s="1"/>
    </row>
    <row r="1020" spans="1:9" ht="16" customHeight="1" x14ac:dyDescent="0.2">
      <c r="A1020">
        <f t="shared" si="254"/>
        <v>1018</v>
      </c>
      <c r="B1020" s="1" t="s">
        <v>962</v>
      </c>
      <c r="C1020">
        <f t="shared" si="255"/>
        <v>75</v>
      </c>
      <c r="D1020">
        <v>0</v>
      </c>
      <c r="E1020">
        <v>0</v>
      </c>
      <c r="F1020">
        <v>0</v>
      </c>
      <c r="G1020">
        <v>0</v>
      </c>
      <c r="H1020">
        <f t="shared" si="253"/>
        <v>65535</v>
      </c>
      <c r="I1020" s="1"/>
    </row>
    <row r="1021" spans="1:9" ht="16" customHeight="1" x14ac:dyDescent="0.2">
      <c r="A1021">
        <f t="shared" si="254"/>
        <v>1019</v>
      </c>
      <c r="B1021" s="1" t="s">
        <v>963</v>
      </c>
      <c r="C1021">
        <f t="shared" si="255"/>
        <v>76</v>
      </c>
      <c r="D1021">
        <v>0</v>
      </c>
      <c r="E1021">
        <v>0</v>
      </c>
      <c r="F1021">
        <v>0</v>
      </c>
      <c r="G1021">
        <v>0</v>
      </c>
      <c r="H1021">
        <f t="shared" si="253"/>
        <v>65535</v>
      </c>
      <c r="I1021" s="1"/>
    </row>
    <row r="1022" spans="1:9" ht="16" customHeight="1" x14ac:dyDescent="0.2">
      <c r="A1022">
        <f t="shared" si="254"/>
        <v>1020</v>
      </c>
      <c r="B1022" s="1" t="s">
        <v>929</v>
      </c>
      <c r="C1022">
        <v>48</v>
      </c>
      <c r="D1022">
        <v>0</v>
      </c>
      <c r="E1022">
        <v>0</v>
      </c>
      <c r="F1022">
        <v>0</v>
      </c>
      <c r="G1022">
        <v>0</v>
      </c>
      <c r="H1022">
        <f t="shared" si="253"/>
        <v>65535</v>
      </c>
      <c r="I1022" s="1"/>
    </row>
    <row r="1023" spans="1:9" ht="16" customHeight="1" x14ac:dyDescent="0.2">
      <c r="A1023">
        <f t="shared" si="254"/>
        <v>1021</v>
      </c>
      <c r="B1023" s="1" t="s">
        <v>930</v>
      </c>
      <c r="C1023">
        <f t="shared" si="255"/>
        <v>49</v>
      </c>
      <c r="D1023">
        <v>0</v>
      </c>
      <c r="E1023">
        <v>0</v>
      </c>
      <c r="F1023">
        <v>0</v>
      </c>
      <c r="G1023">
        <v>0</v>
      </c>
      <c r="H1023">
        <f t="shared" si="253"/>
        <v>65535</v>
      </c>
      <c r="I1023" s="1"/>
    </row>
    <row r="1024" spans="1:9" ht="16" customHeight="1" x14ac:dyDescent="0.2">
      <c r="A1024">
        <f t="shared" si="254"/>
        <v>1022</v>
      </c>
      <c r="B1024" s="1" t="s">
        <v>931</v>
      </c>
      <c r="C1024">
        <f t="shared" si="255"/>
        <v>50</v>
      </c>
      <c r="D1024">
        <v>0</v>
      </c>
      <c r="E1024">
        <v>0</v>
      </c>
      <c r="F1024">
        <v>0</v>
      </c>
      <c r="G1024">
        <v>0</v>
      </c>
      <c r="H1024">
        <f t="shared" si="253"/>
        <v>65535</v>
      </c>
      <c r="I1024" s="1"/>
    </row>
    <row r="1025" spans="1:9" ht="16" customHeight="1" x14ac:dyDescent="0.2">
      <c r="A1025">
        <f t="shared" si="254"/>
        <v>1023</v>
      </c>
      <c r="B1025" s="1" t="s">
        <v>932</v>
      </c>
      <c r="C1025">
        <f t="shared" si="255"/>
        <v>51</v>
      </c>
      <c r="D1025">
        <v>0</v>
      </c>
      <c r="E1025">
        <v>0</v>
      </c>
      <c r="F1025">
        <v>0</v>
      </c>
      <c r="G1025">
        <v>0</v>
      </c>
      <c r="H1025">
        <f t="shared" si="253"/>
        <v>65535</v>
      </c>
      <c r="I1025" s="1"/>
    </row>
    <row r="1026" spans="1:9" ht="16" customHeight="1" x14ac:dyDescent="0.2">
      <c r="A1026">
        <f t="shared" si="254"/>
        <v>1024</v>
      </c>
      <c r="B1026" s="1" t="s">
        <v>937</v>
      </c>
      <c r="C1026">
        <f t="shared" si="255"/>
        <v>52</v>
      </c>
      <c r="D1026">
        <v>0</v>
      </c>
      <c r="E1026">
        <v>0</v>
      </c>
      <c r="F1026">
        <v>0</v>
      </c>
      <c r="G1026">
        <v>0</v>
      </c>
      <c r="H1026">
        <f t="shared" ref="H1026:H1034" si="256">_xlfn.XLOOKUP(I1026,$B$2:$B$982,$A$2:$A$982,65535)</f>
        <v>65535</v>
      </c>
      <c r="I1026" s="1"/>
    </row>
    <row r="1027" spans="1:9" ht="16" customHeight="1" x14ac:dyDescent="0.2">
      <c r="A1027">
        <f t="shared" si="254"/>
        <v>1025</v>
      </c>
      <c r="B1027" s="1" t="s">
        <v>938</v>
      </c>
      <c r="C1027">
        <f t="shared" si="255"/>
        <v>53</v>
      </c>
      <c r="D1027">
        <v>0</v>
      </c>
      <c r="E1027">
        <v>0</v>
      </c>
      <c r="F1027">
        <v>0</v>
      </c>
      <c r="G1027">
        <v>0</v>
      </c>
      <c r="H1027">
        <f t="shared" si="256"/>
        <v>65535</v>
      </c>
      <c r="I1027" s="1"/>
    </row>
    <row r="1028" spans="1:9" ht="16" customHeight="1" x14ac:dyDescent="0.2">
      <c r="A1028">
        <f t="shared" ref="A1028:A1035" si="257">A1027+1</f>
        <v>1026</v>
      </c>
      <c r="B1028" s="1" t="s">
        <v>939</v>
      </c>
      <c r="C1028">
        <f t="shared" si="255"/>
        <v>54</v>
      </c>
      <c r="D1028">
        <v>0</v>
      </c>
      <c r="E1028">
        <v>0</v>
      </c>
      <c r="F1028">
        <v>0</v>
      </c>
      <c r="G1028">
        <v>0</v>
      </c>
      <c r="H1028">
        <f t="shared" si="256"/>
        <v>65535</v>
      </c>
      <c r="I1028" s="1"/>
    </row>
    <row r="1029" spans="1:9" ht="16" customHeight="1" x14ac:dyDescent="0.2">
      <c r="A1029">
        <f t="shared" si="257"/>
        <v>1027</v>
      </c>
      <c r="B1029" s="1" t="s">
        <v>940</v>
      </c>
      <c r="C1029">
        <f t="shared" si="255"/>
        <v>55</v>
      </c>
      <c r="D1029">
        <v>0</v>
      </c>
      <c r="E1029">
        <v>0</v>
      </c>
      <c r="F1029">
        <v>0</v>
      </c>
      <c r="G1029">
        <v>0</v>
      </c>
      <c r="H1029">
        <f t="shared" si="256"/>
        <v>65535</v>
      </c>
      <c r="I1029" s="1"/>
    </row>
    <row r="1030" spans="1:9" ht="16" customHeight="1" x14ac:dyDescent="0.2">
      <c r="A1030">
        <f t="shared" si="257"/>
        <v>1028</v>
      </c>
      <c r="B1030" s="1" t="s">
        <v>964</v>
      </c>
      <c r="C1030">
        <f t="shared" si="255"/>
        <v>56</v>
      </c>
      <c r="D1030">
        <v>0</v>
      </c>
      <c r="E1030">
        <v>0</v>
      </c>
      <c r="F1030">
        <v>0</v>
      </c>
      <c r="G1030">
        <v>0</v>
      </c>
      <c r="H1030">
        <f t="shared" si="256"/>
        <v>65535</v>
      </c>
      <c r="I1030" s="1"/>
    </row>
    <row r="1031" spans="1:9" ht="16" customHeight="1" x14ac:dyDescent="0.2">
      <c r="A1031">
        <f t="shared" si="257"/>
        <v>1029</v>
      </c>
      <c r="B1031" s="1" t="s">
        <v>965</v>
      </c>
      <c r="C1031">
        <f t="shared" si="255"/>
        <v>57</v>
      </c>
      <c r="D1031">
        <v>0</v>
      </c>
      <c r="E1031">
        <v>0</v>
      </c>
      <c r="F1031">
        <v>0</v>
      </c>
      <c r="G1031">
        <v>0</v>
      </c>
      <c r="H1031">
        <f t="shared" si="256"/>
        <v>65535</v>
      </c>
      <c r="I1031" s="1"/>
    </row>
    <row r="1032" spans="1:9" ht="16" customHeight="1" x14ac:dyDescent="0.2">
      <c r="A1032">
        <f t="shared" si="257"/>
        <v>1030</v>
      </c>
      <c r="B1032" s="1" t="s">
        <v>966</v>
      </c>
      <c r="C1032">
        <f t="shared" si="255"/>
        <v>58</v>
      </c>
      <c r="D1032">
        <v>0</v>
      </c>
      <c r="E1032">
        <v>0</v>
      </c>
      <c r="F1032">
        <v>0</v>
      </c>
      <c r="G1032">
        <v>0</v>
      </c>
      <c r="H1032">
        <f t="shared" si="256"/>
        <v>65535</v>
      </c>
      <c r="I1032" s="1"/>
    </row>
    <row r="1033" spans="1:9" ht="16" customHeight="1" x14ac:dyDescent="0.2">
      <c r="A1033">
        <f t="shared" si="257"/>
        <v>1031</v>
      </c>
      <c r="B1033" s="1" t="s">
        <v>967</v>
      </c>
      <c r="C1033">
        <f t="shared" si="255"/>
        <v>59</v>
      </c>
      <c r="D1033">
        <v>0</v>
      </c>
      <c r="E1033">
        <v>0</v>
      </c>
      <c r="F1033">
        <v>0</v>
      </c>
      <c r="G1033">
        <v>0</v>
      </c>
      <c r="H1033">
        <f t="shared" si="256"/>
        <v>65535</v>
      </c>
      <c r="I1033" s="1"/>
    </row>
    <row r="1034" spans="1:9" ht="16" customHeight="1" x14ac:dyDescent="0.2">
      <c r="A1034">
        <f t="shared" si="257"/>
        <v>1032</v>
      </c>
      <c r="B1034" s="1" t="s">
        <v>968</v>
      </c>
      <c r="C1034">
        <f t="shared" si="255"/>
        <v>60</v>
      </c>
      <c r="D1034">
        <v>0</v>
      </c>
      <c r="E1034">
        <v>0</v>
      </c>
      <c r="F1034">
        <v>0</v>
      </c>
      <c r="G1034">
        <v>0</v>
      </c>
      <c r="H1034">
        <f t="shared" si="256"/>
        <v>65535</v>
      </c>
      <c r="I1034" s="1"/>
    </row>
    <row r="1035" spans="1:9" ht="39" customHeight="1" x14ac:dyDescent="0.2">
      <c r="A1035">
        <f t="shared" si="257"/>
        <v>1033</v>
      </c>
      <c r="B1035" s="1" t="s">
        <v>695</v>
      </c>
      <c r="C1035">
        <v>7</v>
      </c>
      <c r="D1035">
        <v>15</v>
      </c>
      <c r="E1035">
        <v>0</v>
      </c>
      <c r="F1035">
        <v>0</v>
      </c>
      <c r="G1035">
        <v>0</v>
      </c>
      <c r="H1035">
        <f>_xlfn.XLOOKUP(I1035,$B$2:$B$868,$A$2:$A$868,65535)</f>
        <v>65535</v>
      </c>
    </row>
    <row r="1037" spans="1:9" x14ac:dyDescent="0.2">
      <c r="C1037" t="str">
        <f>_xlfn.CONCAT("uint8_t StanceImgIdx[] = {",_xlfn.TEXTJOIN(", ",FALSE,C$2:C1035),"};")</f>
        <v>uint8_t StanceImgIdx[] = {0, 1, 2, 3, 3, 0, 0, 0, 0, 1, 0, 3, 0, 0, 0, 0, 255, 5, 6, 5, 6, 0, 17, 19, 17, 19, 17, 4, 5, 6, 5, 5, 6, 5, 4, 17, 19, 17, 19, 17, 0, 6, 5, 6, 5, 13, 14, 13, 14, 0, 17, 19, 17, 19, 17, 12, 13, 14, 13, 13, 14, 13, 12, 17, 19, 17, 19, 17, 0, 14, 13, 14, 13, 16, 16, 0, 0, 2, 0, 0, 0, 0, 0, 0, 0, 0, 0, 0, 0, 0, 0, 0, 0, 0, 0, 0, 0, 0, 0, 0, 0, 0, 0, 1, 2, 1, 7, 5, 4, 5, 6, 5, 4, 5, 6, 5, 4, 5, 6, 5, 4, 5, 6, 5, 4, 5, 6, 5, 4, 5, 6, 5, 4, 5, 6, 5, 4, 5, 6, 5, 5, 4, 5, 5, 5, 5, 5, 5, 5, 5, 7, 5, 4, 5, 5, 5, 5, 6, 5, 5, 7, 5, 4, 4, 4, 4, 5, 5, 4, 4, 4, 4, 4, 5, 4, 4, 4, 4, 4, 4, 6, 5, 4, 4, 4, 4, 4, 4, 6, 5, 4, 4, 4, 4, 4, 4, 4, 4, 4, 6, 5, 4, 4, 4, 4, 4, 4, 4, 4, 5, 6, 4, 4, 4, 4, 4, 4, 4, 4, 4, 4, 6, 5, 4, 4, 4, 6, 5, 0, 32, 33, 34, 32, 33, 34, 32, 33, 34, 34, 33, 0, 4, 4, 34, 34, 34, 34, 34, 0, 0, 0, 0, 34, 34, 34, 34, 34, 34, 34, 0, 0, 0, 0, 0, 0, 0, 34, 34, 34, 34, 34, 34, 34, 34, 34, 5, 4, 5, 6, 5, 36, 36, 36, 36, 5, 5, 5, 4, 5, 6, 5, 36, 36, 36, 36, 36, 36, 36, 5, 5, 4, 5, 6, 5, 36, 36, 36, 36, 36, 36, 36, 36, 36, 36, 36, 36, 36, 36, 36, 36, 5, 4, 5, 6, 5, 36, 36, 36, 36, 36, 36, 36, 5, 37, 38, 39, 38, 37, 38, 39, 38, 37, 38, 39, 40, 41, 42, 41, 40, 41, 42, 41, 40, 41, 42, 4, 4, 4, 4, 4, 5, 4, 5, 4, 5, 4, 5, 5, 4, 4, 52, 52, 52, 52, 52, 52, 52, 52, 52, 52, 52, 52, 52, 4, 4, 6, 7, 5, 5, 4, 4, 4, 4, 4, 6, 5, 5, 4, 4, 4, 4, 4, 6, 19, 120, 121, 122, 123, 122, 121, 120, 121, 120, 121, 120, 121, 120, 121, 120, 121, 120, 120, 120, 120, 121, 120, 64, 65, 66, 67, 68, 69, 70, 71, 72, 73, 74, 75, 5, 5, 100, 101, 102, 103, 96, 97, 98, 99, 20, 21, 22, 23, 112, 113, 114, 115, 20, 21, 22, 23, 128, 129, 130, 131, 132, 133, 134, 128, 129, 130, 131, 132, 133, 134, 8, 9, 10, 11, 9, 8, 8, 8, 8, 11, 8, 9, 8, 8, 8, 8, 8, 13, 12, 13, 14, 13, 12, 13, 14, 13, 12, 13, 14, 13, 12, 13, 14, 13, 12, 13, 14, 13, 12, 13, 14, 13, 12, 13, 14, 13, 12, 13, 14, 13, 13, 12, 13, 13, 13, 13, 13, 13, 13, 13, 15, 13, 13, 13, 13, 13, 13, 14, 13, 13, 15, 13, 12, 12, 12, 12, 13, 13, 12, 12, 12, 12, 12, 13, 12, 12, 12, 12, 12, 12, 14, 13, 12, 12, 12, 12, 12, 12, 14, 13, 12, 12, 12, 12, 12, 12, 12, 12, 12, 14, 13, 12, 12, 12, 12, 12, 12, 12, 12, 13, 14, 12, 12, 12, 12, 12, 12, 12, 12, 12, 12, 14, 13, 12, 12, 12, 14, 13, 0, 33, 32, 34, 33, 32, 34, 33, 32, 34, 34, 32, 0, 12, 12, 34, 34, 34, 34, 34, 0, 0, 0, 0, 34, 34, 34, 34, 34, 34, 34, 0, 0, 0, 0, 0, 0, 0, 34, 34, 34, 34, 34, 34, 34, 34, 34, 13, 12, 13, 14, 13, 44, 44, 44, 44, 13, 13, 13, 12, 13, 14, 13, 44, 44, 44, 44, 44, 44, 44, 13, 13, 12, 13, 14, 13, 44, 44, 44, 44, 44, 44, 44, 44, 44, 44, 44, 44, 44, 44, 44, 44, 13, 12, 13, 14, 13, 44, 44, 44, 44, 44, 44, 44, 13, 45, 46, 47, 46, 45, 46, 47, 46, 45, 46, 47, 48, 49, 50, 49, 48, 49, 50, 49, 48, 49, 50, 12, 12, 12, 12, 12, 13, 12, 13, 12, 13, 12, 13, 13, 12, 12, 60, 60, 60, 60, 60, 60, 60, 60, 60, 60, 60, 60, 60, 12, 12, 14, 15, 13, 13, 12, 12, 12, 12, 12, 14, 13, 13, 12, 12, 12, 12, 12, 14, 19, 124, 125, 126, 127, 126, 125, 124, 125, 124, 125, 124, 125, 124, 125, 124, 125, 124, 124, 124, 124, 125, 124, 76, 77, 78, 79, 80, 81, 82, 83, 84, 85, 86, 87, 13, 13, 108, 109, 110, 111, 104, 105, 106, 107, 28, 29, 30, 31, 116, 117, 118, 119, 28, 29, 30, 31, 135, 136, 137, 138, 139, 140, 141, 135, 136, 137, 138, 139, 140, 141, 4, 5, 5, 5, 5, 5, 5, 6, 7, 0, 1, 2, 3, 16, 17, 18, 19, 16, 20, 20, 21, 22, 22, 22, 20, 20, 20, 20, 20, 16, 1, 0, 0, 0, 0, 1, 1, 1, 1, 1, 1, 1, 1, 1, 4, 5, 6, 7, 6, 5, 4, 5, 4, 5, 4, 5, 4, 5, 4, 5, 4, 4, 4, 4, 5, 4, 8, 9, 10, 11, 24, 25, 26, 27, 23, 27, 27, 28, 29, 29, 29, 27, 27, 27, 27, 27, 23, 9, 8, 8, 8, 8, 9, 9, 9, 9, 9, 9, 9, 9, 9, 12, 13, 14, 15, 14, 13, 12, 13, 12, 13, 12, 13, 12, 13, 12, 13, 12, 12, 12, 12, 13, 12, 80, 81, 82, 83, 84, 85, 86, 87, 88, 89, 90, 91, 92, 32, 33, 34, 35, 36, 37, 38, 39, 40, 41, 42, 43, 44, 64, 65, 66, 67, 68, 69, 70, 71, 72, 73, 74, 75, 76, 48, 49, 50, 51, 52, 53, 54, 55, 56, 57, 58, 59, 60, 7};</v>
      </c>
    </row>
    <row r="1038" spans="1:9" x14ac:dyDescent="0.2">
      <c r="C1038" t="str">
        <f>_xlfn.CONCAT("int8_t StanceY[] = {",_xlfn.TEXTJOIN(", ",FALSE,D$2:D1035),"};")</f>
        <v>int8_t StanceY[] = {0, 0, 0, 0, 0, 4, 3, 2, -2, -3, -4, 0, 4, 3, 2, -1, 255, 0, 0, 0, 2, 2, 2, 2, 2, 2, 2, 2, 0, 0, 0, 0, 0, 0, -2, -2, -2, -2, -2, -2, -2, -2, 0, 0, 0, 0, 0, 0, 2, 2, 2, 2, 2, 2, 2, 2, 0, 0, 0, 0, 0, 0, -2, -2, -2, -2, -2, -2, -2, -2, 0, 0, 0, -4, -4, -4, -4, 0, 0, -3, -2, 0, 1, 2, 3, 2, 1, 0, -1, -2, -3, -2, -1, 0, 1, 2, 1, 0, -1, -2, -1, 0, 0, -2, 0, -1, 0, 0, 0, 0, 0, 0, 0, 0, 0, 0, 0, 0, 0, 0, 2, 2, 2, 2, 4, 2, 2, 0, 0, 0, 0, 0, -2, -2, -2, -2, 0, -2, -2, -4, 0, 0, -1, -1, -2, -4, -4, -4, -4, -4, 0, 0, 0, 4, 3, 2, -2, -3, -4, 1, 0, -1, 4, 3, 2, 1, -1, -1, 3, 3, 2, 1, 0, -1, 0, 4, 3, 2, 0, -2, -3, -4, 0, 4, 3, 2, 0, -2, -3, -4, 0, 2, 2, 1, 1, 0, 0, -1, -1, -2, -2, 0, 2, 1, 0, -1, -1, -2, -3, -4, 0, 0, 0, 2, 1, 0, -1, -1, -2, -3, -4, -4, -4, 0, 4, 3, 2, -1, 0, 2, 2, 0, 0, 0, 0, 0, 0, 0, -2, -2, 0, 0, 4, -1, 1, 2, 1, 0, -1, -2, -1, 0, 1, 2, 3, 3, 2, 1, 0, -1, -2, -3, -3, -2, -1, 0, 1, 2, 3, 3, 4, 4, 4, 4, 0, 0, 0, 0, 0, -3, -2, -2, -2, -2, -1, -4, 0, 0, 0, 0, -3, -2, -2, -2, -2, -2, -2, -1, 0, 0, 0, 0, 0, -3, -2, -2, -2, -2, -2, -2, -1, 0, -2, -2, -2, -2, -2, -2, -2, -2, 0, 0, 0, 0, -3, -2, -2, -2, -2, -2, -2, -1, 0, 0, 0, 0, 0, 0, 0, 0, 0, 0, 0, 0, 0, 0, 0, 0, 0, 0, 0, 0, 0, 0, 0, 0, 0, 0, 0, 0, 0, 0, 0, 0, 0, 0, 0, -4, 0, 2, 2, -2, -2, -1, 0, -1, 0, 0, 1, 0, 1, 2, 1, 0, 1, -2, -2, 0, 0, 1, 1, 1, 0, -1, -1, -1, 0, 1, 1, 1, 0, -1, -1, -1, 0, 0, 0, 0, 0, 0, 0, 0, 0, 0, 0, 0, 0, 0, 0, 0, 3, 2, 1, -1, -2, -3, 0, 0, 0, 0, 0, 0, 0, 0, 0, 0, 0, 0, 0, 0, 0, 0, 0, 0, 0, 0, 0, 0, 0, 0, 0, 0, 0, 0, 0, 0, 0, 0, 0, 0, -2, -2, -2, -2, -2, 0, 0, -2, -2, -2, -2, -2, 0, 0, 0, 0, 0, 0, 0, 4, 3, 2, -2, -3, -4, 0, 4, 3, 2, -1, 0, 0, 0, 0, 0, 0, 0, 0, 0, 0, 0, 0, 0, 0, 2, 2, 2, 2, 4, 2, 2, 0, 0, 0, 0, 0, -2, -2, -2, -2, 0, -2, -2, -4, 0, 0, -1, -1, -2, -4, -4, -4, -4, -4, 0, 0, 0, 4, 3, 2, -2, -3, -4, 1, 0, -1, 4, 3, 2, 1, -1, -1, 3, 3, 2, 1, 0, -1, 0, 4, 3, 2, 0, -2, -3, -4, 0, 4, 3, 2, 0, -2, -3, -4, 0, 2, 2, 1, 1, 0, 0, -1, -1, -2, -2, 0, 2, 1, 0, -1, -1, -2, -3, -4, 0, 0, 0, 2, 1, 0, -1, -1, -2, -3, -4, -4, -4, 0, 4, 3, 2, -1, 0, 2, 2, 0, 0, 0, 0, 0, 0, 0, -2, -2, 0, 0, 4, -1, 1, 2, 1, 0, -1, -2, -1, 0, 1, 2, 3, 3, 2, 1, 0, -1, -2, -3, -3, -2, -1, 0, 1, 2, 3, 3, 4, 4, 4, 4, 0, 0, 0, 0, 0, -3, -2, -2, -2, -2, -1, -4, 0, 0, 0, 0, -3, -2, -2, -2, -2, -2, -2, -1, 0, 0, 0, 0, 0, -3, -2, -2, -2, -2, -2, -2, -1, 0, -2, -2, -2, -2, -2, -2, -2, -2, 0, 0, 0, 0, -3, -2, -2, -2, -2, -2, -2, -1, 0, 0, 0, 0, 0, 0, 0, 0, 0, 0, 0, 0, 0, 0, 0, 0, 0, 0, 0, 0, 0, 0, 0, 0, 0, 0, 0, 0, 0, 0, 0, 0, 0, 0, 0, -4, 0, 2, 2, -2, -2, -1, 0, -1, 0, 0, 1, 0, 1, 2, 1, 0, 1, -2, -2, 0, 0, 1, 1, 1, 0, -1, -1, -1, 0, 1, 1, 1, 0, -1, -1, -1, 0, 0, 0, 0, 0, 0, 0, 0, 0, 0, 0, 0, 0, 0, 0, 0, 3, 2, 1, -1, -2, -3, 0, 0, 0, 0, 0, 0, 0, 0, 0, 0, 0, 0, 0, 0, 0, 0, 0, 0, 0, 0, 0, 0, 0, 0, 0, 0, 0, 0, 0, 0, 0, 0, 0, 0, -2, -2, -2, -2, -2, 0, 0, -2, -2, -2, -2, -2, 0, 0, -2, -1, 0, 1, 2, 4, 7, 11, 15, 0, 0, 0, 0, 0, 0, 0, 0, 0, 0, 0, 0, 0, 0, 0, 0, 0, 0, 0, 0, 0, 0, 0, 0, 0, 0, 0, 0, 0, 0, 0, 0, 0, 0, 0, 0, 0, 0, 0, 0, 0, 0, 0, 0, 0, 0, 0, 0, 0, 0, 0, 3, 2, 1, -1, -2, -3, 0, 0, 0, 0, 0, 0, 0, 0, 0, 0, 0, 0, 0, 0, 0, 0, 0, 0, 0, 0, 0, 0, 0, 0, 0, 0, 0, 0, 0, 0, 0, 0, 0, 0, 0, 0, 0, 0, 0, 0, 0, 0, 0, 0, 0, 0, 0, 0, 0, 0, 0, 3, 2, 1, -1, -2, -3, 0, 0, 0, 0, 0, 0, 0, 0, 0, 0, 0, 0, 0, 0, 0, 0, 0, 0, 0, 0, 0, 0, 0, 0, 0, 0, 0, 0, 0, 0, 0, 0, 0, 0, 0, 0, 0, 0, 0, 0, 0, 0, 0, 0, 0, 0, 0, 0, 0, 0, 0, 0, 15};</v>
      </c>
    </row>
    <row r="1039" spans="1:9" x14ac:dyDescent="0.2">
      <c r="C1039" t="str">
        <f>_xlfn.CONCAT("int8_t xForeground[] = {",_xlfn.TEXTJOIN(", ",FALSE,E$2:E1035),"};")</f>
        <v>int8_t xForeground[] = {0, 0, 0, 0, 0, 0, 0, 0, 0, 0, 0, 0, 0, 0, 0, 0, 0, -5, -5, 0, 0, 0, 0, 0, 0, 0, 0, 0, -5, -5, -5, -5, -5, 0, 0, 0, 0, 0, 0, 0, 0, 0, 0, -5, -5, 5, 5, 0, 0, 0, 0, 0, 0, 0, 0, 0, 5, 5, 5, 5, 5, 0, 0, 0, 0, 0, 0, 0, 0, 0, 0, 5, 5, 0, 0, 0, 0, 0, 0, 0, 0, 0, 0, 0, 0, 0, 0, 0, 0, 0, 0, 0, 0, 0, 0, 0, 0, 0, 0, 0, 0, 0, 0, 0, 0, 0, 0, 0, -5, -5, -5, -5, -5, -5, -5, -5, -5, -5, -5, -5, -5, -5, -5, -5, -5, -5, -5, -5, -5, -5, -5, -5, -5, -5, -5, -5, -5, -5, -5, -5, -5, -5, -5, -5, -5, 0, 0, 0, 0, 0, 0, 0, 0, 0, 0, 0, 0, 0, 0, 0, 0, 0, 0, 0, 0, 0, 0, 0, 0, 0, -5, -5, -5, -5, -5, -5, -5, 0, -5, -5, -5, 0, -5, -5, -5, -5, -5, -5, -5, -5, -5, -5, -5, -5, -5, -5, -5, -5, -5, -5, -5, -5, -5, -5, -5, -5, -5, -5, -5, -5, -5, -5, -5, -5, -5, -5, -5, -5, -5, -5, -5, -5, -5, -5, -5, -5, -5, 0, 0, 0, 0, -5, -5, -5, -5, -5, -5, -5, -5, 0, 0, 0, 0, 0, 0, 0, 0, 0, 0, 0, 0, 0, 0, 0, 0, 0, 0, 0, 0, 0, 0, 0, 0, 0, 0, 0, 0, 0, 0, 0, 0, 0, 0, 0, 0, -5, -5, -5, -5, 0, -5, -5, -5, -5, 0, 0, -5, -5, -5, -5, 0, -5, -5, -5, -5, -5, -5, -5, -5, -5, -5, -5, -5, -5, -5, -5, -5, -5, -5, -5, -5, 0, -5, -5, -5, -5, -5, -5, -5, -5, -5, -5, -5, -5, 0, -5, -5, -5, -5, -5, -5, -5, -5, 0, 0, 0, 0, 0, 0, 0, 0, 0, 0, 0, 0, 0, 0, 0, 0, 0, 0, 0, 0, 0, 0, -5, -5, -5, -5, -5, -5, -5, -5, -5, -5, -5, -5, 0, -5, -5, -8, -8, -8, -10, -10, -10, -10, -10, -10, -8, -8, -8, -5, -5, -5, -5, -5, 0, 0, -5, -5, -5, -5, -2, -2, -5, 0, -5, -5, -5, -5, -2, -2, -5, 0, 0, 0, 0, 0, 0, 0, -5, -5, -5, -5, 5, 5, 5, 5, 0, 0, 0, 0, 0, 0, 0, 0, 0, 0, 0, 0, 0, 0, 0, 0, 0, 0, 0, 10, -10, 0, 0, 0, 0, 0, 0, 0, 0, 0, 0, 0, 0, 0, 0, 0, 0, 0, 0, 0, 0, 0, 0, 0, 0, 0, 0, 0, -5, -2, -2, -2, -2, -2, 0, 0, 0, 0, 0, 0, 0, 0, 0, 0, 0, 0, 0, 0, 0, 0, 0, 0, 0, 5, 5, 5, 5, 5, 5, 5, 5, 5, 5, 5, 5, 5, 5, 5, 5, 5, 5, 5, 5, 5, 5, 5, 5, 5, 5, 5, 5, 5, 5, 5, 5, 5, 5, 5, 5, 5, 0, 0, 0, 0, 0, 0, 0, 0, 0, 0, 0, 0, 0, 0, 0, 0, 0, 0, 0, 0, 0, 0, 0, 0, 0, 5, 5, 5, 5, 5, 5, 5, 0, 5, 5, 5, 0, 5, 5, 5, 5, 5, 5, 5, 5, 5, 5, 5, 5, 5, 5, 5, 5, 5, 5, 5, 5, 5, 5, 5, 5, 5, 5, 5, 5, 5, 5, 5, 5, 5, 5, 5, 5, 5, 5, 5, 5, 5, 5, 5, 5, 5, 0, 0, 0, 0, 5, 5, 5, 5, 5, 5, 5, 5, 0, 0, 0, 0, 0, 0, 0, 0, 0, 0, 0, 0, 0, 0, 0, 0, 0, 0, 0, 0, 0, 0, 0, 0, 0, 0, 0, 0, 0, 0, 0, 0, 0, 0, 0, 0, 5, 5, 5, 5, 0, 5, 5, 5, 5, 0, 0, 5, 5, 5, 5, 0, 5, 5, 5, 5, 5, 5, 5, 5, 5, 5, 5, 5, 5, 5, 5, 5, 5, 5, 5, 5, 0, 5, 5, 5, 5, 5, 5, 5, 5, 5, 5, 5, 5, 0, 5, 5, 5, 5, 5, 5, 5, 5, 0, 0, 0, 0, 0, 0, 0, 0, 0, 0, 0, 0, 0, 0, 0, 0, 0, 0, 0, 0, 0, 0, 5, 5, 5, 5, 5, 5, 5, 5, 5, 5, 5, 5, 0, 5, 5, 8, 8, 8, 10, 10, 10, 10, 10, 10, 8, 8, 8, 5, 5, 5, 5, 5, 0, 0, 5, 5, 5, 5, 2, 2, 5, 0, 5, 5, 5, 5, 2, 2, 5, 0, 0, 0, 0, 0, 0, 0, 5, 5, 5, 5, -5, -5, -5, -5, 0, 0, 0, 0, 0, 0, 0, 0, 0, 0, 0, 0, 0, 0, 0, 0, 0, 0, 0, -10, 10, 0, 0, 0, 0, 0, 0, 0, 0, 0, 0, 0, 0, 0, 0, 0, 0, 0, 0, 0, 0, 0, 0, 0, 0, 0, 0, 0, 5, 2, 2, 2, 2, 2, 0, 0, 0, 0, 0, 0, 0, 0, 0, 0, 0, 0, 0, 0, 0, 0, 0, 0, 0, 0, 0, 0, 0, 0, 0, 0, 0, 0, 0, 0, 0, 0, 0, 0, 0, 0, 0, 0, 0, 0, 0, 0, 0, 0, 0, 0, 0, 0, 0, 0, 0, 0, 5, 5, 5, 5, -5, -5, -5, -5, 0, 0, 0, 0, 0, 0, 0, 0, 0, 0, 0, 0, 0, 0, 0, 0, 0, 0, 0, 0, 0, 0, 0, 0, 0, 0, 0, 0, 0, 0, 0, 0, 0, 0, 0, 0, 0, 0, 0, 0, 0, 0, 0, 0, 0, 0, 0, 0, 0, -5, -5, -5, -5, 5, 5, 5, 5, 0, 0, 0, 0, 0, 0, 0, 0, 0, 0, 0, 0, 0, 0, 0, 0, 0, 0, 0, 0, 0, 0, 0, 0, 0, 0, 0, 0, 0, 0, 0, 0, 0, 0, 0, 0, 0, 0, 0, 0, 0, 0, 0, 0, 0, 0, 0, 0, 0, 0, 0, 0, 0, 0, 0, 0, 0, 0, 0, 0};</v>
      </c>
    </row>
    <row r="1040" spans="1:9" x14ac:dyDescent="0.2">
      <c r="C1040" t="str">
        <f>_xlfn.CONCAT("int8_t xMiddleground[] = {",_xlfn.TEXTJOIN(", ",FALSE,F$2:F1035),"};")</f>
        <v>int8_t xMiddleground[] = {0, 0, 0, 0, 0, 0, 0, 0, 0, 0, 0, 0, 0, 0, 0, 0, 0, -2, -2, 0, 0, 0, 0, 0, 0, 0, 0, 0, -2, -2, 0, -2, -2, 0, 0, 0, 0, 0, 0, 0, 0, 0, 0, -2, -2, 2, 2, 0, 0, 0, 0, 0, 0, 0, 0, 0, 2, 2, 0, 2, 2, 0, 0, 0, 0, 0, 0, 0, 0, 0, 0, 2, 2, 0, 0, 0, 0, 0, 0, 0, 0, 0, 0, 0, 0, 0, 0, 0, 0, 0, 0, 0, 0, 0, 0, 0, 0, 0, 0, 0, 0, 0, 0, 0, 0, 0, 0, 0, -2, -2, -2, -2, -2, -2, -2, -2, -2, -2, -2, -2, -2, -2, -2, -2, -2, -2, -2, -2, -2, -2, -2, -2, -2, -2, -2, -2, -2, -2, -2, -2, -2, -2, -2, -1, -1, 0, 0, 0, 0, 0, 0, 0, 0, 0, 0, 0, 0, 0, 0, 0, 0, 0, 0, 0, 0, 0, 0, 0, 0, 0, -2, -2, -2, -2, 0, -2, -1, 0, -1, -1, -1, 0, 0, -2, -2, -2, -2, -2, -2, -2, -2, -2, -2, -2, -3, -3, -2, -2, -2, -2, -2, -2, -2, -2, -2, -3, -3, -2, -2, -2, -2, -2, -2, -2, -2, -2, -3, -3, -2, -2, -2, -2, -2, -2, -2, -1, -1, 0, 0, 0, 0, -2, -2, -2, -2, -2, -2, -2, -2, 0, 0, 0, 0, 0, 0, 0, 0, 0, 0, 0, 0, 0, 0, 0, 0, 0, 0, 0, 0, 0, 0, 0, 0, 0, 0, 0, 0, 0, 0, 0, 0, 0, 0, 0, 0, -2, -2, -2, -2, 0, -2, -2, -2, -2, 0, 0, -2, -2, -2, -2, 0, -2, -2, -2, -2, -2, -2, -2, -2, -2, -2, -2, -2, -2, -2, -2, -2, -2, -2, -2, -2, 0, -2, -2, -2, -2, -2, -2, -2, -2, -2, -2, -2, -2, 0, -2, -2, -2, -2, -2, -2, -2, -2, 0, 0, 0, 0, 0, 0, 0, 0, 0, 0, 0, 0, 0, 0, 0, 0, 0, 0, 0, 0, 0, 0, -2, -2, -2, -2, -2, -2, -2, -2, -2, -2, -2, -2, 0, -2, -2, -3, -4, -3, -3, -4, -4, -4, -4, -4, -3, -3, -3, -2, -2, -2, -2, -2, 0, 0, -2, -2, -2, -2, -1, -1, -2, 0, -2, -2, -2, -2, -1, -1, -2, 0, 0, 0, 0, 0, 0, 0, -2, -2, -2, -2, 2, 2, 2, 2, 0, 0, 0, 0, 0, 0, 0, 0, 0, 0, 0, 0, 0, 0, 0, 0, 0, 0, 0, 4, -4, 0, 0, 0, 0, 0, 0, 0, 0, 0, 0, 0, 0, 0, 0, 0, 0, 0, 0, 0, 0, 0, 0, 0, 0, 0, 0, 0, -2, -1, 0, -1, 0, -1, 0, 0, 0, 0, 0, 0, 0, 0, 0, 0, 0, 0, 0, 0, 0, 0, 0, 0, 0, 2, 2, 2, 2, 2, 2, 2, 2, 2, 2, 2, 2, 2, 2, 2, 2, 2, 2, 2, 2, 2, 2, 2, 2, 2, 2, 2, 2, 2, 2, 2, 2, 2, 2, 2, 1, 1, 0, 0, 0, 0, 0, 0, 0, 0, 0, 0, 0, 0, 0, 0, 0, 0, 0, 0, 0, 0, 0, 0, 0, 0, 0, 2, 2, 2, 2, 0, 2, 1, 0, 1, 1, 1, 0, 0, 2, 2, 2, 2, 2, 2, 2, 2, 2, 2, 2, 3, 3, 2, 2, 2, 2, 2, 2, 2, 2, 2, 3, 3, 2, 2, 2, 2, 2, 2, 2, 2, 2, 3, 3, 2, 2, 2, 2, 2, 2, 2, 1, 1, 0, 0, 0, 0, 2, 2, 2, 2, 2, 2, 2, 2, 0, 0, 0, 0, 0, 0, 0, 0, 0, 0, 0, 0, 0, 0, 0, 0, 0, 0, 0, 0, 0, 0, 0, 0, 0, 0, 0, 0, 0, 0, 0, 0, 0, 0, 0, 0, 2, 2, 2, 2, 0, 2, 2, 2, 2, 0, 0, 2, 2, 2, 2, 0, 2, 2, 2, 2, 2, 2, 2, 2, 2, 2, 2, 2, 2, 2, 2, 2, 2, 2, 2, 2, 0, 2, 2, 2, 2, 2, 2, 2, 2, 2, 2, 2, 2, 0, 2, 2, 2, 2, 2, 2, 2, 2, 0, 0, 0, 0, 0, 0, 0, 0, 0, 0, 0, 0, 0, 0, 0, 0, 0, 0, 0, 0, 0, 0, 2, 2, 2, 2, 2, 2, 2, 2, 2, 2, 2, 2, 0, 2, 2, 3, 4, 3, 3, 4, 4, 4, 4, 4, 3, 3, 3, 2, 2, 2, 2, 2, 0, 0, 2, 2, 2, 2, 1, 1, 2, 0, 2, 2, 2, 2, 1, 1, 2, 0, 0, 0, 0, 0, 0, 0, 2, 2, 2, 2, -2, -2, -2, -2, 0, 0, 0, 0, 0, 0, 0, 0, 0, 0, 0, 0, 0, 0, 0, 0, 0, 0, 0, -4, 4, 0, 0, 0, 0, 0, 0, 0, 0, 0, 0, 0, 0, 0, 0, 0, 0, 0, 0, 0, 0, 0, 0, 0, 0, 0, 0, 0, 2, 1, 0, 1, 0, 1, 0, 0, 0, 0, 0, 0, 0, 0, 0, 0, 0, 0, 0, 0, 0, 0, 0, 0, 0, 0, 0, 0, 0, 0, 0, 0, 0, 0, 0, 0, 0, 0, 0, 0, 0, 0, 0, 0, 0, 0, 0, 0, 0, 0, 0, 0, 0, 0, 0, 0, 0, 0, 2, 2, 2, 2, -2, -2, -2, -2, 0, 0, 0, 0, 0, 0, 0, 0, 0, 0, 0, 0, 0, 0, 0, 0, 0, 0, 0, 0, 0, 0, 0, 0, 0, 0, 0, 0, 0, 0, 0, 0, 0, 0, 0, 0, 0, 0, 0, 0, 0, 0, 0, 0, 0, 0, 0, 0, 0, -2, -2, -2, -2, 2, 2, 2, 2, 0, 0, 0, 0, 0, 0, 0, 0, 0, 0, 0, 0, 0, 0, 0, 0, 0, 0, 0, 0, 0, 0, 0, 0, 0, 0, 0, 0, 0, 0, 0, 0, 0, 0, 0, 0, 0, 0, 0, 0, 0, 0, 0, 0, 0, 0, 0, 0, 0, 0, 0, 0, 0, 0, 0, 0, 0, 0, 0, 0};</v>
      </c>
    </row>
    <row r="1041" spans="3:3" x14ac:dyDescent="0.2">
      <c r="C1041" t="str">
        <f>_xlfn.CONCAT("int8_t xBackground[] = {",_xlfn.TEXTJOIN(", ",FALSE,G$2:G1035),"};")</f>
        <v>int8_t xBackground[] = {0, 0, 0, 0, 0, 0, 0, 0, 0, 0, 0, 0, 0, 0, 0, 0, 0, -1, -1, 0, 0, 0, 0, 0, 0, 0, 0, 0, -1, -1, -1, -1, -1, 0, 0, 0, 0, 0, 0, 0, 0, 0, 0, -1, -1, 1, 1, 0, 0, 0, 0, 0, 0, 0, 0, 0, 1, 1, 1, 1, 1, 0, 0, 0, 0, 0, 0, 0, 0, 0, 0, 1, 1, 0, 0, 0, 0, 0, 0, 0, 0, 0, 0, 0, 0, 0, 0, 0, 0, 0, 0, 0, 0, 0, 0, 0, 0, 0, 0, 0, 0, 0, 0, 0, 0, 0, 0, 0, -1, 0, -1, 0, -1, 0, -1, 0, -1, 0, -1, 0, -1, 0, -1, 0, -1, 0, -1, 0, -1, 0, -1, 0, -1, 0, -1, 0, -1, 0, -1, 0, 0, -1, 0, -1, 0, 0, 0, 0, 0, 0, 0, 0, 0, 0, 0, 0, 0, 0, 0, 0, 0, 0, 0, 0, 0, 0, 0, 0, 0, 0, 0, -1, 0, -1, -1, 0, -1, 0, -1, 0, -1, 0, -1, 0, -1, 0, -1, 0, -1, 0, -1, 0, -1, 0, -1, 0, -1, 0, -1, 0, -1, -1, 0, -1, 0, -1, 0, -1, 0, -1, 0, -1, -1, 0, -1, 0, -1, 0, -1, 0, -1, 0, -1, 0, 0, -1, 0, 0, 0, 0, 0, 0, -1, 0, -1, -1, 0, -1, 0, 0, 0, 0, 0, 0, 0, 0, 0, 0, 0, 0, 0, 0, 0, 0, 0, 0, 0, 0, 0, 0, 0, 0, 0, 0, 0, 0, 0, 0, 0, 0, 0, 0, 0, 0, 0, -1, -1, -1, -1, 0, -1, -1, -1, -1, 0, 0, -1, -1, -1, -1, 0, -1, -1, -1, -1, -1, -1, -1, -1, -1, -1, -1, -1, -1, -1, -1, -1, -1, -1, -1, -1, 0, -1, -1, -1, -1, -1, -1, -1, -1, -1, -1, -1, -1, 0, -1, -1, -1, -1, -1, -1, -1, -1, 0, 0, 0, 0, 0, 0, 0, 0, 0, 0, 0, 0, 0, 0, 0, 0, 0, 0, 0, 0, 0, 0, -1, -1, -1, -1, -1, -1, -1, -1, -1, -1, -1, -1, 0, -1, -1, -2, -2, -2, -2, -2, -2, -2, -2, -2, -1, -1, -1, -1, -1, -1, -1, -1, 0, 0, -1, -1, -1, -1, 0, -1, -1, 0, -1, -1, -1, -1, 0, 0, -1, 0, 0, 0, 0, 0, 0, 0, -1, -1, -1, -1, 1, 1, 1, 1, 0, 0, 0, 0, 0, 0, 0, 0, 0, 0, 0, 0, 0, 0, 0, 0, 0, 0, 0, 2, -2, 0, 0, 0, 0, 0, 0, 0, 0, 0, 0, 0, 0, 0, 0, 0, 0, 0, 0, 0, 0, 0, 0, 0, 0, 0, 0, 0, -1, -1, 0, -1, 0, -1, 0, 0, 0, 0, 0, 0, 0, 0, 0, 0, 0, 0, 0, 0, 0, 0, 0, 0, 0, 1, 0, 1, 0, 1, 0, 1, 0, 1, 0, 1, 0, 1, 0, 1, 0, 1, 0, 1, 0, 1, 0, 1, 0, 1, 0, 1, 0, 1, 0, 1, 0, 0, 1, 0, 1, 0, 0, 0, 0, 0, 0, 0, 0, 0, 0, 0, 0, 0, 0, 0, 0, 0, 0, 0, 0, 0, 0, 0, 0, 0, 0, 0, 1, 0, 1, 1, 0, 1, 0, 1, 0, 1, 0, 1, 0, 1, 0, 1, 0, 1, 0, 1, 0, 1, 0, 1, 0, 1, 0, 1, 0, 1, 1, 0, 1, 0, 1, 0, 1, 0, 1, 0, 1, 1, 0, 1, 0, 1, 0, 1, 0, 1, 0, 1, 0, 0, 1, 0, 0, 0, 0, 0, 0, 1, 0, 1, 1, 0, 1, 0, 0, 0, 0, 0, 0, 0, 0, 0, 0, 0, 0, 0, 0, 0, 0, 0, 0, 0, 0, 0, 0, 0, 0, 0, 0, 0, 0, 0, 0, 0, 0, 0, 0, 0, 0, 0, 1, 1, 1, 1, 0, 1, 1, 1, 1, 0, 0, 1, 1, 1, 1, 0, 1, 1, 1, 1, 1, 1, 1, 1, 1, 1, 1, 1, 1, 1, 1, 1, 1, 1, 1, 1, 0, 1, 1, 1, 1, 1, 1, 1, 1, 1, 1, 1, 1, 0, 1, 1, 1, 1, 1, 1, 1, 1, 0, 0, 0, 0, 0, 0, 0, 0, 0, 0, 0, 0, 0, 0, 0, 0, 0, 0, 0, 0, 0, 0, 1, 1, 1, 1, 1, 1, 1, 1, 1, 1, 1, 1, 0, 1, 1, 2, 2, 2, 2, 2, 2, 2, 2, 2, 1, 1, 1, 1, 1, 1, 1, 1, 0, 0, 1, 1, 1, 1, 0, 1, 1, 0, 1, 1, 1, 1, 0, 1, 1, 0, 0, 0, 0, 0, 0, 0, 1, 1, 1, 1, -1, -1, -1, -1, 0, 0, 0, 0, 0, 0, 0, 0, 0, 0, 0, 0, 0, 0, 0, 0, 0, 0, 0, -2, 2, 0, 0, 0, 0, 0, 0, 0, 0, 0, 0, 0, 0, 0, 0, 0, 0, 0, 0, 0, 0, 0, 0, 0, 0, 0, 0, 0, 1, 1, 0, 1, 0, 1, 0, 0, 0, 0, 0, 0, 0, 0, 0, 0, 0, 0, 0, 0, 0, 0, 0, 0, 0, 0, 0, 0, 0, 0, 0, 0, 0, 0, 0, 0, 0, 0, 0, 0, 0, 0, 0, 0, 0, 0, 0, 0, 0, 0, 0, 0, 0, 0, 0, 0, 0, 0, 1, 1, 1, 1, -1, -1, -1, -1, 0, 0, 0, 0, 0, 0, 0, 0, 0, 0, 0, 0, 0, 0, 0, 0, 0, 0, 0, 0, 0, 0, 0, 0, 0, 0, 0, 0, 0, 0, 0, 0, 0, 0, 0, 0, 0, 0, 0, 0, 0, 0, 0, 0, 0, 0, 0, 0, 0, -1, -1, -1, -1, 1, 1, 1, -1, 0, 0, 0, 0, 0, 0, 0, 0, 0, 0, 0, 0, 0, 0, 0, 0, 0, 0, 0, 0, 0, 0, 0, 0, 0, 0, 0, 0, 0, 0, 0, 0, 0, 0, 0, 0, 0, 0, 0, 0, 0, 0, 0, 0, 0, 0, 0, 0, 0, 0, 0, 0, 0, 0, 0, 0, 0, 0, 0, 0};</v>
      </c>
    </row>
    <row r="1042" spans="3:3" x14ac:dyDescent="0.2">
      <c r="C1042" t="str">
        <f>_xlfn.CONCAT("uint16_t subsititueStance[] = {",_xlfn.TEXTJOIN(", ",FALSE,H$2:H1035),"};")</f>
        <v>uint16_t subsititueStance[] = {65535,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109, 65535, 109, 65535, 65535, 65535, 65535, 65535, 65535, 65535, 65535, 65535, 65535, 65535, 65535, 65535, 65535, 65535, 65535, 65535, 65535, 65535, 109, 65535, 65535, 65535, 65535, 65535, 109,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109, 65535, 65535, 65535, 65535, 65535, 65535, 65535, 65535, 65535, 65535, 65535, 65535, 109, 65535, 65535, 65535, 65535, 65535, 65535, 65535, 65535, 65535, 65535, 65535, 65535, 65535, 65535, 65535, 65535, 65535, 65535, 65535, 65535, 65535, 65535, 65535, 65535, 65535, 65535, 65535, 65535, 65535, 65535, 65535, 65535, 65535, 234,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109, 65535, 65535, 65535, 65535, 65535, 65535, 65535, 65535, 65535, 65535, 109,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51,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474, 65535, 65535, 65535, 65535, 65535, 65535, 65535, 65535, 65535, 65535, 65535, 65535, 65535, 65535, 65535, 65535, 65535, 65535, 65535, 65535, 65535, 65535, 65535, 65535, 65535, 65535, 65535, 65535, 65535, 65535, 65535, 65535, 65535, 65535, 65535, 65535, 65535, 65535, 493, 65535, 493, 65535, 65535, 65535, 65535, 65535, 65535, 65535, 65535, 65535, 65535, 65535, 65535, 65535, 65535, 65535, 65535, 65535, 65535, 65535, 493, 65535, 65535, 65535, 65535, 65535, 493,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493, 65535, 65535, 65535, 65535, 65535, 65535, 65535, 65535, 65535, 65535, 65535, 65535, 493, 65535, 65535, 65535, 65535, 65535, 65535, 65535, 65535, 65535, 65535, 65535, 65535, 65535, 65535, 65535, 65535, 65535, 65535, 65535, 65535, 65535, 65535, 65535, 65535, 65535, 65535, 65535, 65535, 65535, 65535, 65535, 65535, 65535, 618,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493, 65535, 65535, 65535, 65535, 65535, 65535, 65535, 65535, 65535, 65535, 493,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51,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902, 65535, 902, 65535, 65535, 65535, 902, 65535, 65535, 65535, 65535, 65535, 65535, 65535, 65535, 902,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959, 65535, 959, 65535, 65535, 65535, 959, 65535, 65535, 65535, 65535, 65535, 65535, 65535, 65535, 959,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65535};</v>
      </c>
    </row>
  </sheetData>
  <pageMargins left="0.7" right="0.7" top="0.75" bottom="0.75" header="0.3" footer="0.3"/>
  <pageSetup paperSize="9" orientation="portrait" horizontalDpi="0" verticalDpi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65A23E-585E-B54B-8A83-D070792AD9EE}">
  <sheetPr codeName="Sheet7"/>
  <dimension ref="C1:AE259"/>
  <sheetViews>
    <sheetView topLeftCell="A4" zoomScale="90" zoomScaleNormal="90" workbookViewId="0">
      <selection activeCell="F16" sqref="F16:F81"/>
    </sheetView>
  </sheetViews>
  <sheetFormatPr baseColWidth="10" defaultColWidth="11.1640625" defaultRowHeight="68" customHeight="1" x14ac:dyDescent="0.2"/>
  <cols>
    <col min="3" max="3" width="11.1640625" customWidth="1"/>
  </cols>
  <sheetData>
    <row r="1" spans="3:31" ht="68" customHeight="1" x14ac:dyDescent="0.2">
      <c r="C1" s="15"/>
      <c r="E1" s="11"/>
      <c r="F1" s="11">
        <v>0</v>
      </c>
      <c r="G1" s="11">
        <v>1</v>
      </c>
      <c r="H1" s="11">
        <v>2</v>
      </c>
      <c r="I1" s="11">
        <v>3</v>
      </c>
      <c r="J1" s="11">
        <v>4</v>
      </c>
      <c r="K1" s="11">
        <v>5</v>
      </c>
      <c r="L1" s="11">
        <v>6</v>
      </c>
      <c r="M1" s="11">
        <v>7</v>
      </c>
      <c r="N1" s="11">
        <v>8</v>
      </c>
      <c r="O1" s="11">
        <v>9</v>
      </c>
      <c r="P1" s="11">
        <v>10</v>
      </c>
      <c r="Q1" s="11">
        <v>11</v>
      </c>
      <c r="R1" s="11">
        <v>12</v>
      </c>
      <c r="S1" s="11">
        <v>13</v>
      </c>
      <c r="T1" s="11">
        <v>14</v>
      </c>
      <c r="U1" s="11">
        <v>15</v>
      </c>
      <c r="V1" s="11">
        <v>16</v>
      </c>
      <c r="W1" s="11">
        <v>17</v>
      </c>
      <c r="X1" s="11">
        <v>18</v>
      </c>
      <c r="Y1" s="11">
        <v>19</v>
      </c>
      <c r="Z1" s="11">
        <v>20</v>
      </c>
      <c r="AA1" s="11">
        <v>21</v>
      </c>
      <c r="AB1" s="11">
        <v>22</v>
      </c>
      <c r="AC1" s="11">
        <v>23</v>
      </c>
      <c r="AD1" s="11">
        <v>24</v>
      </c>
      <c r="AE1" s="12"/>
    </row>
    <row r="2" spans="3:31" ht="68" customHeight="1" x14ac:dyDescent="0.2">
      <c r="E2" s="11">
        <v>0</v>
      </c>
      <c r="AE2" s="12"/>
    </row>
    <row r="3" spans="3:31" ht="68" customHeight="1" x14ac:dyDescent="0.2">
      <c r="E3" s="11">
        <v>1</v>
      </c>
      <c r="AE3" s="12"/>
    </row>
    <row r="4" spans="3:31" ht="68" customHeight="1" x14ac:dyDescent="0.2">
      <c r="E4" s="11">
        <v>2</v>
      </c>
      <c r="AE4" s="12"/>
    </row>
    <row r="5" spans="3:31" ht="68" customHeight="1" x14ac:dyDescent="0.2">
      <c r="E5" s="11">
        <v>3</v>
      </c>
      <c r="AE5" s="12"/>
    </row>
    <row r="6" spans="3:31" ht="68" customHeight="1" x14ac:dyDescent="0.2">
      <c r="E6" s="11">
        <v>4</v>
      </c>
      <c r="AE6" s="12"/>
    </row>
    <row r="7" spans="3:31" ht="68" customHeight="1" x14ac:dyDescent="0.2">
      <c r="E7" s="11">
        <v>5</v>
      </c>
      <c r="N7" s="13"/>
      <c r="AE7" s="12"/>
    </row>
    <row r="8" spans="3:31" ht="68" customHeight="1" x14ac:dyDescent="0.2">
      <c r="E8" s="11">
        <v>6</v>
      </c>
      <c r="AE8" s="12"/>
    </row>
    <row r="9" spans="3:31" ht="68" customHeight="1" x14ac:dyDescent="0.2">
      <c r="E9" s="11">
        <v>7</v>
      </c>
      <c r="AE9" s="12"/>
    </row>
    <row r="10" spans="3:31" ht="68" customHeight="1" x14ac:dyDescent="0.2">
      <c r="C10" t="s">
        <v>997</v>
      </c>
      <c r="E10" s="12"/>
      <c r="F10" s="12"/>
      <c r="G10" s="12"/>
      <c r="H10" s="12"/>
      <c r="I10" s="12"/>
      <c r="J10" s="12"/>
      <c r="K10" s="12"/>
      <c r="L10" s="12"/>
      <c r="M10" s="12"/>
      <c r="N10" s="12"/>
      <c r="O10" s="12"/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</row>
    <row r="11" spans="3:31" ht="68" customHeight="1" x14ac:dyDescent="0.2">
      <c r="C11" t="s">
        <v>998</v>
      </c>
      <c r="E11" t="s">
        <v>1061</v>
      </c>
      <c r="F11">
        <v>0</v>
      </c>
      <c r="G11" t="s">
        <v>1062</v>
      </c>
      <c r="H11">
        <v>0</v>
      </c>
      <c r="I11" t="s">
        <v>1063</v>
      </c>
      <c r="J11">
        <v>107</v>
      </c>
      <c r="L11" s="22" t="s">
        <v>1064</v>
      </c>
      <c r="M11" s="22"/>
      <c r="N11" s="22"/>
    </row>
    <row r="14" spans="3:31" ht="69" customHeight="1" x14ac:dyDescent="0.2"/>
    <row r="15" spans="3:31" ht="34" customHeight="1" x14ac:dyDescent="0.2"/>
    <row r="16" spans="3:31" ht="18" customHeight="1" x14ac:dyDescent="0.25">
      <c r="F16" s="17" t="str" cm="1">
        <f t="array" aca="1" ref="F16" ca="1">_xlfn.CONCAT("uint8_t ", _xlfn.TEXTAFTER(CELL("filename",A1),"]"), "[] = {")</f>
        <v>uint8_t Level_00[] = {</v>
      </c>
    </row>
    <row r="17" spans="6:6" ht="18" customHeight="1" x14ac:dyDescent="0.25">
      <c r="F17" s="17" t="str">
        <f>_xlfn.CONCAT("{",_xlfn.TEXTJOIN(" ",FALSE,Hidden!F24:AD24),"},")</f>
        <v>{ 0, 0,  0, 0,  0, 0,  0, 0,  0, 0,  0, 0,  0, 0,  0, 0,  0, 0,  0, 0,  0, 0,  0, 0,  0, 0,  0, 0,  0, 0,  0, 0,  0, 0,  0, 0,  0, 0,  0, 0,  0, 0,  0, 0,  0, 0,  0, 0,  0, 0,},</v>
      </c>
    </row>
    <row r="18" spans="6:6" ht="18" customHeight="1" x14ac:dyDescent="0.25">
      <c r="F18" s="17" t="str">
        <f>_xlfn.CONCAT("{",_xlfn.TEXTJOIN(" ",FALSE,Hidden!F25:AD25),"},")</f>
        <v>{ 0, 0,  0, 0,  0, 0,  0, 0,  0, 0,  0, 0,  0, 0,  0, 0,  0, 0,  0, 0,  0, 0,  0, 0,  0, 0,  0, 0,  0, 0,  0, 0,  0, 0,  0, 0,  0, 0,  0, 0,  0, 0,  0, 0,  0, 0,  0, 0,  0, 0,},</v>
      </c>
    </row>
    <row r="19" spans="6:6" ht="18" customHeight="1" x14ac:dyDescent="0.25">
      <c r="F19" s="17" t="str">
        <f>_xlfn.CONCAT("{",_xlfn.TEXTJOIN(" ",FALSE,Hidden!F26:AD26),"},")</f>
        <v>{ 0, 0,  0, 0,  0, 0,  0, 0,  0, 0,  0, 0,  0, 0,  0, 0,  0, 0,  0, 0,  0, 0,  0, 0,  0, 0,  0, 0,  0, 0,  0, 0,  0, 0,  0, 0,  0, 0,  0, 0,  0, 0,  0, 0,  0, 0,  0, 0,  0, 0,},</v>
      </c>
    </row>
    <row r="20" spans="6:6" ht="18" customHeight="1" x14ac:dyDescent="0.25">
      <c r="F20" s="17" t="str">
        <f>_xlfn.CONCAT("{",_xlfn.TEXTJOIN(" ",FALSE,Hidden!F27:AD27),"},")</f>
        <v>{ 0, 0,  0, 0,  0, 0,  0, 0,  0, 0,  0, 0,  0, 0,  0, 0,  0, 0,  0, 0,  0, 0,  0, 0,  0, 0,  0, 0,  0, 0,  0, 0,  0, 0,  0, 0,  0, 0,  0, 0,  0, 0,  0, 0,  0, 0,  0, 0,  0, 0,},</v>
      </c>
    </row>
    <row r="21" spans="6:6" ht="18" customHeight="1" x14ac:dyDescent="0.25">
      <c r="F21" s="17" t="str">
        <f>_xlfn.CONCAT("{",_xlfn.TEXTJOIN(" ",FALSE,Hidden!F28:AD28),"},")</f>
        <v>{ 0, 0,  0, 0,  0, 0,  0, 0,  0, 0,  0, 0,  0, 0,  0, 0,  0, 0,  0, 0,  0, 0,  0, 0,  0, 0,  0, 0,  0, 0,  0, 0,  0, 0,  0, 0,  0, 0,  0, 0,  0, 0,  0, 0,  0, 0,  0, 0,  0, 0,},</v>
      </c>
    </row>
    <row r="22" spans="6:6" ht="18" customHeight="1" x14ac:dyDescent="0.25">
      <c r="F22" s="17" t="str">
        <f>_xlfn.CONCAT("{",_xlfn.TEXTJOIN(" ",FALSE,Hidden!F29:AD29),"},")</f>
        <v>{ 0, 0,  0, 0,  0, 0,  0, 0,  0, 0,  0, 0,  0, 0,  0, 0,  0, 0,  0, 0,  0, 0,  0, 0,  0, 0,  0, 0,  0, 0,  0, 0,  0, 0,  0, 0,  0, 0,  0, 0,  0, 0,  0, 0,  0, 0,  0, 0,  0, 0,},</v>
      </c>
    </row>
    <row r="23" spans="6:6" ht="18" customHeight="1" x14ac:dyDescent="0.25">
      <c r="F23" s="17" t="str">
        <f>_xlfn.CONCAT("{",_xlfn.TEXTJOIN(" ",FALSE,Hidden!F30:AD30),"},")</f>
        <v>{ 0, 0,  0, 0,  0, 0,  0, 0,  0, 0,  0, 0,  0, 0,  0, 0,  0, 0,  0, 0,  0, 0,  0, 0,  0, 0,  0, 0,  0, 0,  0, 0,  0, 0,  0, 0,  0, 0,  0, 0,  0, 0,  0, 0,  0, 0,  0, 0,  0, 0,},</v>
      </c>
    </row>
    <row r="24" spans="6:6" ht="18" customHeight="1" x14ac:dyDescent="0.25">
      <c r="F24" s="17" t="str">
        <f>_xlfn.CONCAT("{",_xlfn.TEXTJOIN(" ",FALSE,Hidden!F31:AD31),"},")</f>
        <v>{ 0, 0,  0, 0,  0, 0,  0, 0,  0, 0,  0, 0,  0, 0,  0, 0,  0, 0,  0, 0,  0, 0,  0, 0,  0, 0,  0, 0,  0, 0,  0, 0,  0, 0,  0, 0,  0, 0,  0, 0,  0, 0,  0, 0,  0, 0,  0, 0,  0, 0,},</v>
      </c>
    </row>
    <row r="25" spans="6:6" ht="18" customHeight="1" x14ac:dyDescent="0.25">
      <c r="F25" s="17" t="str">
        <f>_xlfn.CONCAT("{",_xlfn.TEXTJOIN(" ",FALSE,Hidden!F32:AD32),"},")</f>
        <v>{ 0, 0,  0, 0,  0, 0,  0, 0,  0, 0,  0, 0,  0, 0,  0, 0,  0, 0,  0, 0,  0, 0,  0, 0,  0, 0,  0, 0,  0, 0,  0, 0,  0, 0,  0, 0,  0, 0,  0, 0,  0, 0,  0, 0,  0, 0,  0, 0,  0, 0,},</v>
      </c>
    </row>
    <row r="26" spans="6:6" ht="18" customHeight="1" x14ac:dyDescent="0.25">
      <c r="F26" s="17" t="str">
        <f>_xlfn.CONCAT("{",_xlfn.TEXTJOIN(" ",FALSE,Hidden!F33:AD33),"},")</f>
        <v>{ 0, 0,  0, 0,  0, 0,  0, 0,  0, 0,  0, 0,  0, 0,  0, 0,  0, 0,  0, 0,  0, 0,  0, 0,  0, 0,  0, 0,  0, 0,  0, 0,  0, 0,  0, 0,  0, 0,  0, 0,  0, 0,  0, 0,  0, 0,  0, 0,  0, 0,},</v>
      </c>
    </row>
    <row r="27" spans="6:6" ht="18" customHeight="1" x14ac:dyDescent="0.25">
      <c r="F27" s="17" t="str">
        <f>_xlfn.CONCAT("{",_xlfn.TEXTJOIN(" ",FALSE,Hidden!F34:AD34),"},")</f>
        <v>{ 0, 0,  0, 0,  0, 0,  0, 0,  0, 0,  0, 0,  0, 0,  0, 0,  0, 0,  0, 0,  0, 0,  0, 0,  0, 0,  0, 0,  0, 0,  0, 0,  0, 0,  0, 0,  0, 0,  0, 0,  0, 0,  0, 0,  0, 0,  0, 0,  0, 0,},</v>
      </c>
    </row>
    <row r="28" spans="6:6" ht="18" customHeight="1" x14ac:dyDescent="0.25">
      <c r="F28" s="17" t="str">
        <f>_xlfn.CONCAT("{",_xlfn.TEXTJOIN(" ",FALSE,Hidden!F35:AD35),"},")</f>
        <v>{ 0, 0,  0, 0,  0, 0,  0, 0,  0, 0,  0, 0,  0, 0,  0, 0,  0, 0,  0, 0,  0, 0,  0, 0,  0, 0,  0, 0,  0, 0,  0, 0,  0, 0,  0, 0,  0, 0,  0, 0,  0, 0,  0, 0,  0, 0,  0, 0,  0, 0,},</v>
      </c>
    </row>
    <row r="29" spans="6:6" ht="18" customHeight="1" x14ac:dyDescent="0.25">
      <c r="F29" s="17" t="str">
        <f>_xlfn.CONCAT("{",_xlfn.TEXTJOIN(" ",FALSE,Hidden!F36:AD36),"},")</f>
        <v>{ 0, 0,  0, 0,  0, 0,  0, 0,  0, 0,  0, 0,  0, 0,  0, 0,  0, 0,  0, 0,  0, 0,  0, 0,  0, 0,  0, 0,  0, 0,  0, 0,  0, 0,  0, 0,  0, 0,  0, 0,  0, 0,  0, 0,  0, 0,  0, 0,  0, 0,},</v>
      </c>
    </row>
    <row r="30" spans="6:6" ht="18" customHeight="1" x14ac:dyDescent="0.25">
      <c r="F30" s="17" t="str">
        <f>_xlfn.CONCAT("{",_xlfn.TEXTJOIN(" ",FALSE,Hidden!F37:AD37),"},")</f>
        <v>{ 0, 0,  0, 0,  0, 0,  0, 0,  0, 0,  0, 0,  0, 0,  0, 0,  0, 0,  0, 0,  0, 0,  0, 0,  0, 0,  0, 0,  0, 0,  0, 0,  0, 0,  0, 0,  0, 0,  0, 0,  0, 0,  0, 0,  0, 0,  0, 0,  0, 0,},</v>
      </c>
    </row>
    <row r="31" spans="6:6" ht="18" customHeight="1" x14ac:dyDescent="0.25">
      <c r="F31" s="17" t="str">
        <f>_xlfn.CONCAT("{",_xlfn.TEXTJOIN(" ",FALSE,Hidden!F38:AD38),"},")</f>
        <v>{ 0, 0,  0, 0,  0, 0,  0, 0,  0, 0,  4, 5,  1, 1,  0, 0,  0, 0,  4, 5,  1, 1,  0, 0,  0, 0,  0, 0,  0, 0,  0, 0,  0, 0,  0, 0,  0, 0,  0, 0,  0, 0,  0, 0,  0, 0,  0, 0,  0, 0,},</v>
      </c>
    </row>
    <row r="32" spans="6:6" ht="18" customHeight="1" x14ac:dyDescent="0.25">
      <c r="F32" s="17" t="str">
        <f>_xlfn.CONCAT("{",_xlfn.TEXTJOIN(" ",FALSE,Hidden!F39:AD39),"},")</f>
        <v>{ 0, 0,  0, 0,  0, 0,  0, 0,  0, 0,  1, 2,  2, 2,  0, 0,  0, 0,  1, 2,  2, 2,  0, 0,  0, 0,  0, 0,  0, 0,  0, 0,  0, 0,  0, 0,  0, 0,  0, 0,  0, 0,  0, 0,  0, 0,  0, 0,  0, 0,},</v>
      </c>
    </row>
    <row r="33" spans="6:15" ht="18" customHeight="1" x14ac:dyDescent="0.25">
      <c r="F33" s="17" t="s">
        <v>1051</v>
      </c>
    </row>
    <row r="34" spans="6:15" ht="18" customHeight="1" x14ac:dyDescent="0.2"/>
    <row r="35" spans="6:15" ht="18" customHeight="1" x14ac:dyDescent="0.25">
      <c r="F35" s="17" t="str">
        <f ca="1">_xlfn.CONCAT("uint16_t ", _xlfn.TEXTAFTER(CELL("filename"),"]"), "_Items[] = {")</f>
        <v>uint16_t Map_Items[] = {</v>
      </c>
      <c r="G35" s="17"/>
      <c r="H35" s="17"/>
      <c r="I35" s="17"/>
      <c r="J35" s="17"/>
      <c r="K35" s="17"/>
      <c r="L35" s="17"/>
      <c r="M35" s="17"/>
      <c r="N35" s="17"/>
      <c r="O35" s="17"/>
    </row>
    <row r="36" spans="6:15" ht="18" customHeight="1" x14ac:dyDescent="0.25">
      <c r="F36" s="17" t="s">
        <v>1070</v>
      </c>
      <c r="G36" s="17"/>
      <c r="H36" s="17"/>
      <c r="I36" s="17"/>
      <c r="J36" s="17"/>
      <c r="K36" s="17"/>
      <c r="L36" s="17"/>
      <c r="M36" s="17"/>
      <c r="N36" s="17"/>
      <c r="O36" s="17"/>
    </row>
    <row r="37" spans="6:15" ht="18" customHeight="1" x14ac:dyDescent="0.25">
      <c r="F37" s="17" t="s">
        <v>1074</v>
      </c>
      <c r="G37" s="17"/>
      <c r="H37" s="17"/>
      <c r="I37" s="17"/>
      <c r="J37" s="17"/>
      <c r="K37" s="17"/>
      <c r="L37" s="17"/>
      <c r="M37" s="17"/>
      <c r="N37" s="17"/>
      <c r="O37" s="17"/>
    </row>
    <row r="38" spans="6:15" ht="18" customHeight="1" x14ac:dyDescent="0.25">
      <c r="F38" s="17" t="s">
        <v>1069</v>
      </c>
      <c r="G38" s="17"/>
      <c r="H38" s="17"/>
      <c r="I38" s="17"/>
      <c r="J38" s="17"/>
      <c r="K38" s="17"/>
      <c r="L38" s="17"/>
      <c r="M38" s="17"/>
      <c r="N38" s="17"/>
      <c r="O38" s="17"/>
    </row>
    <row r="39" spans="6:15" ht="18" customHeight="1" x14ac:dyDescent="0.25">
      <c r="F39" s="17" t="s">
        <v>1060</v>
      </c>
      <c r="G39" s="17"/>
      <c r="H39" s="17"/>
      <c r="I39" s="17"/>
      <c r="J39" s="17"/>
      <c r="K39" s="17"/>
      <c r="L39" s="17"/>
      <c r="M39" s="17"/>
      <c r="N39" s="17"/>
      <c r="O39" s="17"/>
    </row>
    <row r="40" spans="6:15" ht="18" customHeight="1" x14ac:dyDescent="0.25">
      <c r="F40" s="17" t="s">
        <v>1052</v>
      </c>
      <c r="G40" s="17"/>
      <c r="H40" s="17"/>
      <c r="I40" s="17"/>
      <c r="J40" s="17"/>
      <c r="K40" s="17"/>
      <c r="L40" s="17"/>
      <c r="M40" s="17"/>
      <c r="N40" s="17"/>
      <c r="O40" s="17"/>
    </row>
    <row r="41" spans="6:15" ht="18" customHeight="1" x14ac:dyDescent="0.25">
      <c r="F41" s="17" t="s">
        <v>1053</v>
      </c>
      <c r="G41" s="17"/>
      <c r="H41" s="17"/>
      <c r="I41" s="17"/>
      <c r="J41" s="17"/>
      <c r="K41" s="17"/>
      <c r="L41" s="17"/>
      <c r="M41" s="17"/>
      <c r="N41" s="17"/>
      <c r="O41" s="17"/>
    </row>
    <row r="42" spans="6:15" ht="18" customHeight="1" x14ac:dyDescent="0.25">
      <c r="F42" s="17"/>
      <c r="G42" s="17"/>
      <c r="H42" s="17"/>
      <c r="I42" s="17"/>
      <c r="J42" s="17"/>
      <c r="K42" s="17"/>
      <c r="L42" s="17"/>
      <c r="M42" s="17"/>
      <c r="N42" s="17"/>
      <c r="O42" s="17"/>
    </row>
    <row r="43" spans="6:15" ht="18" customHeight="1" x14ac:dyDescent="0.25">
      <c r="F43" s="17" t="s">
        <v>1065</v>
      </c>
      <c r="G43" s="17"/>
      <c r="H43" s="17"/>
      <c r="I43" s="17"/>
      <c r="J43" s="17"/>
      <c r="K43" s="17"/>
      <c r="L43" s="17"/>
      <c r="M43" s="17"/>
      <c r="N43" s="17"/>
      <c r="O43" s="17"/>
    </row>
    <row r="44" spans="6:15" ht="18" customHeight="1" x14ac:dyDescent="0.25">
      <c r="F44" s="17" t="s">
        <v>1054</v>
      </c>
      <c r="G44" s="17"/>
      <c r="H44" s="17"/>
      <c r="I44" s="17"/>
      <c r="J44" s="17"/>
      <c r="K44" s="17"/>
      <c r="L44" s="17"/>
      <c r="M44" s="17"/>
      <c r="N44" s="17"/>
      <c r="O44" s="17"/>
    </row>
    <row r="45" spans="6:15" ht="18" customHeight="1" x14ac:dyDescent="0.25">
      <c r="F45" s="17" t="s">
        <v>1055</v>
      </c>
      <c r="G45" s="17"/>
      <c r="H45" s="17"/>
      <c r="I45" s="17"/>
      <c r="J45" s="17"/>
      <c r="K45" s="17"/>
      <c r="L45" s="17"/>
      <c r="M45" s="17"/>
      <c r="N45" s="17"/>
      <c r="O45" s="17"/>
    </row>
    <row r="46" spans="6:15" ht="18" customHeight="1" x14ac:dyDescent="0.25">
      <c r="F46" s="17" t="s">
        <v>1056</v>
      </c>
      <c r="G46" s="17"/>
      <c r="H46" s="17"/>
      <c r="I46" s="17"/>
      <c r="J46" s="17"/>
      <c r="K46" s="17"/>
      <c r="L46" s="17"/>
      <c r="M46" s="17"/>
      <c r="N46" s="17"/>
      <c r="O46" s="17"/>
    </row>
    <row r="47" spans="6:15" ht="18" customHeight="1" x14ac:dyDescent="0.25">
      <c r="F47" s="17" t="s">
        <v>1052</v>
      </c>
      <c r="G47" s="17"/>
      <c r="H47" s="17"/>
      <c r="I47" s="17"/>
      <c r="J47" s="17"/>
      <c r="K47" s="17"/>
      <c r="L47" s="17"/>
      <c r="M47" s="17"/>
      <c r="N47" s="17"/>
      <c r="O47" s="17"/>
    </row>
    <row r="48" spans="6:15" ht="18" customHeight="1" x14ac:dyDescent="0.25">
      <c r="F48" s="17" t="s">
        <v>1053</v>
      </c>
      <c r="G48" s="17"/>
      <c r="H48" s="17"/>
      <c r="I48" s="17"/>
      <c r="J48" s="17"/>
      <c r="K48" s="17"/>
      <c r="L48" s="17"/>
      <c r="M48" s="17"/>
      <c r="N48" s="17"/>
      <c r="O48" s="17"/>
    </row>
    <row r="49" spans="6:15" ht="18" customHeight="1" x14ac:dyDescent="0.25">
      <c r="F49" s="17" t="s">
        <v>1051</v>
      </c>
      <c r="G49" s="17"/>
      <c r="H49" s="17"/>
      <c r="I49" s="17"/>
      <c r="J49" s="17"/>
      <c r="K49" s="17"/>
      <c r="L49" s="17"/>
      <c r="M49" s="17"/>
      <c r="N49" s="17"/>
      <c r="O49" s="17"/>
    </row>
    <row r="50" spans="6:15" ht="18" customHeight="1" x14ac:dyDescent="0.25">
      <c r="F50" s="17"/>
      <c r="G50" s="17"/>
      <c r="H50" s="17"/>
      <c r="I50" s="17"/>
      <c r="J50" s="17"/>
      <c r="K50" s="17"/>
      <c r="L50" s="17"/>
      <c r="M50" s="17"/>
      <c r="N50" s="17"/>
      <c r="O50" s="17"/>
    </row>
    <row r="51" spans="6:15" ht="18" customHeight="1" x14ac:dyDescent="0.25">
      <c r="F51" s="17" t="str">
        <f ca="1">_xlfn.CONCAT("uint16_t ", _xlfn.TEXTAFTER(CELL("filename"),"]"), "_Enemies[] = {")</f>
        <v>uint16_t Map_Enemies[] = {</v>
      </c>
      <c r="G51" s="17"/>
      <c r="H51" s="17"/>
      <c r="I51" s="17"/>
      <c r="J51" s="17"/>
      <c r="K51" s="17"/>
      <c r="L51" s="17"/>
      <c r="M51" s="17"/>
      <c r="N51" s="17"/>
      <c r="O51" s="17"/>
    </row>
    <row r="52" spans="6:15" ht="18" customHeight="1" x14ac:dyDescent="0.25">
      <c r="F52" s="17" t="s">
        <v>1057</v>
      </c>
      <c r="G52" s="17"/>
      <c r="H52" s="17"/>
      <c r="I52" s="17"/>
      <c r="J52" s="17"/>
      <c r="K52" s="17"/>
      <c r="L52" s="17"/>
      <c r="M52" s="17"/>
      <c r="N52" s="17"/>
      <c r="O52" s="17"/>
    </row>
    <row r="53" spans="6:15" ht="18" customHeight="1" x14ac:dyDescent="0.25">
      <c r="F53" s="17" t="s">
        <v>1054</v>
      </c>
      <c r="G53" s="17"/>
      <c r="H53" s="17"/>
      <c r="I53" s="17"/>
      <c r="J53" s="17"/>
      <c r="K53" s="17"/>
      <c r="L53" s="17"/>
      <c r="M53" s="17"/>
      <c r="N53" s="17"/>
      <c r="O53" s="17"/>
    </row>
    <row r="54" spans="6:15" ht="18" customHeight="1" x14ac:dyDescent="0.25">
      <c r="F54" s="17" t="s">
        <v>1055</v>
      </c>
      <c r="G54" s="17"/>
      <c r="H54" s="17"/>
      <c r="I54" s="17"/>
      <c r="J54" s="17"/>
      <c r="K54" s="17"/>
      <c r="L54" s="17"/>
      <c r="M54" s="17"/>
      <c r="N54" s="17"/>
      <c r="O54" s="17"/>
    </row>
    <row r="55" spans="6:15" ht="18" customHeight="1" x14ac:dyDescent="0.25">
      <c r="F55" s="17" t="s">
        <v>1058</v>
      </c>
      <c r="G55" s="17"/>
      <c r="H55" s="17"/>
      <c r="I55" s="17"/>
      <c r="J55" s="17"/>
      <c r="K55" s="17"/>
      <c r="L55" s="17"/>
      <c r="M55" s="17"/>
      <c r="N55" s="17"/>
      <c r="O55" s="17"/>
    </row>
    <row r="56" spans="6:15" ht="18" customHeight="1" x14ac:dyDescent="0.25">
      <c r="F56" s="17" t="s">
        <v>1059</v>
      </c>
      <c r="G56" s="17"/>
      <c r="H56" s="17"/>
      <c r="I56" s="17"/>
      <c r="J56" s="17"/>
      <c r="K56" s="17"/>
      <c r="L56" s="17"/>
      <c r="M56" s="17"/>
      <c r="N56" s="17"/>
      <c r="O56" s="17"/>
    </row>
    <row r="57" spans="6:15" ht="18" customHeight="1" x14ac:dyDescent="0.25">
      <c r="F57" s="17"/>
      <c r="G57" s="17"/>
      <c r="H57" s="17"/>
      <c r="I57" s="17"/>
      <c r="J57" s="17"/>
      <c r="K57" s="17"/>
      <c r="L57" s="17"/>
      <c r="M57" s="17"/>
      <c r="N57" s="17"/>
      <c r="O57" s="17"/>
    </row>
    <row r="58" spans="6:15" ht="18" customHeight="1" x14ac:dyDescent="0.25">
      <c r="F58" s="17" t="s">
        <v>1057</v>
      </c>
      <c r="G58" s="17"/>
      <c r="H58" s="17"/>
      <c r="I58" s="17"/>
      <c r="J58" s="17"/>
      <c r="K58" s="17"/>
      <c r="L58" s="17"/>
      <c r="M58" s="17"/>
      <c r="N58" s="17"/>
      <c r="O58" s="17"/>
    </row>
    <row r="59" spans="6:15" ht="18" customHeight="1" x14ac:dyDescent="0.25">
      <c r="F59" s="17" t="s">
        <v>1054</v>
      </c>
      <c r="G59" s="17"/>
      <c r="H59" s="17"/>
      <c r="I59" s="17"/>
      <c r="J59" s="17"/>
      <c r="K59" s="17"/>
      <c r="L59" s="17"/>
      <c r="M59" s="17"/>
      <c r="N59" s="17"/>
      <c r="O59" s="17"/>
    </row>
    <row r="60" spans="6:15" ht="18" customHeight="1" x14ac:dyDescent="0.25">
      <c r="F60" s="17" t="s">
        <v>1055</v>
      </c>
      <c r="G60" s="17"/>
      <c r="H60" s="17"/>
      <c r="I60" s="17"/>
      <c r="J60" s="17"/>
      <c r="K60" s="17"/>
      <c r="L60" s="17"/>
      <c r="M60" s="17"/>
      <c r="N60" s="17"/>
      <c r="O60" s="17"/>
    </row>
    <row r="61" spans="6:15" ht="18" customHeight="1" x14ac:dyDescent="0.25">
      <c r="F61" s="17" t="s">
        <v>1058</v>
      </c>
      <c r="G61" s="17"/>
      <c r="H61" s="17"/>
      <c r="I61" s="17"/>
      <c r="J61" s="17"/>
      <c r="K61" s="17"/>
      <c r="L61" s="17"/>
      <c r="M61" s="17"/>
      <c r="N61" s="17"/>
      <c r="O61" s="17"/>
    </row>
    <row r="62" spans="6:15" ht="18" customHeight="1" x14ac:dyDescent="0.25">
      <c r="F62" s="17" t="s">
        <v>1059</v>
      </c>
      <c r="G62" s="17"/>
      <c r="H62" s="17"/>
      <c r="I62" s="17"/>
      <c r="J62" s="17"/>
      <c r="K62" s="17"/>
      <c r="L62" s="17"/>
      <c r="M62" s="17"/>
      <c r="N62" s="17"/>
      <c r="O62" s="17"/>
    </row>
    <row r="63" spans="6:15" ht="18" customHeight="1" x14ac:dyDescent="0.25">
      <c r="F63" s="17"/>
      <c r="G63" s="17"/>
      <c r="H63" s="17"/>
      <c r="I63" s="17"/>
      <c r="J63" s="17"/>
      <c r="K63" s="17"/>
      <c r="L63" s="17"/>
      <c r="M63" s="17"/>
      <c r="N63" s="17"/>
      <c r="O63" s="17"/>
    </row>
    <row r="64" spans="6:15" ht="18" customHeight="1" x14ac:dyDescent="0.25">
      <c r="F64" s="17" t="s">
        <v>1057</v>
      </c>
      <c r="G64" s="17"/>
      <c r="H64" s="17"/>
      <c r="I64" s="17"/>
      <c r="J64" s="17"/>
      <c r="K64" s="17"/>
      <c r="L64" s="17"/>
      <c r="M64" s="17"/>
      <c r="N64" s="17"/>
      <c r="O64" s="17"/>
    </row>
    <row r="65" spans="6:15" ht="18" customHeight="1" x14ac:dyDescent="0.25">
      <c r="F65" s="17" t="s">
        <v>1054</v>
      </c>
      <c r="G65" s="17"/>
      <c r="H65" s="17"/>
      <c r="I65" s="17"/>
      <c r="J65" s="17"/>
      <c r="K65" s="17"/>
      <c r="L65" s="17"/>
      <c r="M65" s="17"/>
      <c r="N65" s="17"/>
      <c r="O65" s="17"/>
    </row>
    <row r="66" spans="6:15" ht="18" customHeight="1" x14ac:dyDescent="0.25">
      <c r="F66" s="17" t="s">
        <v>1055</v>
      </c>
      <c r="G66" s="17"/>
      <c r="H66" s="17"/>
      <c r="I66" s="17"/>
      <c r="J66" s="17"/>
      <c r="K66" s="17"/>
      <c r="L66" s="17"/>
      <c r="M66" s="17"/>
      <c r="N66" s="17"/>
      <c r="O66" s="17"/>
    </row>
    <row r="67" spans="6:15" ht="18" customHeight="1" x14ac:dyDescent="0.25">
      <c r="F67" s="17" t="s">
        <v>1058</v>
      </c>
      <c r="G67" s="17"/>
      <c r="H67" s="17"/>
      <c r="I67" s="17"/>
      <c r="J67" s="17"/>
      <c r="K67" s="17"/>
      <c r="L67" s="17"/>
      <c r="M67" s="17"/>
      <c r="N67" s="17"/>
      <c r="O67" s="17"/>
    </row>
    <row r="68" spans="6:15" ht="18" customHeight="1" x14ac:dyDescent="0.25">
      <c r="F68" s="17" t="s">
        <v>1059</v>
      </c>
      <c r="G68" s="17"/>
      <c r="H68" s="17"/>
      <c r="I68" s="17"/>
      <c r="J68" s="17"/>
      <c r="K68" s="17"/>
      <c r="L68" s="17"/>
      <c r="M68" s="17"/>
      <c r="N68" s="17"/>
      <c r="O68" s="17"/>
    </row>
    <row r="69" spans="6:15" ht="18" customHeight="1" x14ac:dyDescent="0.25">
      <c r="F69" s="17"/>
      <c r="G69" s="17"/>
      <c r="H69" s="17"/>
      <c r="I69" s="17"/>
      <c r="J69" s="17"/>
      <c r="K69" s="17"/>
      <c r="L69" s="17"/>
      <c r="M69" s="17"/>
      <c r="N69" s="17"/>
      <c r="O69" s="17"/>
    </row>
    <row r="70" spans="6:15" ht="18" customHeight="1" x14ac:dyDescent="0.25">
      <c r="F70" s="17" t="s">
        <v>1057</v>
      </c>
      <c r="G70" s="17"/>
      <c r="H70" s="17"/>
      <c r="I70" s="17"/>
      <c r="J70" s="17"/>
      <c r="K70" s="17"/>
      <c r="L70" s="17"/>
      <c r="M70" s="17"/>
      <c r="N70" s="17"/>
      <c r="O70" s="17"/>
    </row>
    <row r="71" spans="6:15" ht="18" customHeight="1" x14ac:dyDescent="0.25">
      <c r="F71" s="17" t="s">
        <v>1054</v>
      </c>
      <c r="G71" s="17"/>
      <c r="H71" s="17"/>
      <c r="I71" s="17"/>
      <c r="J71" s="17"/>
      <c r="K71" s="17"/>
      <c r="L71" s="17"/>
      <c r="M71" s="17"/>
      <c r="N71" s="17"/>
      <c r="O71" s="17"/>
    </row>
    <row r="72" spans="6:15" ht="18" customHeight="1" x14ac:dyDescent="0.25">
      <c r="F72" s="17" t="s">
        <v>1055</v>
      </c>
      <c r="G72" s="17"/>
      <c r="H72" s="17"/>
      <c r="I72" s="17"/>
      <c r="J72" s="17"/>
      <c r="K72" s="17"/>
      <c r="L72" s="17"/>
      <c r="M72" s="17"/>
      <c r="N72" s="17"/>
      <c r="O72" s="17"/>
    </row>
    <row r="73" spans="6:15" ht="18" customHeight="1" x14ac:dyDescent="0.25">
      <c r="F73" s="17" t="s">
        <v>1058</v>
      </c>
    </row>
    <row r="74" spans="6:15" ht="18" customHeight="1" x14ac:dyDescent="0.25">
      <c r="F74" s="17" t="s">
        <v>1059</v>
      </c>
    </row>
    <row r="75" spans="6:15" ht="18" customHeight="1" x14ac:dyDescent="0.25">
      <c r="F75" s="18" t="s">
        <v>1051</v>
      </c>
    </row>
    <row r="76" spans="6:15" ht="18" customHeight="1" x14ac:dyDescent="0.25">
      <c r="F76" s="18"/>
    </row>
    <row r="77" spans="6:15" ht="18" customHeight="1" x14ac:dyDescent="0.25">
      <c r="F77" s="17" t="str">
        <f ca="1">_xlfn.CONCAT("uint16_t ", _xlfn.TEXTAFTER(CELL("filename"),"]"), "_PlayerStart[] = {")</f>
        <v>uint16_t Map_PlayerStart[] = {</v>
      </c>
    </row>
    <row r="78" spans="6:15" ht="18" customHeight="1" x14ac:dyDescent="0.25">
      <c r="F78" s="17" t="str">
        <f>_xlfn.CONCAT($F$11, ",")</f>
        <v>0,</v>
      </c>
    </row>
    <row r="79" spans="6:15" ht="18" customHeight="1" x14ac:dyDescent="0.25">
      <c r="F79" s="17" t="str">
        <f>_xlfn.CONCAT($H$11, ",")</f>
        <v>0,</v>
      </c>
    </row>
    <row r="80" spans="6:15" ht="18" customHeight="1" x14ac:dyDescent="0.25">
      <c r="F80" s="17" t="str">
        <f>_xlfn.CONCAT($J$11, ",")</f>
        <v>107,</v>
      </c>
    </row>
    <row r="81" spans="6:6" ht="18" customHeight="1" x14ac:dyDescent="0.25">
      <c r="F81" s="17" t="s">
        <v>1051</v>
      </c>
    </row>
    <row r="82" spans="6:6" ht="18" customHeight="1" x14ac:dyDescent="0.25">
      <c r="F82" s="17"/>
    </row>
    <row r="83" spans="6:6" ht="18" customHeight="1" x14ac:dyDescent="0.25">
      <c r="F83" s="17"/>
    </row>
    <row r="84" spans="6:6" ht="18" customHeight="1" x14ac:dyDescent="0.25">
      <c r="F84" s="17"/>
    </row>
    <row r="85" spans="6:6" ht="18" customHeight="1" x14ac:dyDescent="0.25">
      <c r="F85" s="17"/>
    </row>
    <row r="86" spans="6:6" ht="18" customHeight="1" x14ac:dyDescent="0.25">
      <c r="F86" s="17"/>
    </row>
    <row r="87" spans="6:6" ht="18" customHeight="1" x14ac:dyDescent="0.25">
      <c r="F87" s="17"/>
    </row>
    <row r="88" spans="6:6" ht="18" customHeight="1" x14ac:dyDescent="0.25">
      <c r="F88" s="17"/>
    </row>
    <row r="89" spans="6:6" ht="18" customHeight="1" x14ac:dyDescent="0.25">
      <c r="F89" s="17"/>
    </row>
    <row r="90" spans="6:6" ht="18" customHeight="1" x14ac:dyDescent="0.25">
      <c r="F90" s="17"/>
    </row>
    <row r="91" spans="6:6" ht="18" customHeight="1" x14ac:dyDescent="0.25">
      <c r="F91" s="17"/>
    </row>
    <row r="92" spans="6:6" ht="18" customHeight="1" x14ac:dyDescent="0.25">
      <c r="F92" s="17"/>
    </row>
    <row r="93" spans="6:6" ht="18" customHeight="1" x14ac:dyDescent="0.25">
      <c r="F93" s="17"/>
    </row>
    <row r="94" spans="6:6" ht="18" customHeight="1" x14ac:dyDescent="0.25">
      <c r="F94" s="17"/>
    </row>
    <row r="95" spans="6:6" ht="18" customHeight="1" x14ac:dyDescent="0.25">
      <c r="F95" s="17"/>
    </row>
    <row r="96" spans="6:6" ht="18" customHeight="1" x14ac:dyDescent="0.25">
      <c r="F96" s="17"/>
    </row>
    <row r="97" spans="6:6" ht="18" customHeight="1" x14ac:dyDescent="0.25">
      <c r="F97" s="17"/>
    </row>
    <row r="98" spans="6:6" ht="18" customHeight="1" x14ac:dyDescent="0.25">
      <c r="F98" s="17"/>
    </row>
    <row r="99" spans="6:6" ht="18" customHeight="1" x14ac:dyDescent="0.25">
      <c r="F99" s="17"/>
    </row>
    <row r="100" spans="6:6" ht="18" customHeight="1" x14ac:dyDescent="0.25">
      <c r="F100" s="17"/>
    </row>
    <row r="101" spans="6:6" ht="18" customHeight="1" x14ac:dyDescent="0.25">
      <c r="F101" s="17"/>
    </row>
    <row r="102" spans="6:6" ht="18" customHeight="1" x14ac:dyDescent="0.25">
      <c r="F102" s="17"/>
    </row>
    <row r="103" spans="6:6" ht="18" customHeight="1" x14ac:dyDescent="0.25">
      <c r="F103" s="17"/>
    </row>
    <row r="104" spans="6:6" ht="18" customHeight="1" x14ac:dyDescent="0.25">
      <c r="F104" s="17"/>
    </row>
    <row r="105" spans="6:6" ht="18" customHeight="1" x14ac:dyDescent="0.25">
      <c r="F105" s="17"/>
    </row>
    <row r="106" spans="6:6" ht="18" customHeight="1" x14ac:dyDescent="0.25">
      <c r="F106" s="17"/>
    </row>
    <row r="107" spans="6:6" ht="18" customHeight="1" x14ac:dyDescent="0.25">
      <c r="F107" s="17"/>
    </row>
    <row r="108" spans="6:6" ht="18" customHeight="1" x14ac:dyDescent="0.25">
      <c r="F108" s="17"/>
    </row>
    <row r="109" spans="6:6" ht="18" customHeight="1" x14ac:dyDescent="0.25">
      <c r="F109" s="17"/>
    </row>
    <row r="110" spans="6:6" ht="18" customHeight="1" x14ac:dyDescent="0.25">
      <c r="F110" s="17"/>
    </row>
    <row r="111" spans="6:6" ht="18" customHeight="1" x14ac:dyDescent="0.25">
      <c r="F111" s="17"/>
    </row>
    <row r="112" spans="6:6" ht="18" customHeight="1" x14ac:dyDescent="0.25">
      <c r="F112" s="17"/>
    </row>
    <row r="113" spans="6:6" ht="18" customHeight="1" x14ac:dyDescent="0.25">
      <c r="F113" s="17"/>
    </row>
    <row r="114" spans="6:6" ht="18" customHeight="1" x14ac:dyDescent="0.25">
      <c r="F114" s="17"/>
    </row>
    <row r="115" spans="6:6" ht="18" customHeight="1" x14ac:dyDescent="0.25">
      <c r="F115" s="17"/>
    </row>
    <row r="116" spans="6:6" ht="18" customHeight="1" x14ac:dyDescent="0.25">
      <c r="F116" s="17"/>
    </row>
    <row r="117" spans="6:6" ht="18" customHeight="1" x14ac:dyDescent="0.25">
      <c r="F117" s="17"/>
    </row>
    <row r="118" spans="6:6" ht="18" customHeight="1" x14ac:dyDescent="0.25">
      <c r="F118" s="17"/>
    </row>
    <row r="119" spans="6:6" ht="18" customHeight="1" x14ac:dyDescent="0.25">
      <c r="F119" s="17"/>
    </row>
    <row r="120" spans="6:6" ht="18" customHeight="1" x14ac:dyDescent="0.25">
      <c r="F120" s="17"/>
    </row>
    <row r="121" spans="6:6" ht="18" customHeight="1" x14ac:dyDescent="0.25">
      <c r="F121" s="17"/>
    </row>
    <row r="122" spans="6:6" ht="18" customHeight="1" x14ac:dyDescent="0.25">
      <c r="F122" s="17"/>
    </row>
    <row r="123" spans="6:6" ht="18" customHeight="1" x14ac:dyDescent="0.25">
      <c r="F123" s="17"/>
    </row>
    <row r="124" spans="6:6" ht="18" customHeight="1" x14ac:dyDescent="0.25">
      <c r="F124" s="17"/>
    </row>
    <row r="125" spans="6:6" ht="18" customHeight="1" x14ac:dyDescent="0.25">
      <c r="F125" s="17"/>
    </row>
    <row r="126" spans="6:6" ht="18" customHeight="1" x14ac:dyDescent="0.25">
      <c r="F126" s="17"/>
    </row>
    <row r="127" spans="6:6" ht="18" customHeight="1" x14ac:dyDescent="0.25">
      <c r="F127" s="17"/>
    </row>
    <row r="128" spans="6:6" ht="18" customHeight="1" x14ac:dyDescent="0.25">
      <c r="F128" s="17"/>
    </row>
    <row r="129" spans="6:6" ht="18" customHeight="1" x14ac:dyDescent="0.25">
      <c r="F129" s="17"/>
    </row>
    <row r="130" spans="6:6" ht="18" customHeight="1" x14ac:dyDescent="0.25">
      <c r="F130" s="17"/>
    </row>
    <row r="131" spans="6:6" ht="18" customHeight="1" x14ac:dyDescent="0.25">
      <c r="F131" s="17"/>
    </row>
    <row r="132" spans="6:6" ht="18" customHeight="1" x14ac:dyDescent="0.25">
      <c r="F132" s="17"/>
    </row>
    <row r="133" spans="6:6" ht="18" customHeight="1" x14ac:dyDescent="0.25">
      <c r="F133" s="17"/>
    </row>
    <row r="134" spans="6:6" ht="18" customHeight="1" x14ac:dyDescent="0.25">
      <c r="F134" s="17"/>
    </row>
    <row r="135" spans="6:6" ht="18" customHeight="1" x14ac:dyDescent="0.25">
      <c r="F135" s="17"/>
    </row>
    <row r="136" spans="6:6" ht="18" customHeight="1" x14ac:dyDescent="0.25">
      <c r="F136" s="17"/>
    </row>
    <row r="137" spans="6:6" ht="18" customHeight="1" x14ac:dyDescent="0.25">
      <c r="F137" s="17"/>
    </row>
    <row r="138" spans="6:6" ht="18" customHeight="1" x14ac:dyDescent="0.25">
      <c r="F138" s="17"/>
    </row>
    <row r="139" spans="6:6" ht="18" customHeight="1" x14ac:dyDescent="0.25">
      <c r="F139" s="17"/>
    </row>
    <row r="140" spans="6:6" ht="18" customHeight="1" x14ac:dyDescent="0.25">
      <c r="F140" s="17"/>
    </row>
    <row r="141" spans="6:6" ht="18" customHeight="1" x14ac:dyDescent="0.25">
      <c r="F141" s="17"/>
    </row>
    <row r="142" spans="6:6" ht="18" customHeight="1" x14ac:dyDescent="0.25">
      <c r="F142" s="17"/>
    </row>
    <row r="143" spans="6:6" ht="18" customHeight="1" x14ac:dyDescent="0.25">
      <c r="F143" s="17"/>
    </row>
    <row r="144" spans="6:6" ht="18" customHeight="1" x14ac:dyDescent="0.25">
      <c r="F144" s="17"/>
    </row>
    <row r="145" spans="6:6" ht="18" customHeight="1" x14ac:dyDescent="0.25">
      <c r="F145" s="17"/>
    </row>
    <row r="146" spans="6:6" ht="18" customHeight="1" x14ac:dyDescent="0.25">
      <c r="F146" s="17"/>
    </row>
    <row r="147" spans="6:6" ht="18" customHeight="1" x14ac:dyDescent="0.25">
      <c r="F147" s="17"/>
    </row>
    <row r="148" spans="6:6" ht="18" customHeight="1" x14ac:dyDescent="0.25">
      <c r="F148" s="17"/>
    </row>
    <row r="149" spans="6:6" ht="18" customHeight="1" x14ac:dyDescent="0.25">
      <c r="F149" s="17"/>
    </row>
    <row r="150" spans="6:6" ht="18" customHeight="1" x14ac:dyDescent="0.25">
      <c r="F150" s="17"/>
    </row>
    <row r="151" spans="6:6" ht="18" customHeight="1" x14ac:dyDescent="0.25">
      <c r="F151" s="17"/>
    </row>
    <row r="152" spans="6:6" ht="18" customHeight="1" x14ac:dyDescent="0.25">
      <c r="F152" s="17"/>
    </row>
    <row r="153" spans="6:6" ht="18" customHeight="1" x14ac:dyDescent="0.25">
      <c r="F153" s="17"/>
    </row>
    <row r="154" spans="6:6" ht="18" customHeight="1" x14ac:dyDescent="0.25">
      <c r="F154" s="17"/>
    </row>
    <row r="155" spans="6:6" ht="18" customHeight="1" x14ac:dyDescent="0.25">
      <c r="F155" s="17"/>
    </row>
    <row r="156" spans="6:6" ht="18" customHeight="1" x14ac:dyDescent="0.25">
      <c r="F156" s="17"/>
    </row>
    <row r="157" spans="6:6" ht="18" customHeight="1" x14ac:dyDescent="0.25">
      <c r="F157" s="17"/>
    </row>
    <row r="158" spans="6:6" ht="18" customHeight="1" x14ac:dyDescent="0.25">
      <c r="F158" s="17"/>
    </row>
    <row r="159" spans="6:6" ht="18" customHeight="1" x14ac:dyDescent="0.25">
      <c r="F159" s="17"/>
    </row>
    <row r="160" spans="6:6" ht="18" customHeight="1" x14ac:dyDescent="0.25">
      <c r="F160" s="17"/>
    </row>
    <row r="161" spans="6:6" ht="18" customHeight="1" x14ac:dyDescent="0.25">
      <c r="F161" s="17"/>
    </row>
    <row r="162" spans="6:6" ht="18" customHeight="1" x14ac:dyDescent="0.25">
      <c r="F162" s="17"/>
    </row>
    <row r="163" spans="6:6" ht="18" customHeight="1" x14ac:dyDescent="0.25">
      <c r="F163" s="17"/>
    </row>
    <row r="164" spans="6:6" ht="18" customHeight="1" x14ac:dyDescent="0.25">
      <c r="F164" s="17"/>
    </row>
    <row r="165" spans="6:6" ht="18" customHeight="1" x14ac:dyDescent="0.25">
      <c r="F165" s="17"/>
    </row>
    <row r="166" spans="6:6" ht="18" customHeight="1" x14ac:dyDescent="0.25">
      <c r="F166" s="17"/>
    </row>
    <row r="167" spans="6:6" ht="18" customHeight="1" x14ac:dyDescent="0.25">
      <c r="F167" s="17"/>
    </row>
    <row r="168" spans="6:6" ht="18" customHeight="1" x14ac:dyDescent="0.25">
      <c r="F168" s="17"/>
    </row>
    <row r="169" spans="6:6" ht="18" customHeight="1" x14ac:dyDescent="0.25">
      <c r="F169" s="17"/>
    </row>
    <row r="170" spans="6:6" ht="18" customHeight="1" x14ac:dyDescent="0.25">
      <c r="F170" s="17"/>
    </row>
    <row r="171" spans="6:6" ht="18" customHeight="1" x14ac:dyDescent="0.25">
      <c r="F171" s="17"/>
    </row>
    <row r="172" spans="6:6" ht="18" customHeight="1" x14ac:dyDescent="0.25">
      <c r="F172" s="17"/>
    </row>
    <row r="173" spans="6:6" ht="18" customHeight="1" x14ac:dyDescent="0.25">
      <c r="F173" s="17"/>
    </row>
    <row r="174" spans="6:6" ht="18" customHeight="1" x14ac:dyDescent="0.25">
      <c r="F174" s="17"/>
    </row>
    <row r="175" spans="6:6" ht="18" customHeight="1" x14ac:dyDescent="0.25">
      <c r="F175" s="17"/>
    </row>
    <row r="176" spans="6:6" ht="18" customHeight="1" x14ac:dyDescent="0.25">
      <c r="F176" s="17"/>
    </row>
    <row r="177" spans="6:6" ht="18" customHeight="1" x14ac:dyDescent="0.25">
      <c r="F177" s="17"/>
    </row>
    <row r="178" spans="6:6" ht="18" customHeight="1" x14ac:dyDescent="0.25">
      <c r="F178" s="17"/>
    </row>
    <row r="179" spans="6:6" ht="18" customHeight="1" x14ac:dyDescent="0.25">
      <c r="F179" s="17"/>
    </row>
    <row r="180" spans="6:6" ht="18" customHeight="1" x14ac:dyDescent="0.25">
      <c r="F180" s="17"/>
    </row>
    <row r="181" spans="6:6" ht="18" customHeight="1" x14ac:dyDescent="0.25">
      <c r="F181" s="17"/>
    </row>
    <row r="182" spans="6:6" ht="18" customHeight="1" x14ac:dyDescent="0.25">
      <c r="F182" s="17"/>
    </row>
    <row r="183" spans="6:6" ht="18" customHeight="1" x14ac:dyDescent="0.25">
      <c r="F183" s="17"/>
    </row>
    <row r="184" spans="6:6" ht="18" customHeight="1" x14ac:dyDescent="0.25">
      <c r="F184" s="17"/>
    </row>
    <row r="185" spans="6:6" ht="18" customHeight="1" x14ac:dyDescent="0.25">
      <c r="F185" s="17"/>
    </row>
    <row r="186" spans="6:6" ht="18" customHeight="1" x14ac:dyDescent="0.25">
      <c r="F186" s="17"/>
    </row>
    <row r="187" spans="6:6" ht="18" customHeight="1" x14ac:dyDescent="0.25">
      <c r="F187" s="17"/>
    </row>
    <row r="188" spans="6:6" ht="18" customHeight="1" x14ac:dyDescent="0.25">
      <c r="F188" s="17"/>
    </row>
    <row r="189" spans="6:6" ht="18" customHeight="1" x14ac:dyDescent="0.25">
      <c r="F189" s="17"/>
    </row>
    <row r="190" spans="6:6" ht="18" customHeight="1" x14ac:dyDescent="0.25">
      <c r="F190" s="17"/>
    </row>
    <row r="191" spans="6:6" ht="18" customHeight="1" x14ac:dyDescent="0.25">
      <c r="F191" s="17"/>
    </row>
    <row r="192" spans="6:6" ht="18" customHeight="1" x14ac:dyDescent="0.25">
      <c r="F192" s="17"/>
    </row>
    <row r="193" spans="6:6" ht="18" customHeight="1" x14ac:dyDescent="0.25">
      <c r="F193" s="17"/>
    </row>
    <row r="194" spans="6:6" ht="18" customHeight="1" x14ac:dyDescent="0.25">
      <c r="F194" s="17"/>
    </row>
    <row r="195" spans="6:6" ht="18" customHeight="1" x14ac:dyDescent="0.25">
      <c r="F195" s="17"/>
    </row>
    <row r="196" spans="6:6" ht="18" customHeight="1" x14ac:dyDescent="0.25">
      <c r="F196" s="17"/>
    </row>
    <row r="197" spans="6:6" ht="18" customHeight="1" x14ac:dyDescent="0.25">
      <c r="F197" s="17"/>
    </row>
    <row r="198" spans="6:6" ht="18" customHeight="1" x14ac:dyDescent="0.25">
      <c r="F198" s="17"/>
    </row>
    <row r="199" spans="6:6" ht="18" customHeight="1" x14ac:dyDescent="0.25">
      <c r="F199" s="17"/>
    </row>
    <row r="200" spans="6:6" ht="18" customHeight="1" x14ac:dyDescent="0.25">
      <c r="F200" s="17"/>
    </row>
    <row r="201" spans="6:6" ht="18" customHeight="1" x14ac:dyDescent="0.25">
      <c r="F201" s="17"/>
    </row>
    <row r="202" spans="6:6" ht="18" customHeight="1" x14ac:dyDescent="0.25">
      <c r="F202" s="17"/>
    </row>
    <row r="203" spans="6:6" ht="18" customHeight="1" x14ac:dyDescent="0.25">
      <c r="F203" s="17"/>
    </row>
    <row r="204" spans="6:6" ht="18" customHeight="1" x14ac:dyDescent="0.25">
      <c r="F204" s="17"/>
    </row>
    <row r="205" spans="6:6" ht="18" customHeight="1" x14ac:dyDescent="0.25">
      <c r="F205" s="17"/>
    </row>
    <row r="206" spans="6:6" ht="18" customHeight="1" x14ac:dyDescent="0.25">
      <c r="F206" s="17"/>
    </row>
    <row r="207" spans="6:6" ht="18" customHeight="1" x14ac:dyDescent="0.25">
      <c r="F207" s="17"/>
    </row>
    <row r="208" spans="6:6" ht="18" customHeight="1" x14ac:dyDescent="0.25">
      <c r="F208" s="17"/>
    </row>
    <row r="209" spans="6:6" ht="18" customHeight="1" x14ac:dyDescent="0.25">
      <c r="F209" s="17"/>
    </row>
    <row r="210" spans="6:6" ht="18" customHeight="1" x14ac:dyDescent="0.25">
      <c r="F210" s="17"/>
    </row>
    <row r="211" spans="6:6" ht="18" customHeight="1" x14ac:dyDescent="0.25">
      <c r="F211" s="17"/>
    </row>
    <row r="212" spans="6:6" ht="18" customHeight="1" x14ac:dyDescent="0.25">
      <c r="F212" s="17"/>
    </row>
    <row r="213" spans="6:6" ht="18" customHeight="1" x14ac:dyDescent="0.25">
      <c r="F213" s="17"/>
    </row>
    <row r="214" spans="6:6" ht="18" customHeight="1" x14ac:dyDescent="0.25">
      <c r="F214" s="17"/>
    </row>
    <row r="215" spans="6:6" ht="18" customHeight="1" x14ac:dyDescent="0.25">
      <c r="F215" s="17"/>
    </row>
    <row r="216" spans="6:6" ht="18" customHeight="1" x14ac:dyDescent="0.25">
      <c r="F216" s="17"/>
    </row>
    <row r="217" spans="6:6" ht="18" customHeight="1" x14ac:dyDescent="0.25">
      <c r="F217" s="17"/>
    </row>
    <row r="218" spans="6:6" ht="18" customHeight="1" x14ac:dyDescent="0.25">
      <c r="F218" s="17"/>
    </row>
    <row r="219" spans="6:6" ht="18" customHeight="1" x14ac:dyDescent="0.25">
      <c r="F219" s="17"/>
    </row>
    <row r="220" spans="6:6" ht="18" customHeight="1" x14ac:dyDescent="0.25">
      <c r="F220" s="17"/>
    </row>
    <row r="221" spans="6:6" ht="18" customHeight="1" x14ac:dyDescent="0.25">
      <c r="F221" s="17"/>
    </row>
    <row r="222" spans="6:6" ht="18" customHeight="1" x14ac:dyDescent="0.25">
      <c r="F222" s="17"/>
    </row>
    <row r="223" spans="6:6" ht="18" customHeight="1" x14ac:dyDescent="0.25">
      <c r="F223" s="17"/>
    </row>
    <row r="224" spans="6:6" ht="18" customHeight="1" x14ac:dyDescent="0.25">
      <c r="F224" s="17"/>
    </row>
    <row r="225" spans="6:6" ht="18" customHeight="1" x14ac:dyDescent="0.25">
      <c r="F225" s="17"/>
    </row>
    <row r="226" spans="6:6" ht="18" customHeight="1" x14ac:dyDescent="0.25">
      <c r="F226" s="17"/>
    </row>
    <row r="227" spans="6:6" ht="18" customHeight="1" x14ac:dyDescent="0.25">
      <c r="F227" s="17"/>
    </row>
    <row r="228" spans="6:6" ht="18" customHeight="1" x14ac:dyDescent="0.25">
      <c r="F228" s="17"/>
    </row>
    <row r="229" spans="6:6" ht="18" customHeight="1" x14ac:dyDescent="0.25">
      <c r="F229" s="17"/>
    </row>
    <row r="230" spans="6:6" ht="18" customHeight="1" x14ac:dyDescent="0.25">
      <c r="F230" s="17"/>
    </row>
    <row r="231" spans="6:6" ht="18" customHeight="1" x14ac:dyDescent="0.25">
      <c r="F231" s="17"/>
    </row>
    <row r="232" spans="6:6" ht="18" customHeight="1" x14ac:dyDescent="0.25">
      <c r="F232" s="17"/>
    </row>
    <row r="233" spans="6:6" ht="18" customHeight="1" x14ac:dyDescent="0.25">
      <c r="F233" s="17"/>
    </row>
    <row r="234" spans="6:6" ht="18" customHeight="1" x14ac:dyDescent="0.25">
      <c r="F234" s="17"/>
    </row>
    <row r="235" spans="6:6" ht="18" customHeight="1" x14ac:dyDescent="0.25">
      <c r="F235" s="17"/>
    </row>
    <row r="236" spans="6:6" ht="18" customHeight="1" x14ac:dyDescent="0.25">
      <c r="F236" s="17"/>
    </row>
    <row r="237" spans="6:6" ht="18" customHeight="1" x14ac:dyDescent="0.25">
      <c r="F237" s="17"/>
    </row>
    <row r="238" spans="6:6" ht="18" customHeight="1" x14ac:dyDescent="0.25">
      <c r="F238" s="17"/>
    </row>
    <row r="239" spans="6:6" ht="18" customHeight="1" x14ac:dyDescent="0.25">
      <c r="F239" s="17"/>
    </row>
    <row r="240" spans="6:6" ht="18" customHeight="1" x14ac:dyDescent="0.25">
      <c r="F240" s="17"/>
    </row>
    <row r="241" spans="6:6" ht="18" customHeight="1" x14ac:dyDescent="0.25">
      <c r="F241" s="17"/>
    </row>
    <row r="242" spans="6:6" ht="18" customHeight="1" x14ac:dyDescent="0.25">
      <c r="F242" s="17"/>
    </row>
    <row r="243" spans="6:6" ht="18" customHeight="1" x14ac:dyDescent="0.25">
      <c r="F243" s="17"/>
    </row>
    <row r="244" spans="6:6" ht="18" customHeight="1" x14ac:dyDescent="0.25">
      <c r="F244" s="17"/>
    </row>
    <row r="245" spans="6:6" ht="18" customHeight="1" x14ac:dyDescent="0.2"/>
    <row r="246" spans="6:6" ht="18" customHeight="1" x14ac:dyDescent="0.2"/>
    <row r="247" spans="6:6" ht="18" customHeight="1" x14ac:dyDescent="0.2"/>
    <row r="248" spans="6:6" ht="18" customHeight="1" x14ac:dyDescent="0.2"/>
    <row r="249" spans="6:6" ht="18" customHeight="1" x14ac:dyDescent="0.2"/>
    <row r="250" spans="6:6" ht="18" customHeight="1" x14ac:dyDescent="0.2"/>
    <row r="251" spans="6:6" ht="18" customHeight="1" x14ac:dyDescent="0.2"/>
    <row r="252" spans="6:6" ht="18" customHeight="1" x14ac:dyDescent="0.2"/>
    <row r="253" spans="6:6" ht="18" customHeight="1" x14ac:dyDescent="0.2"/>
    <row r="254" spans="6:6" ht="18" customHeight="1" x14ac:dyDescent="0.2"/>
    <row r="255" spans="6:6" ht="18" customHeight="1" x14ac:dyDescent="0.2"/>
    <row r="256" spans="6:6" ht="18" customHeight="1" x14ac:dyDescent="0.2"/>
    <row r="257" ht="18" customHeight="1" x14ac:dyDescent="0.2"/>
    <row r="258" ht="18" customHeight="1" x14ac:dyDescent="0.2"/>
    <row r="259" ht="18" customHeight="1" x14ac:dyDescent="0.2"/>
  </sheetData>
  <mergeCells count="1">
    <mergeCell ref="L11:N11"/>
  </mergeCells>
  <pageMargins left="0.7" right="0.7" top="0.75" bottom="0.75" header="0.3" footer="0.3"/>
  <pageSetup paperSize="9" orientation="portrait" horizontalDpi="0" verticalDpi="0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7D2FE2-C042-3D4D-8CB4-4364F90685D7}">
  <sheetPr codeName="Sheet2"/>
  <dimension ref="A1:AV114"/>
  <sheetViews>
    <sheetView tabSelected="1" topLeftCell="A67" workbookViewId="0">
      <selection activeCell="E113" sqref="E113"/>
    </sheetView>
  </sheetViews>
  <sheetFormatPr baseColWidth="10" defaultRowHeight="16" x14ac:dyDescent="0.2"/>
  <cols>
    <col min="15" max="15" width="7.5" customWidth="1"/>
    <col min="16" max="29" width="5.5" customWidth="1"/>
    <col min="31" max="46" width="5.5" customWidth="1"/>
  </cols>
  <sheetData>
    <row r="1" spans="1:29" x14ac:dyDescent="0.2">
      <c r="B1" t="s">
        <v>1075</v>
      </c>
      <c r="C1" t="s">
        <v>1076</v>
      </c>
      <c r="D1" t="s">
        <v>1077</v>
      </c>
      <c r="F1" t="s">
        <v>1075</v>
      </c>
      <c r="G1" t="s">
        <v>1076</v>
      </c>
      <c r="H1" t="s">
        <v>1077</v>
      </c>
    </row>
    <row r="2" spans="1:29" x14ac:dyDescent="0.2">
      <c r="A2">
        <v>0</v>
      </c>
      <c r="B2">
        <v>1</v>
      </c>
      <c r="C2" s="13">
        <v>44</v>
      </c>
      <c r="D2" s="13">
        <v>64</v>
      </c>
      <c r="F2">
        <f t="shared" ref="F2:F5" si="0">(MOD(B2,256)*256) + INT(B2/256)</f>
        <v>256</v>
      </c>
      <c r="G2">
        <f t="shared" ref="G2:G5" si="1">(MOD(C2,256)*256) + INT(C2/256)</f>
        <v>11264</v>
      </c>
      <c r="H2">
        <f t="shared" ref="H2:H5" si="2">(MOD(D2,256)*256) + INT(D2/256)</f>
        <v>16384</v>
      </c>
      <c r="K2" t="str">
        <f>_xlfn.CONCAT(F2, ", ",G2,", ",H2,", // Port ",A2)</f>
        <v>256, 11264, 16384, // Port 0</v>
      </c>
    </row>
    <row r="3" spans="1:29" x14ac:dyDescent="0.2">
      <c r="A3">
        <v>1</v>
      </c>
      <c r="B3">
        <v>1</v>
      </c>
      <c r="C3" s="13">
        <v>0</v>
      </c>
      <c r="D3" s="13">
        <v>136</v>
      </c>
      <c r="F3">
        <f t="shared" si="0"/>
        <v>256</v>
      </c>
      <c r="G3">
        <f t="shared" si="1"/>
        <v>0</v>
      </c>
      <c r="H3">
        <f t="shared" si="2"/>
        <v>34816</v>
      </c>
      <c r="K3" t="str">
        <f t="shared" ref="K3:K14" si="3">_xlfn.CONCAT(F3, ", ",G3,", ",H3,", // Port ",A3)</f>
        <v>256, 0, 34816, // Port 1</v>
      </c>
    </row>
    <row r="4" spans="1:29" x14ac:dyDescent="0.2">
      <c r="A4">
        <v>2</v>
      </c>
      <c r="B4">
        <v>1</v>
      </c>
      <c r="C4" s="13">
        <v>0</v>
      </c>
      <c r="D4" s="13">
        <v>208</v>
      </c>
      <c r="F4">
        <f t="shared" si="0"/>
        <v>256</v>
      </c>
      <c r="G4">
        <f t="shared" si="1"/>
        <v>0</v>
      </c>
      <c r="H4">
        <f t="shared" si="2"/>
        <v>53248</v>
      </c>
      <c r="K4" t="str">
        <f t="shared" si="3"/>
        <v>256, 0, 53248, // Port 2</v>
      </c>
    </row>
    <row r="5" spans="1:29" x14ac:dyDescent="0.2">
      <c r="A5">
        <v>3</v>
      </c>
      <c r="B5">
        <v>0</v>
      </c>
      <c r="C5" s="13">
        <v>88</v>
      </c>
      <c r="D5" s="13">
        <v>180</v>
      </c>
      <c r="F5">
        <f t="shared" si="0"/>
        <v>0</v>
      </c>
      <c r="G5">
        <f t="shared" si="1"/>
        <v>22528</v>
      </c>
      <c r="H5">
        <f t="shared" si="2"/>
        <v>46080</v>
      </c>
      <c r="K5" t="str">
        <f t="shared" si="3"/>
        <v>0, 22528, 46080, // Port 3</v>
      </c>
    </row>
    <row r="6" spans="1:29" x14ac:dyDescent="0.2">
      <c r="A6">
        <v>4</v>
      </c>
      <c r="B6">
        <v>1</v>
      </c>
      <c r="C6" s="13">
        <v>28</v>
      </c>
      <c r="D6" s="13">
        <v>308</v>
      </c>
      <c r="F6">
        <f t="shared" ref="F6:F14" si="4">(MOD(B6,256)*256) + INT(B6/256)</f>
        <v>256</v>
      </c>
      <c r="G6">
        <f t="shared" ref="G6:G14" si="5">(MOD(C6,256)*256) + INT(C6/256)</f>
        <v>7168</v>
      </c>
      <c r="H6">
        <f t="shared" ref="H6:H9" si="6">(MOD(D6,256)*256) + INT(D6/256)</f>
        <v>13313</v>
      </c>
      <c r="K6" t="str">
        <f t="shared" si="3"/>
        <v>256, 7168, 13313, // Port 4</v>
      </c>
    </row>
    <row r="7" spans="1:29" x14ac:dyDescent="0.2">
      <c r="A7">
        <v>5</v>
      </c>
      <c r="B7">
        <v>0</v>
      </c>
      <c r="C7" s="13">
        <v>52</v>
      </c>
      <c r="D7" s="13">
        <v>236</v>
      </c>
      <c r="F7">
        <f t="shared" si="4"/>
        <v>0</v>
      </c>
      <c r="G7">
        <f t="shared" si="5"/>
        <v>13312</v>
      </c>
      <c r="H7">
        <f t="shared" si="6"/>
        <v>60416</v>
      </c>
      <c r="K7" t="str">
        <f t="shared" si="3"/>
        <v>0, 13312, 60416, // Port 5</v>
      </c>
    </row>
    <row r="8" spans="1:29" x14ac:dyDescent="0.2">
      <c r="A8">
        <v>6</v>
      </c>
      <c r="B8">
        <v>0</v>
      </c>
      <c r="C8" s="13">
        <v>116</v>
      </c>
      <c r="D8" s="13">
        <v>308</v>
      </c>
      <c r="F8">
        <f t="shared" si="4"/>
        <v>0</v>
      </c>
      <c r="G8">
        <f t="shared" si="5"/>
        <v>29696</v>
      </c>
      <c r="H8">
        <f t="shared" si="6"/>
        <v>13313</v>
      </c>
      <c r="K8" t="str">
        <f t="shared" si="3"/>
        <v>0, 29696, 13313, // Port 6</v>
      </c>
    </row>
    <row r="9" spans="1:29" x14ac:dyDescent="0.2">
      <c r="A9">
        <v>7</v>
      </c>
      <c r="B9">
        <v>0</v>
      </c>
      <c r="C9" s="13">
        <v>184</v>
      </c>
      <c r="D9" s="13">
        <v>244</v>
      </c>
      <c r="F9">
        <f t="shared" si="4"/>
        <v>0</v>
      </c>
      <c r="G9">
        <f t="shared" si="5"/>
        <v>47104</v>
      </c>
      <c r="H9">
        <f t="shared" si="6"/>
        <v>62464</v>
      </c>
      <c r="K9" t="str">
        <f t="shared" si="3"/>
        <v>0, 47104, 62464, // Port 7</v>
      </c>
    </row>
    <row r="10" spans="1:29" x14ac:dyDescent="0.2">
      <c r="A10">
        <v>8</v>
      </c>
      <c r="B10">
        <v>0</v>
      </c>
      <c r="C10" s="13">
        <v>256</v>
      </c>
      <c r="D10" s="13">
        <v>308</v>
      </c>
      <c r="F10">
        <f t="shared" si="4"/>
        <v>0</v>
      </c>
      <c r="G10">
        <f t="shared" si="5"/>
        <v>1</v>
      </c>
      <c r="H10">
        <f>(MOD(D10,256)*256) + INT(D10/256)</f>
        <v>13313</v>
      </c>
      <c r="K10" t="str">
        <f t="shared" si="3"/>
        <v>0, 1, 13313, // Port 8</v>
      </c>
    </row>
    <row r="11" spans="1:29" x14ac:dyDescent="0.2">
      <c r="A11">
        <v>9</v>
      </c>
      <c r="B11">
        <v>0</v>
      </c>
      <c r="C11" s="13">
        <v>256</v>
      </c>
      <c r="D11" s="13">
        <v>168</v>
      </c>
      <c r="F11">
        <f t="shared" si="4"/>
        <v>0</v>
      </c>
      <c r="G11">
        <f t="shared" si="5"/>
        <v>1</v>
      </c>
      <c r="H11">
        <f t="shared" ref="H11:H14" si="7">(MOD(D11,256)*256) + INT(D11/256)</f>
        <v>43008</v>
      </c>
      <c r="K11" t="str">
        <f t="shared" si="3"/>
        <v>0, 1, 43008, // Port 9</v>
      </c>
    </row>
    <row r="12" spans="1:29" x14ac:dyDescent="0.2">
      <c r="A12">
        <v>10</v>
      </c>
      <c r="B12">
        <v>0</v>
      </c>
      <c r="C12" s="13">
        <v>256</v>
      </c>
      <c r="D12" s="13">
        <v>96</v>
      </c>
      <c r="F12">
        <f t="shared" si="4"/>
        <v>0</v>
      </c>
      <c r="G12">
        <f t="shared" si="5"/>
        <v>1</v>
      </c>
      <c r="H12">
        <f t="shared" si="7"/>
        <v>24576</v>
      </c>
      <c r="K12" t="str">
        <f t="shared" si="3"/>
        <v>0, 1, 24576, // Port 10</v>
      </c>
    </row>
    <row r="13" spans="1:29" x14ac:dyDescent="0.2">
      <c r="A13">
        <v>11</v>
      </c>
      <c r="B13">
        <v>0</v>
      </c>
      <c r="C13" s="13">
        <v>204</v>
      </c>
      <c r="D13" s="13">
        <v>32</v>
      </c>
      <c r="F13">
        <f t="shared" si="4"/>
        <v>0</v>
      </c>
      <c r="G13">
        <f t="shared" si="5"/>
        <v>52224</v>
      </c>
      <c r="H13">
        <f t="shared" si="7"/>
        <v>8192</v>
      </c>
      <c r="K13" t="str">
        <f t="shared" si="3"/>
        <v>0, 52224, 8192, // Port 11</v>
      </c>
    </row>
    <row r="14" spans="1:29" x14ac:dyDescent="0.2">
      <c r="A14">
        <v>12</v>
      </c>
      <c r="B14">
        <v>0</v>
      </c>
      <c r="C14" s="13">
        <v>136</v>
      </c>
      <c r="D14" s="13">
        <v>80</v>
      </c>
      <c r="F14">
        <f t="shared" si="4"/>
        <v>0</v>
      </c>
      <c r="G14">
        <f t="shared" si="5"/>
        <v>34816</v>
      </c>
      <c r="H14">
        <f t="shared" si="7"/>
        <v>20480</v>
      </c>
      <c r="K14" t="str">
        <f t="shared" si="3"/>
        <v>0, 34816, 20480, // Port 12</v>
      </c>
      <c r="T14" t="s">
        <v>1079</v>
      </c>
      <c r="V14" t="s">
        <v>1080</v>
      </c>
      <c r="Y14" t="s">
        <v>1081</v>
      </c>
      <c r="AC14" t="s">
        <v>1082</v>
      </c>
    </row>
    <row r="15" spans="1:29" x14ac:dyDescent="0.2">
      <c r="A15">
        <v>13</v>
      </c>
      <c r="B15">
        <v>0</v>
      </c>
      <c r="C15" s="13">
        <v>44</v>
      </c>
      <c r="D15" s="13">
        <v>0</v>
      </c>
      <c r="F15">
        <f t="shared" ref="F15" si="8">(MOD(B15,256)*256) + INT(B15/256)</f>
        <v>0</v>
      </c>
      <c r="G15">
        <f t="shared" ref="G15" si="9">(MOD(C15,256)*256) + INT(C15/256)</f>
        <v>11264</v>
      </c>
      <c r="H15">
        <f t="shared" ref="H15" si="10">(MOD(D15,256)*256) + INT(D15/256)</f>
        <v>0</v>
      </c>
      <c r="K15" t="str">
        <f t="shared" ref="K15" si="11">_xlfn.CONCAT(F15, ", ",G15,", ",H15,", // Port ",A15)</f>
        <v>0, 11264, 0, // Port 13</v>
      </c>
    </row>
    <row r="17" spans="6:31" x14ac:dyDescent="0.2">
      <c r="O17" t="s">
        <v>1078</v>
      </c>
      <c r="P17">
        <v>0</v>
      </c>
      <c r="Q17">
        <v>1</v>
      </c>
      <c r="R17">
        <v>2</v>
      </c>
      <c r="S17">
        <v>3</v>
      </c>
      <c r="T17">
        <v>4</v>
      </c>
      <c r="U17">
        <v>5</v>
      </c>
      <c r="V17">
        <v>6</v>
      </c>
      <c r="W17">
        <v>7</v>
      </c>
      <c r="X17">
        <v>8</v>
      </c>
      <c r="Y17">
        <v>9</v>
      </c>
      <c r="Z17">
        <v>10</v>
      </c>
      <c r="AA17">
        <v>11</v>
      </c>
      <c r="AB17">
        <v>12</v>
      </c>
      <c r="AC17">
        <v>13</v>
      </c>
    </row>
    <row r="18" spans="6:31" x14ac:dyDescent="0.2">
      <c r="N18" t="s">
        <v>1078</v>
      </c>
      <c r="O18" s="19">
        <v>0</v>
      </c>
      <c r="P18" s="20">
        <v>12</v>
      </c>
      <c r="Q18">
        <f>P18+Q19</f>
        <v>27</v>
      </c>
      <c r="R18">
        <f>Q18+R20</f>
        <v>45</v>
      </c>
      <c r="S18">
        <f>R18+S21</f>
        <v>65</v>
      </c>
      <c r="T18">
        <f>S18+T22</f>
        <v>89</v>
      </c>
      <c r="U18">
        <f>T18+U23</f>
        <v>111</v>
      </c>
      <c r="V18">
        <f>U18+V24</f>
        <v>133</v>
      </c>
      <c r="W18">
        <f>V18+W25</f>
        <v>150</v>
      </c>
      <c r="X18">
        <f>W18+X26</f>
        <v>166</v>
      </c>
      <c r="Y18">
        <f>X18+Y27</f>
        <v>180</v>
      </c>
      <c r="Z18">
        <f>Y18+Z28</f>
        <v>193</v>
      </c>
      <c r="AA18">
        <f>Z18+AA29</f>
        <v>212</v>
      </c>
      <c r="AB18">
        <f>AA18+AB30</f>
        <v>230</v>
      </c>
      <c r="AC18">
        <f>AB18+AC31</f>
        <v>250</v>
      </c>
      <c r="AE18" t="str">
        <f>_xlfn.CONCAT(" {",_xlfn.TEXTJOIN(", ",FALSE,O18:AC18),"}, // ",N18)</f>
        <v xml:space="preserve"> {0, 12, 27, 45, 65, 89, 111, 133, 150, 166, 180, 193, 212, 230, 250}, // Base</v>
      </c>
    </row>
    <row r="19" spans="6:31" x14ac:dyDescent="0.2">
      <c r="N19">
        <v>0</v>
      </c>
      <c r="O19">
        <f>P18</f>
        <v>12</v>
      </c>
      <c r="P19" s="19">
        <v>0</v>
      </c>
      <c r="Q19" s="20">
        <v>15</v>
      </c>
      <c r="R19">
        <f>Q19+R20</f>
        <v>33</v>
      </c>
      <c r="S19">
        <f>R19+S21</f>
        <v>53</v>
      </c>
      <c r="T19">
        <f>S19+T22</f>
        <v>77</v>
      </c>
      <c r="U19">
        <f>T19+U23</f>
        <v>99</v>
      </c>
      <c r="V19">
        <f>U19+V24</f>
        <v>121</v>
      </c>
      <c r="W19">
        <f>V19+W25</f>
        <v>138</v>
      </c>
      <c r="X19">
        <f>W19+X26</f>
        <v>154</v>
      </c>
      <c r="Y19">
        <f>X19+Y27</f>
        <v>168</v>
      </c>
      <c r="Z19">
        <f>Y19+Z28</f>
        <v>181</v>
      </c>
      <c r="AA19">
        <f>Z19+AA29</f>
        <v>200</v>
      </c>
      <c r="AB19">
        <f>AA19+AB30</f>
        <v>218</v>
      </c>
      <c r="AC19">
        <f>AB19+AC31</f>
        <v>238</v>
      </c>
      <c r="AE19" t="str">
        <f t="shared" ref="AE19:AE32" si="12">_xlfn.CONCAT(" {",_xlfn.TEXTJOIN(", ",FALSE,O19:AC19),"}, // ",N19)</f>
        <v xml:space="preserve"> {12, 0, 15, 33, 53, 77, 99, 121, 138, 154, 168, 181, 200, 218, 238}, // 0</v>
      </c>
    </row>
    <row r="20" spans="6:31" x14ac:dyDescent="0.2">
      <c r="N20">
        <v>1</v>
      </c>
      <c r="O20">
        <f>O19+P20</f>
        <v>27</v>
      </c>
      <c r="P20">
        <f>Q19</f>
        <v>15</v>
      </c>
      <c r="Q20" s="19">
        <v>0</v>
      </c>
      <c r="R20" s="20">
        <v>18</v>
      </c>
      <c r="S20">
        <f>R20+S21</f>
        <v>38</v>
      </c>
      <c r="T20" s="21">
        <v>26</v>
      </c>
      <c r="U20">
        <f>T20+U23</f>
        <v>48</v>
      </c>
      <c r="V20">
        <f>U20+V24</f>
        <v>70</v>
      </c>
      <c r="W20">
        <f>V20+W25</f>
        <v>87</v>
      </c>
      <c r="X20">
        <f>W20+X26</f>
        <v>103</v>
      </c>
      <c r="Y20">
        <f>X20+Y27</f>
        <v>117</v>
      </c>
      <c r="Z20">
        <f>Y20+Z28</f>
        <v>130</v>
      </c>
      <c r="AA20">
        <f>Z20+AA29</f>
        <v>149</v>
      </c>
      <c r="AB20">
        <f>AA20+AB30</f>
        <v>167</v>
      </c>
      <c r="AC20">
        <f>AB20+AC31</f>
        <v>187</v>
      </c>
      <c r="AE20" t="str">
        <f t="shared" si="12"/>
        <v xml:space="preserve"> {27, 15, 0, 18, 38, 26, 48, 70, 87, 103, 117, 130, 149, 167, 187}, // 1</v>
      </c>
    </row>
    <row r="21" spans="6:31" x14ac:dyDescent="0.2">
      <c r="F21">
        <v>0</v>
      </c>
      <c r="G21">
        <v>7</v>
      </c>
      <c r="N21">
        <v>2</v>
      </c>
      <c r="O21">
        <f>O20+Q21</f>
        <v>45</v>
      </c>
      <c r="P21">
        <f>P20+Q21</f>
        <v>33</v>
      </c>
      <c r="Q21">
        <f>R20</f>
        <v>18</v>
      </c>
      <c r="R21" s="19">
        <v>0</v>
      </c>
      <c r="S21" s="20">
        <v>20</v>
      </c>
      <c r="T21">
        <f>S21+T22</f>
        <v>44</v>
      </c>
      <c r="U21">
        <f>T21+U23</f>
        <v>66</v>
      </c>
      <c r="V21">
        <f>U21+V24</f>
        <v>88</v>
      </c>
      <c r="W21">
        <f>V21+W25</f>
        <v>105</v>
      </c>
      <c r="X21">
        <f>W21+X26</f>
        <v>121</v>
      </c>
      <c r="Y21">
        <f>X21+Y27</f>
        <v>135</v>
      </c>
      <c r="Z21">
        <f>Y21+Z28</f>
        <v>148</v>
      </c>
      <c r="AA21">
        <f>Z21+AA29</f>
        <v>167</v>
      </c>
      <c r="AB21">
        <f>AA21+AB30</f>
        <v>185</v>
      </c>
      <c r="AC21">
        <f>AB21+AC31</f>
        <v>205</v>
      </c>
      <c r="AE21" t="str">
        <f t="shared" si="12"/>
        <v xml:space="preserve"> {45, 33, 18, 0, 20, 44, 66, 88, 105, 121, 135, 148, 167, 185, 205}, // 2</v>
      </c>
    </row>
    <row r="22" spans="6:31" x14ac:dyDescent="0.2">
      <c r="N22">
        <v>3</v>
      </c>
      <c r="O22">
        <f>O21+R22</f>
        <v>65</v>
      </c>
      <c r="P22">
        <f>P21+R22</f>
        <v>53</v>
      </c>
      <c r="Q22">
        <f>Q21+R22</f>
        <v>38</v>
      </c>
      <c r="R22">
        <f>S21</f>
        <v>20</v>
      </c>
      <c r="S22" s="19">
        <v>0</v>
      </c>
      <c r="T22" s="20">
        <v>24</v>
      </c>
      <c r="U22">
        <f>T22+U23</f>
        <v>46</v>
      </c>
      <c r="V22">
        <f>U22+V24</f>
        <v>68</v>
      </c>
      <c r="W22">
        <f>V22+W25</f>
        <v>85</v>
      </c>
      <c r="X22">
        <f>W22+X26</f>
        <v>101</v>
      </c>
      <c r="Y22">
        <f>X22+Y27</f>
        <v>115</v>
      </c>
      <c r="Z22">
        <f>Y22+Z28</f>
        <v>128</v>
      </c>
      <c r="AA22">
        <f>Z22+AA29</f>
        <v>147</v>
      </c>
      <c r="AB22">
        <f>AA22+AB30</f>
        <v>165</v>
      </c>
      <c r="AC22">
        <f>AB22+AC31</f>
        <v>185</v>
      </c>
      <c r="AE22" t="str">
        <f t="shared" si="12"/>
        <v xml:space="preserve"> {65, 53, 38, 20, 0, 24, 46, 68, 85, 101, 115, 128, 147, 165, 185}, // 3</v>
      </c>
    </row>
    <row r="23" spans="6:31" x14ac:dyDescent="0.2">
      <c r="N23">
        <v>4</v>
      </c>
      <c r="O23">
        <f>O22+S23</f>
        <v>89</v>
      </c>
      <c r="P23">
        <f>P22+S23</f>
        <v>77</v>
      </c>
      <c r="Q23" s="21">
        <f>T20</f>
        <v>26</v>
      </c>
      <c r="R23">
        <f>R22+S23</f>
        <v>44</v>
      </c>
      <c r="S23">
        <f>T22</f>
        <v>24</v>
      </c>
      <c r="T23" s="19">
        <v>0</v>
      </c>
      <c r="U23" s="20">
        <v>22</v>
      </c>
      <c r="V23" s="21">
        <v>16</v>
      </c>
      <c r="W23">
        <f>V23+W25</f>
        <v>33</v>
      </c>
      <c r="X23">
        <f>W23+X26</f>
        <v>49</v>
      </c>
      <c r="Y23">
        <f>X23+Y27</f>
        <v>63</v>
      </c>
      <c r="Z23">
        <f>Y23+Z28</f>
        <v>76</v>
      </c>
      <c r="AA23">
        <f>Z23+AA29</f>
        <v>95</v>
      </c>
      <c r="AB23">
        <f>AA23+AB30</f>
        <v>113</v>
      </c>
      <c r="AC23">
        <f>AB23+AC31</f>
        <v>133</v>
      </c>
      <c r="AE23" t="str">
        <f t="shared" si="12"/>
        <v xml:space="preserve"> {89, 77, 26, 44, 24, 0, 22, 16, 33, 49, 63, 76, 95, 113, 133}, // 4</v>
      </c>
    </row>
    <row r="24" spans="6:31" x14ac:dyDescent="0.2">
      <c r="N24">
        <v>5</v>
      </c>
      <c r="O24">
        <f>O23+T24</f>
        <v>111</v>
      </c>
      <c r="P24">
        <f>P23+T24</f>
        <v>99</v>
      </c>
      <c r="Q24">
        <f>Q23+T24</f>
        <v>48</v>
      </c>
      <c r="R24">
        <f>R23+T24</f>
        <v>66</v>
      </c>
      <c r="S24">
        <f>S23+T24</f>
        <v>46</v>
      </c>
      <c r="T24">
        <f>U23</f>
        <v>22</v>
      </c>
      <c r="U24" s="19">
        <v>0</v>
      </c>
      <c r="V24" s="20">
        <v>22</v>
      </c>
      <c r="W24">
        <f>V24+W25</f>
        <v>39</v>
      </c>
      <c r="X24">
        <f>W24+X26</f>
        <v>55</v>
      </c>
      <c r="Y24">
        <f>X24+Y27</f>
        <v>69</v>
      </c>
      <c r="Z24">
        <f>Y24+Z28</f>
        <v>82</v>
      </c>
      <c r="AA24">
        <f>Z24+AA29</f>
        <v>101</v>
      </c>
      <c r="AB24">
        <f>AA24+AB30</f>
        <v>119</v>
      </c>
      <c r="AC24">
        <f>AB24+AC31</f>
        <v>139</v>
      </c>
      <c r="AE24" t="str">
        <f t="shared" si="12"/>
        <v xml:space="preserve"> {111, 99, 48, 66, 46, 22, 0, 22, 39, 55, 69, 82, 101, 119, 139}, // 5</v>
      </c>
    </row>
    <row r="25" spans="6:31" x14ac:dyDescent="0.2">
      <c r="N25">
        <v>6</v>
      </c>
      <c r="O25">
        <f>O24+U25</f>
        <v>133</v>
      </c>
      <c r="P25">
        <f>P24+U25</f>
        <v>121</v>
      </c>
      <c r="Q25">
        <f>Q24+U25</f>
        <v>70</v>
      </c>
      <c r="R25">
        <f>R24+U25</f>
        <v>88</v>
      </c>
      <c r="S25">
        <f>S24+U25</f>
        <v>68</v>
      </c>
      <c r="T25" s="21">
        <f>V23</f>
        <v>16</v>
      </c>
      <c r="U25">
        <f>V24</f>
        <v>22</v>
      </c>
      <c r="V25" s="19">
        <v>0</v>
      </c>
      <c r="W25" s="20">
        <v>17</v>
      </c>
      <c r="X25">
        <f>W25+X26</f>
        <v>33</v>
      </c>
      <c r="Y25">
        <f>X25+Y27</f>
        <v>47</v>
      </c>
      <c r="Z25">
        <f>Y25+Z28</f>
        <v>60</v>
      </c>
      <c r="AA25">
        <f>Z25+AA29</f>
        <v>79</v>
      </c>
      <c r="AB25">
        <f>AA25+AB30</f>
        <v>97</v>
      </c>
      <c r="AC25">
        <f>AB25+AC31</f>
        <v>117</v>
      </c>
      <c r="AE25" t="str">
        <f t="shared" si="12"/>
        <v xml:space="preserve"> {133, 121, 70, 88, 68, 16, 22, 0, 17, 33, 47, 60, 79, 97, 117}, // 6</v>
      </c>
    </row>
    <row r="26" spans="6:31" x14ac:dyDescent="0.2">
      <c r="N26">
        <v>7</v>
      </c>
      <c r="O26">
        <f>O25+V26</f>
        <v>150</v>
      </c>
      <c r="P26">
        <f>P25+V26</f>
        <v>138</v>
      </c>
      <c r="Q26">
        <f>Q25+V26</f>
        <v>87</v>
      </c>
      <c r="R26">
        <f>R25+V26</f>
        <v>105</v>
      </c>
      <c r="S26">
        <f>S25+V26</f>
        <v>85</v>
      </c>
      <c r="T26">
        <f>T25+V26</f>
        <v>33</v>
      </c>
      <c r="U26">
        <f>U25+V26</f>
        <v>39</v>
      </c>
      <c r="V26">
        <f>W25</f>
        <v>17</v>
      </c>
      <c r="W26" s="19">
        <v>0</v>
      </c>
      <c r="X26" s="20">
        <v>16</v>
      </c>
      <c r="Y26" s="21">
        <v>14</v>
      </c>
      <c r="Z26">
        <f>Y26+Z28</f>
        <v>27</v>
      </c>
      <c r="AA26">
        <f>Z26+AA29</f>
        <v>46</v>
      </c>
      <c r="AB26">
        <f>AA26+AB30</f>
        <v>64</v>
      </c>
      <c r="AC26">
        <f>AB26+AC31</f>
        <v>84</v>
      </c>
      <c r="AE26" t="str">
        <f t="shared" si="12"/>
        <v xml:space="preserve"> {150, 138, 87, 105, 85, 33, 39, 17, 0, 16, 14, 27, 46, 64, 84}, // 7</v>
      </c>
    </row>
    <row r="27" spans="6:31" x14ac:dyDescent="0.2">
      <c r="N27">
        <v>8</v>
      </c>
      <c r="O27">
        <f>O26+W27</f>
        <v>166</v>
      </c>
      <c r="P27">
        <f>P26+W27</f>
        <v>154</v>
      </c>
      <c r="Q27">
        <f>Q26+W27</f>
        <v>103</v>
      </c>
      <c r="R27">
        <f>R26+W27</f>
        <v>121</v>
      </c>
      <c r="S27">
        <f>S26+W27</f>
        <v>101</v>
      </c>
      <c r="T27">
        <f>T26+W27</f>
        <v>49</v>
      </c>
      <c r="U27">
        <f>U26+W27</f>
        <v>55</v>
      </c>
      <c r="V27">
        <f>V26+W27</f>
        <v>33</v>
      </c>
      <c r="W27">
        <f>X26</f>
        <v>16</v>
      </c>
      <c r="X27" s="19">
        <v>0</v>
      </c>
      <c r="Y27" s="20">
        <v>14</v>
      </c>
      <c r="Z27">
        <f>Y27+Z28</f>
        <v>27</v>
      </c>
      <c r="AA27">
        <f>Z27+AA29</f>
        <v>46</v>
      </c>
      <c r="AB27">
        <f>AA27+AB30</f>
        <v>64</v>
      </c>
      <c r="AC27">
        <f>AB27+AC31</f>
        <v>84</v>
      </c>
      <c r="AE27" t="str">
        <f t="shared" si="12"/>
        <v xml:space="preserve"> {166, 154, 103, 121, 101, 49, 55, 33, 16, 0, 14, 27, 46, 64, 84}, // 8</v>
      </c>
    </row>
    <row r="28" spans="6:31" x14ac:dyDescent="0.2">
      <c r="N28">
        <v>9</v>
      </c>
      <c r="O28">
        <f>O27+X28</f>
        <v>180</v>
      </c>
      <c r="P28">
        <f>P27+X28</f>
        <v>168</v>
      </c>
      <c r="Q28">
        <f>Q27+X28</f>
        <v>117</v>
      </c>
      <c r="R28">
        <f>R27+X28</f>
        <v>135</v>
      </c>
      <c r="S28">
        <f>S27+X28</f>
        <v>115</v>
      </c>
      <c r="T28">
        <f>T27+X28</f>
        <v>63</v>
      </c>
      <c r="U28">
        <f>U27+X28</f>
        <v>69</v>
      </c>
      <c r="V28">
        <f>V27+X28</f>
        <v>47</v>
      </c>
      <c r="W28" s="21">
        <f>Y26</f>
        <v>14</v>
      </c>
      <c r="X28">
        <f>Y27</f>
        <v>14</v>
      </c>
      <c r="Y28" s="19">
        <v>0</v>
      </c>
      <c r="Z28" s="20">
        <v>13</v>
      </c>
      <c r="AA28">
        <f>Z28+AA29</f>
        <v>32</v>
      </c>
      <c r="AB28">
        <f>AA28+AB30</f>
        <v>50</v>
      </c>
      <c r="AC28">
        <f>AB28+AC31</f>
        <v>70</v>
      </c>
      <c r="AE28" t="str">
        <f t="shared" si="12"/>
        <v xml:space="preserve"> {180, 168, 117, 135, 115, 63, 69, 47, 14, 14, 0, 13, 32, 50, 70}, // 9</v>
      </c>
    </row>
    <row r="29" spans="6:31" x14ac:dyDescent="0.2">
      <c r="N29">
        <v>10</v>
      </c>
      <c r="O29">
        <f>O28+Y29</f>
        <v>193</v>
      </c>
      <c r="P29">
        <f>P28+Y29</f>
        <v>181</v>
      </c>
      <c r="Q29">
        <f>Q28+Y29</f>
        <v>130</v>
      </c>
      <c r="R29">
        <f>R28+Y29</f>
        <v>148</v>
      </c>
      <c r="S29">
        <f>S28+Y29</f>
        <v>128</v>
      </c>
      <c r="T29">
        <f>T28+Y29</f>
        <v>76</v>
      </c>
      <c r="U29">
        <f>U28+Y29</f>
        <v>82</v>
      </c>
      <c r="V29">
        <f>V28+Y29</f>
        <v>60</v>
      </c>
      <c r="W29">
        <f>W28+Y29</f>
        <v>27</v>
      </c>
      <c r="X29">
        <f>X28+Y29</f>
        <v>27</v>
      </c>
      <c r="Y29">
        <f>Z28</f>
        <v>13</v>
      </c>
      <c r="Z29" s="19">
        <v>0</v>
      </c>
      <c r="AA29" s="20">
        <v>19</v>
      </c>
      <c r="AB29" s="21">
        <v>16</v>
      </c>
      <c r="AC29">
        <f>AB29+AC31</f>
        <v>36</v>
      </c>
      <c r="AE29" t="str">
        <f t="shared" si="12"/>
        <v xml:space="preserve"> {193, 181, 130, 148, 128, 76, 82, 60, 27, 27, 13, 0, 19, 16, 36}, // 10</v>
      </c>
    </row>
    <row r="30" spans="6:31" x14ac:dyDescent="0.2">
      <c r="F30">
        <v>1</v>
      </c>
      <c r="G30">
        <v>8</v>
      </c>
      <c r="N30">
        <v>11</v>
      </c>
      <c r="O30">
        <f>O29+Z30</f>
        <v>212</v>
      </c>
      <c r="P30">
        <f>P29+Z30</f>
        <v>200</v>
      </c>
      <c r="Q30">
        <f>Q29+Z30</f>
        <v>149</v>
      </c>
      <c r="R30">
        <f>R29+Z30</f>
        <v>167</v>
      </c>
      <c r="S30">
        <f>S29+Z30</f>
        <v>147</v>
      </c>
      <c r="T30">
        <f>T29+Z30</f>
        <v>95</v>
      </c>
      <c r="U30">
        <f>U29+Z30</f>
        <v>101</v>
      </c>
      <c r="V30">
        <f>V29+Z30</f>
        <v>79</v>
      </c>
      <c r="W30">
        <f>W29+Z30</f>
        <v>46</v>
      </c>
      <c r="X30">
        <f>X29+Z30</f>
        <v>46</v>
      </c>
      <c r="Y30">
        <f>Y29+Z30</f>
        <v>32</v>
      </c>
      <c r="Z30">
        <f>AA29</f>
        <v>19</v>
      </c>
      <c r="AA30" s="19">
        <v>0</v>
      </c>
      <c r="AB30" s="20">
        <v>18</v>
      </c>
      <c r="AC30">
        <f>AB30+AC31</f>
        <v>38</v>
      </c>
      <c r="AE30" t="str">
        <f t="shared" si="12"/>
        <v xml:space="preserve"> {212, 200, 149, 167, 147, 95, 101, 79, 46, 46, 32, 19, 0, 18, 38}, // 11</v>
      </c>
    </row>
    <row r="31" spans="6:31" x14ac:dyDescent="0.2">
      <c r="N31">
        <v>12</v>
      </c>
      <c r="O31">
        <f>O30+AA31</f>
        <v>230</v>
      </c>
      <c r="P31">
        <f>P30+AA31</f>
        <v>218</v>
      </c>
      <c r="Q31">
        <f>Q30+AA31</f>
        <v>167</v>
      </c>
      <c r="R31">
        <f>R30+AA31</f>
        <v>185</v>
      </c>
      <c r="S31">
        <f>S30+AA31</f>
        <v>165</v>
      </c>
      <c r="T31">
        <f>T30+AA31</f>
        <v>113</v>
      </c>
      <c r="U31">
        <f>U30+AA31</f>
        <v>119</v>
      </c>
      <c r="V31">
        <f>V30+AA31</f>
        <v>97</v>
      </c>
      <c r="W31">
        <f>W30+AA31</f>
        <v>64</v>
      </c>
      <c r="X31">
        <f>X30+AA31</f>
        <v>64</v>
      </c>
      <c r="Y31">
        <f>Y30+AA31</f>
        <v>50</v>
      </c>
      <c r="Z31" s="21">
        <f>AB29</f>
        <v>16</v>
      </c>
      <c r="AA31">
        <f>AB30</f>
        <v>18</v>
      </c>
      <c r="AB31" s="19">
        <v>0</v>
      </c>
      <c r="AC31" s="20">
        <v>20</v>
      </c>
      <c r="AE31" t="str">
        <f t="shared" si="12"/>
        <v xml:space="preserve"> {230, 218, 167, 185, 165, 113, 119, 97, 64, 64, 50, 16, 18, 0, 20}, // 12</v>
      </c>
    </row>
    <row r="32" spans="6:31" x14ac:dyDescent="0.2">
      <c r="N32">
        <v>13</v>
      </c>
      <c r="O32">
        <f>O31+AB32</f>
        <v>250</v>
      </c>
      <c r="P32">
        <f>P31+AB32</f>
        <v>238</v>
      </c>
      <c r="Q32">
        <f>Q31+AB32</f>
        <v>187</v>
      </c>
      <c r="R32">
        <f>R31+AB32</f>
        <v>205</v>
      </c>
      <c r="S32">
        <f>S31+AB32</f>
        <v>185</v>
      </c>
      <c r="T32">
        <f>T31+AB32</f>
        <v>133</v>
      </c>
      <c r="U32">
        <f>U31+AB32</f>
        <v>139</v>
      </c>
      <c r="V32">
        <f>V31+AB32</f>
        <v>117</v>
      </c>
      <c r="W32">
        <f>W31+AB32</f>
        <v>84</v>
      </c>
      <c r="X32">
        <f>X31+AB32</f>
        <v>84</v>
      </c>
      <c r="Y32">
        <f>Y31+AB32</f>
        <v>70</v>
      </c>
      <c r="Z32">
        <f>Z31+AB32</f>
        <v>36</v>
      </c>
      <c r="AA32">
        <f>AA31+AB32</f>
        <v>38</v>
      </c>
      <c r="AB32">
        <f>AC31</f>
        <v>20</v>
      </c>
      <c r="AC32" s="19">
        <v>0</v>
      </c>
      <c r="AE32" t="str">
        <f t="shared" si="12"/>
        <v xml:space="preserve"> {250, 238, 187, 205, 185, 133, 139, 117, 84, 84, 70, 36, 38, 20, 0}, // 13</v>
      </c>
    </row>
    <row r="35" spans="4:48" x14ac:dyDescent="0.2">
      <c r="D35" s="13"/>
    </row>
    <row r="37" spans="4:48" x14ac:dyDescent="0.2">
      <c r="O37" t="s">
        <v>1078</v>
      </c>
      <c r="P37">
        <v>0</v>
      </c>
      <c r="Q37">
        <v>1</v>
      </c>
      <c r="R37">
        <v>2</v>
      </c>
      <c r="S37">
        <v>3</v>
      </c>
      <c r="T37">
        <v>4</v>
      </c>
      <c r="U37">
        <v>5</v>
      </c>
      <c r="V37">
        <v>6</v>
      </c>
      <c r="W37">
        <v>7</v>
      </c>
      <c r="X37">
        <v>8</v>
      </c>
      <c r="Y37">
        <v>9</v>
      </c>
      <c r="Z37">
        <v>10</v>
      </c>
      <c r="AA37">
        <v>11</v>
      </c>
      <c r="AB37">
        <v>12</v>
      </c>
      <c r="AC37">
        <v>13</v>
      </c>
      <c r="AF37" t="s">
        <v>1078</v>
      </c>
      <c r="AG37">
        <v>0</v>
      </c>
      <c r="AH37">
        <v>1</v>
      </c>
      <c r="AI37">
        <v>2</v>
      </c>
      <c r="AJ37">
        <v>3</v>
      </c>
      <c r="AK37">
        <v>4</v>
      </c>
      <c r="AL37">
        <v>5</v>
      </c>
      <c r="AM37">
        <v>6</v>
      </c>
      <c r="AN37">
        <v>7</v>
      </c>
      <c r="AO37">
        <v>8</v>
      </c>
      <c r="AP37">
        <v>9</v>
      </c>
      <c r="AQ37">
        <v>10</v>
      </c>
      <c r="AR37">
        <v>11</v>
      </c>
      <c r="AS37">
        <v>12</v>
      </c>
      <c r="AT37">
        <v>13</v>
      </c>
    </row>
    <row r="38" spans="4:48" x14ac:dyDescent="0.2">
      <c r="N38" t="s">
        <v>1078</v>
      </c>
      <c r="O38" s="19">
        <f>AF38*$AV$38</f>
        <v>0</v>
      </c>
      <c r="P38">
        <f>AG38*$AV$38</f>
        <v>18</v>
      </c>
      <c r="Q38">
        <f t="shared" ref="Q38:Q40" si="13">AH38*$AV$38</f>
        <v>36</v>
      </c>
      <c r="R38">
        <f t="shared" ref="R38:R41" si="14">AI38*$AV$38</f>
        <v>54</v>
      </c>
      <c r="S38">
        <f t="shared" ref="S38:S42" si="15">AJ38*$AV$38</f>
        <v>72</v>
      </c>
      <c r="T38">
        <f t="shared" ref="T38:T43" si="16">AK38*$AV$38</f>
        <v>90</v>
      </c>
      <c r="U38">
        <f t="shared" ref="U38:U44" si="17">AL38*$AV$38</f>
        <v>108</v>
      </c>
      <c r="V38">
        <f t="shared" ref="V38:V45" si="18">AM38*$AV$38</f>
        <v>126</v>
      </c>
      <c r="W38">
        <f t="shared" ref="W38:W46" si="19">AN38*$AV$38</f>
        <v>126</v>
      </c>
      <c r="X38">
        <f t="shared" ref="X38:X47" si="20">AO38*$AV$38</f>
        <v>108</v>
      </c>
      <c r="Y38">
        <f t="shared" ref="Y38:Y48" si="21">AP38*$AV$38</f>
        <v>90</v>
      </c>
      <c r="Z38">
        <f t="shared" ref="Z38:Z49" si="22">AQ38*$AV$38</f>
        <v>72</v>
      </c>
      <c r="AA38">
        <f t="shared" ref="AA38:AA50" si="23">AR38*$AV$38</f>
        <v>54</v>
      </c>
      <c r="AB38">
        <f t="shared" ref="AB38:AB51" si="24">AS38*$AV$38</f>
        <v>36</v>
      </c>
      <c r="AC38">
        <f t="shared" ref="AC38:AC52" si="25">AT38*$AV$38</f>
        <v>18</v>
      </c>
      <c r="AE38" t="s">
        <v>1078</v>
      </c>
      <c r="AF38" s="19">
        <v>0</v>
      </c>
      <c r="AG38">
        <v>1</v>
      </c>
      <c r="AH38">
        <v>2</v>
      </c>
      <c r="AI38">
        <v>3</v>
      </c>
      <c r="AJ38">
        <v>4</v>
      </c>
      <c r="AK38">
        <v>5</v>
      </c>
      <c r="AL38">
        <v>6</v>
      </c>
      <c r="AM38">
        <v>7</v>
      </c>
      <c r="AN38">
        <v>7</v>
      </c>
      <c r="AO38">
        <v>6</v>
      </c>
      <c r="AP38">
        <v>5</v>
      </c>
      <c r="AQ38">
        <v>4</v>
      </c>
      <c r="AR38">
        <v>3</v>
      </c>
      <c r="AS38">
        <v>2</v>
      </c>
      <c r="AT38">
        <v>1</v>
      </c>
      <c r="AV38">
        <v>18</v>
      </c>
    </row>
    <row r="39" spans="4:48" x14ac:dyDescent="0.2">
      <c r="N39">
        <v>0</v>
      </c>
      <c r="P39" s="19">
        <v>0</v>
      </c>
      <c r="Q39">
        <f t="shared" si="13"/>
        <v>18</v>
      </c>
      <c r="R39">
        <f t="shared" si="14"/>
        <v>36</v>
      </c>
      <c r="S39">
        <f t="shared" si="15"/>
        <v>54</v>
      </c>
      <c r="T39">
        <f t="shared" si="16"/>
        <v>72</v>
      </c>
      <c r="U39">
        <f t="shared" si="17"/>
        <v>90</v>
      </c>
      <c r="V39">
        <f t="shared" si="18"/>
        <v>108</v>
      </c>
      <c r="W39">
        <f t="shared" si="19"/>
        <v>108</v>
      </c>
      <c r="X39">
        <f t="shared" si="20"/>
        <v>126</v>
      </c>
      <c r="Y39">
        <f t="shared" si="21"/>
        <v>108</v>
      </c>
      <c r="Z39">
        <f t="shared" si="22"/>
        <v>90</v>
      </c>
      <c r="AA39">
        <f t="shared" si="23"/>
        <v>72</v>
      </c>
      <c r="AB39">
        <f t="shared" si="24"/>
        <v>54</v>
      </c>
      <c r="AC39">
        <f t="shared" si="25"/>
        <v>36</v>
      </c>
      <c r="AE39">
        <v>0</v>
      </c>
      <c r="AF39">
        <v>0</v>
      </c>
      <c r="AG39" s="19">
        <v>0</v>
      </c>
      <c r="AH39">
        <v>1</v>
      </c>
      <c r="AI39">
        <v>2</v>
      </c>
      <c r="AJ39">
        <v>3</v>
      </c>
      <c r="AK39">
        <v>4</v>
      </c>
      <c r="AL39">
        <v>5</v>
      </c>
      <c r="AM39">
        <v>6</v>
      </c>
      <c r="AN39">
        <v>6</v>
      </c>
      <c r="AO39">
        <v>7</v>
      </c>
      <c r="AP39">
        <v>6</v>
      </c>
      <c r="AQ39">
        <v>5</v>
      </c>
      <c r="AR39">
        <v>4</v>
      </c>
      <c r="AS39">
        <v>3</v>
      </c>
      <c r="AT39">
        <v>2</v>
      </c>
    </row>
    <row r="40" spans="4:48" x14ac:dyDescent="0.2">
      <c r="F40">
        <v>2</v>
      </c>
      <c r="G40">
        <v>9</v>
      </c>
      <c r="N40">
        <v>1</v>
      </c>
      <c r="Q40" s="19">
        <f t="shared" si="13"/>
        <v>0</v>
      </c>
      <c r="R40">
        <f t="shared" si="14"/>
        <v>18</v>
      </c>
      <c r="S40">
        <f t="shared" si="15"/>
        <v>36</v>
      </c>
      <c r="T40">
        <f t="shared" si="16"/>
        <v>54</v>
      </c>
      <c r="U40">
        <f t="shared" si="17"/>
        <v>72</v>
      </c>
      <c r="V40">
        <f t="shared" si="18"/>
        <v>90</v>
      </c>
      <c r="W40">
        <f t="shared" si="19"/>
        <v>108</v>
      </c>
      <c r="X40">
        <f t="shared" si="20"/>
        <v>126</v>
      </c>
      <c r="Y40">
        <f t="shared" si="21"/>
        <v>126</v>
      </c>
      <c r="Z40">
        <f t="shared" si="22"/>
        <v>108</v>
      </c>
      <c r="AA40">
        <f t="shared" si="23"/>
        <v>90</v>
      </c>
      <c r="AB40">
        <f t="shared" si="24"/>
        <v>72</v>
      </c>
      <c r="AC40">
        <f t="shared" si="25"/>
        <v>54</v>
      </c>
      <c r="AE40">
        <v>1</v>
      </c>
      <c r="AF40">
        <v>0</v>
      </c>
      <c r="AG40">
        <v>0</v>
      </c>
      <c r="AH40" s="19">
        <v>0</v>
      </c>
      <c r="AI40">
        <v>1</v>
      </c>
      <c r="AJ40">
        <v>2</v>
      </c>
      <c r="AK40">
        <v>3</v>
      </c>
      <c r="AL40">
        <v>4</v>
      </c>
      <c r="AM40">
        <v>5</v>
      </c>
      <c r="AN40">
        <v>6</v>
      </c>
      <c r="AO40">
        <v>7</v>
      </c>
      <c r="AP40">
        <v>7</v>
      </c>
      <c r="AQ40">
        <v>6</v>
      </c>
      <c r="AR40">
        <v>5</v>
      </c>
      <c r="AS40">
        <v>4</v>
      </c>
      <c r="AT40">
        <v>3</v>
      </c>
    </row>
    <row r="41" spans="4:48" x14ac:dyDescent="0.2">
      <c r="N41">
        <v>2</v>
      </c>
      <c r="R41" s="19">
        <f t="shared" si="14"/>
        <v>0</v>
      </c>
      <c r="S41">
        <f t="shared" si="15"/>
        <v>18</v>
      </c>
      <c r="T41">
        <f t="shared" si="16"/>
        <v>36</v>
      </c>
      <c r="U41">
        <f t="shared" si="17"/>
        <v>54</v>
      </c>
      <c r="V41">
        <f t="shared" si="18"/>
        <v>72</v>
      </c>
      <c r="W41">
        <f t="shared" si="19"/>
        <v>90</v>
      </c>
      <c r="X41">
        <f t="shared" si="20"/>
        <v>108</v>
      </c>
      <c r="Y41">
        <f t="shared" si="21"/>
        <v>126</v>
      </c>
      <c r="Z41">
        <f t="shared" si="22"/>
        <v>126</v>
      </c>
      <c r="AA41">
        <f t="shared" si="23"/>
        <v>108</v>
      </c>
      <c r="AB41">
        <f t="shared" si="24"/>
        <v>90</v>
      </c>
      <c r="AC41">
        <f t="shared" si="25"/>
        <v>72</v>
      </c>
      <c r="AE41">
        <v>2</v>
      </c>
      <c r="AF41">
        <v>0</v>
      </c>
      <c r="AG41">
        <v>0</v>
      </c>
      <c r="AH41">
        <v>0</v>
      </c>
      <c r="AI41" s="19">
        <v>0</v>
      </c>
      <c r="AJ41">
        <v>1</v>
      </c>
      <c r="AK41">
        <v>2</v>
      </c>
      <c r="AL41">
        <v>3</v>
      </c>
      <c r="AM41">
        <v>4</v>
      </c>
      <c r="AN41">
        <v>5</v>
      </c>
      <c r="AO41">
        <v>6</v>
      </c>
      <c r="AP41">
        <v>7</v>
      </c>
      <c r="AQ41">
        <v>7</v>
      </c>
      <c r="AR41">
        <v>6</v>
      </c>
      <c r="AS41">
        <v>5</v>
      </c>
      <c r="AT41">
        <v>4</v>
      </c>
    </row>
    <row r="42" spans="4:48" x14ac:dyDescent="0.2">
      <c r="N42">
        <v>3</v>
      </c>
      <c r="S42" s="19">
        <f t="shared" si="15"/>
        <v>0</v>
      </c>
      <c r="T42">
        <f t="shared" si="16"/>
        <v>18</v>
      </c>
      <c r="U42">
        <f t="shared" si="17"/>
        <v>36</v>
      </c>
      <c r="V42">
        <f t="shared" si="18"/>
        <v>54</v>
      </c>
      <c r="W42">
        <f t="shared" si="19"/>
        <v>72</v>
      </c>
      <c r="X42">
        <f t="shared" si="20"/>
        <v>90</v>
      </c>
      <c r="Y42">
        <f t="shared" si="21"/>
        <v>108</v>
      </c>
      <c r="Z42">
        <f t="shared" si="22"/>
        <v>126</v>
      </c>
      <c r="AA42">
        <f t="shared" si="23"/>
        <v>126</v>
      </c>
      <c r="AB42">
        <f t="shared" si="24"/>
        <v>108</v>
      </c>
      <c r="AC42">
        <f t="shared" si="25"/>
        <v>90</v>
      </c>
      <c r="AE42">
        <v>3</v>
      </c>
      <c r="AF42">
        <v>0</v>
      </c>
      <c r="AG42">
        <v>0</v>
      </c>
      <c r="AH42">
        <v>0</v>
      </c>
      <c r="AI42">
        <v>0</v>
      </c>
      <c r="AJ42" s="19">
        <v>0</v>
      </c>
      <c r="AK42">
        <v>1</v>
      </c>
      <c r="AL42">
        <v>2</v>
      </c>
      <c r="AM42">
        <v>3</v>
      </c>
      <c r="AN42">
        <v>4</v>
      </c>
      <c r="AO42">
        <v>5</v>
      </c>
      <c r="AP42">
        <v>6</v>
      </c>
      <c r="AQ42">
        <v>7</v>
      </c>
      <c r="AR42">
        <v>7</v>
      </c>
      <c r="AS42">
        <v>6</v>
      </c>
      <c r="AT42">
        <v>5</v>
      </c>
    </row>
    <row r="43" spans="4:48" x14ac:dyDescent="0.2">
      <c r="N43">
        <v>4</v>
      </c>
      <c r="T43" s="19">
        <f t="shared" si="16"/>
        <v>0</v>
      </c>
      <c r="U43">
        <f t="shared" si="17"/>
        <v>18</v>
      </c>
      <c r="V43">
        <f t="shared" si="18"/>
        <v>36</v>
      </c>
      <c r="W43">
        <f t="shared" si="19"/>
        <v>54</v>
      </c>
      <c r="X43">
        <f t="shared" si="20"/>
        <v>72</v>
      </c>
      <c r="Y43">
        <f t="shared" si="21"/>
        <v>90</v>
      </c>
      <c r="Z43">
        <f t="shared" si="22"/>
        <v>108</v>
      </c>
      <c r="AA43">
        <f t="shared" si="23"/>
        <v>126</v>
      </c>
      <c r="AB43">
        <f t="shared" si="24"/>
        <v>126</v>
      </c>
      <c r="AC43">
        <f t="shared" si="25"/>
        <v>108</v>
      </c>
      <c r="AE43">
        <v>4</v>
      </c>
      <c r="AF43">
        <v>0</v>
      </c>
      <c r="AG43">
        <v>0</v>
      </c>
      <c r="AH43">
        <v>0</v>
      </c>
      <c r="AI43">
        <v>0</v>
      </c>
      <c r="AJ43">
        <v>0</v>
      </c>
      <c r="AK43" s="19">
        <v>0</v>
      </c>
      <c r="AL43">
        <v>1</v>
      </c>
      <c r="AM43">
        <v>2</v>
      </c>
      <c r="AN43">
        <v>3</v>
      </c>
      <c r="AO43">
        <v>4</v>
      </c>
      <c r="AP43">
        <v>5</v>
      </c>
      <c r="AQ43">
        <v>6</v>
      </c>
      <c r="AR43">
        <v>7</v>
      </c>
      <c r="AS43">
        <v>7</v>
      </c>
      <c r="AT43">
        <v>6</v>
      </c>
    </row>
    <row r="44" spans="4:48" x14ac:dyDescent="0.2">
      <c r="N44">
        <v>5</v>
      </c>
      <c r="U44" s="19">
        <f t="shared" si="17"/>
        <v>0</v>
      </c>
      <c r="V44">
        <f t="shared" si="18"/>
        <v>18</v>
      </c>
      <c r="W44">
        <f t="shared" si="19"/>
        <v>36</v>
      </c>
      <c r="X44">
        <f t="shared" si="20"/>
        <v>54</v>
      </c>
      <c r="Y44">
        <f t="shared" si="21"/>
        <v>72</v>
      </c>
      <c r="Z44">
        <f t="shared" si="22"/>
        <v>90</v>
      </c>
      <c r="AA44">
        <f t="shared" si="23"/>
        <v>108</v>
      </c>
      <c r="AB44">
        <f t="shared" si="24"/>
        <v>126</v>
      </c>
      <c r="AC44">
        <f t="shared" si="25"/>
        <v>126</v>
      </c>
      <c r="AE44">
        <v>5</v>
      </c>
      <c r="AF44">
        <v>0</v>
      </c>
      <c r="AG44">
        <v>0</v>
      </c>
      <c r="AH44">
        <v>0</v>
      </c>
      <c r="AI44">
        <v>0</v>
      </c>
      <c r="AJ44">
        <v>0</v>
      </c>
      <c r="AK44">
        <v>0</v>
      </c>
      <c r="AL44" s="19">
        <v>0</v>
      </c>
      <c r="AM44">
        <v>1</v>
      </c>
      <c r="AN44">
        <v>2</v>
      </c>
      <c r="AO44">
        <v>3</v>
      </c>
      <c r="AP44">
        <v>4</v>
      </c>
      <c r="AQ44">
        <v>5</v>
      </c>
      <c r="AR44">
        <v>6</v>
      </c>
      <c r="AS44">
        <v>7</v>
      </c>
      <c r="AT44">
        <v>7</v>
      </c>
    </row>
    <row r="45" spans="4:48" x14ac:dyDescent="0.2">
      <c r="N45">
        <v>6</v>
      </c>
      <c r="V45" s="19">
        <f t="shared" si="18"/>
        <v>0</v>
      </c>
      <c r="W45">
        <f t="shared" si="19"/>
        <v>18</v>
      </c>
      <c r="X45">
        <f t="shared" si="20"/>
        <v>36</v>
      </c>
      <c r="Y45">
        <f t="shared" si="21"/>
        <v>54</v>
      </c>
      <c r="Z45">
        <f t="shared" si="22"/>
        <v>72</v>
      </c>
      <c r="AA45">
        <f t="shared" si="23"/>
        <v>90</v>
      </c>
      <c r="AB45">
        <f t="shared" si="24"/>
        <v>108</v>
      </c>
      <c r="AC45">
        <f t="shared" si="25"/>
        <v>126</v>
      </c>
      <c r="AE45">
        <v>6</v>
      </c>
      <c r="AF45">
        <v>0</v>
      </c>
      <c r="AG45">
        <v>0</v>
      </c>
      <c r="AH45">
        <v>0</v>
      </c>
      <c r="AI45">
        <v>0</v>
      </c>
      <c r="AJ45">
        <v>0</v>
      </c>
      <c r="AK45">
        <v>0</v>
      </c>
      <c r="AL45">
        <v>0</v>
      </c>
      <c r="AM45" s="19">
        <v>0</v>
      </c>
      <c r="AN45">
        <v>1</v>
      </c>
      <c r="AO45">
        <v>2</v>
      </c>
      <c r="AP45">
        <v>3</v>
      </c>
      <c r="AQ45">
        <v>4</v>
      </c>
      <c r="AR45">
        <v>5</v>
      </c>
      <c r="AS45">
        <v>6</v>
      </c>
      <c r="AT45">
        <v>7</v>
      </c>
    </row>
    <row r="46" spans="4:48" x14ac:dyDescent="0.2">
      <c r="N46">
        <v>7</v>
      </c>
      <c r="W46" s="19">
        <f t="shared" si="19"/>
        <v>0</v>
      </c>
      <c r="X46">
        <f t="shared" si="20"/>
        <v>18</v>
      </c>
      <c r="Y46">
        <f t="shared" si="21"/>
        <v>36</v>
      </c>
      <c r="Z46">
        <f t="shared" si="22"/>
        <v>54</v>
      </c>
      <c r="AA46">
        <f t="shared" si="23"/>
        <v>72</v>
      </c>
      <c r="AB46">
        <f t="shared" si="24"/>
        <v>90</v>
      </c>
      <c r="AC46">
        <f t="shared" si="25"/>
        <v>108</v>
      </c>
      <c r="AE46">
        <v>7</v>
      </c>
      <c r="AF46">
        <v>0</v>
      </c>
      <c r="AG46">
        <v>0</v>
      </c>
      <c r="AH46">
        <v>0</v>
      </c>
      <c r="AI46">
        <v>0</v>
      </c>
      <c r="AJ46">
        <v>0</v>
      </c>
      <c r="AK46">
        <v>0</v>
      </c>
      <c r="AL46">
        <v>0</v>
      </c>
      <c r="AM46">
        <v>0</v>
      </c>
      <c r="AN46" s="19">
        <v>0</v>
      </c>
      <c r="AO46">
        <v>1</v>
      </c>
      <c r="AP46">
        <v>2</v>
      </c>
      <c r="AQ46">
        <v>3</v>
      </c>
      <c r="AR46">
        <v>4</v>
      </c>
      <c r="AS46">
        <v>5</v>
      </c>
      <c r="AT46">
        <v>6</v>
      </c>
    </row>
    <row r="47" spans="4:48" x14ac:dyDescent="0.2">
      <c r="N47">
        <v>8</v>
      </c>
      <c r="X47" s="19">
        <f t="shared" si="20"/>
        <v>0</v>
      </c>
      <c r="Y47">
        <f t="shared" si="21"/>
        <v>18</v>
      </c>
      <c r="Z47">
        <f t="shared" si="22"/>
        <v>36</v>
      </c>
      <c r="AA47">
        <f t="shared" si="23"/>
        <v>54</v>
      </c>
      <c r="AB47">
        <f t="shared" si="24"/>
        <v>72</v>
      </c>
      <c r="AC47">
        <f t="shared" si="25"/>
        <v>90</v>
      </c>
      <c r="AE47">
        <v>8</v>
      </c>
      <c r="AF47">
        <v>0</v>
      </c>
      <c r="AG47">
        <v>0</v>
      </c>
      <c r="AH47">
        <v>0</v>
      </c>
      <c r="AI47">
        <v>0</v>
      </c>
      <c r="AJ47">
        <v>0</v>
      </c>
      <c r="AK47">
        <v>0</v>
      </c>
      <c r="AL47">
        <v>0</v>
      </c>
      <c r="AM47">
        <v>0</v>
      </c>
      <c r="AN47">
        <v>0</v>
      </c>
      <c r="AO47" s="19">
        <v>0</v>
      </c>
      <c r="AP47">
        <v>1</v>
      </c>
      <c r="AQ47">
        <v>2</v>
      </c>
      <c r="AR47">
        <v>3</v>
      </c>
      <c r="AS47">
        <v>4</v>
      </c>
      <c r="AT47">
        <v>5</v>
      </c>
    </row>
    <row r="48" spans="4:48" x14ac:dyDescent="0.2">
      <c r="N48">
        <v>9</v>
      </c>
      <c r="Y48" s="19">
        <f t="shared" si="21"/>
        <v>0</v>
      </c>
      <c r="Z48">
        <f t="shared" si="22"/>
        <v>18</v>
      </c>
      <c r="AA48">
        <f t="shared" si="23"/>
        <v>36</v>
      </c>
      <c r="AB48">
        <f t="shared" si="24"/>
        <v>54</v>
      </c>
      <c r="AC48">
        <f t="shared" si="25"/>
        <v>72</v>
      </c>
      <c r="AE48">
        <v>9</v>
      </c>
      <c r="AF48">
        <v>0</v>
      </c>
      <c r="AG48">
        <v>0</v>
      </c>
      <c r="AH48">
        <v>0</v>
      </c>
      <c r="AI48">
        <v>0</v>
      </c>
      <c r="AJ48">
        <v>0</v>
      </c>
      <c r="AK48">
        <v>0</v>
      </c>
      <c r="AL48">
        <v>0</v>
      </c>
      <c r="AM48">
        <v>0</v>
      </c>
      <c r="AN48">
        <v>0</v>
      </c>
      <c r="AO48">
        <v>0</v>
      </c>
      <c r="AP48" s="19">
        <v>0</v>
      </c>
      <c r="AQ48">
        <v>1</v>
      </c>
      <c r="AR48">
        <v>2</v>
      </c>
      <c r="AS48">
        <v>3</v>
      </c>
      <c r="AT48">
        <v>4</v>
      </c>
    </row>
    <row r="49" spans="6:46" x14ac:dyDescent="0.2">
      <c r="F49">
        <v>3</v>
      </c>
      <c r="G49">
        <v>10</v>
      </c>
      <c r="N49">
        <v>10</v>
      </c>
      <c r="Z49" s="19">
        <f t="shared" si="22"/>
        <v>0</v>
      </c>
      <c r="AA49">
        <f t="shared" si="23"/>
        <v>18</v>
      </c>
      <c r="AB49">
        <f t="shared" si="24"/>
        <v>36</v>
      </c>
      <c r="AC49">
        <f t="shared" si="25"/>
        <v>54</v>
      </c>
      <c r="AE49">
        <v>10</v>
      </c>
      <c r="AF49">
        <v>0</v>
      </c>
      <c r="AG49">
        <v>0</v>
      </c>
      <c r="AH49">
        <v>0</v>
      </c>
      <c r="AI49">
        <v>0</v>
      </c>
      <c r="AJ49">
        <v>0</v>
      </c>
      <c r="AK49">
        <v>0</v>
      </c>
      <c r="AL49">
        <v>0</v>
      </c>
      <c r="AM49">
        <v>0</v>
      </c>
      <c r="AN49">
        <v>0</v>
      </c>
      <c r="AO49">
        <v>0</v>
      </c>
      <c r="AP49">
        <v>0</v>
      </c>
      <c r="AQ49" s="19">
        <v>0</v>
      </c>
      <c r="AR49">
        <v>1</v>
      </c>
      <c r="AS49">
        <v>2</v>
      </c>
      <c r="AT49">
        <v>3</v>
      </c>
    </row>
    <row r="50" spans="6:46" x14ac:dyDescent="0.2">
      <c r="N50">
        <v>11</v>
      </c>
      <c r="AA50" s="19">
        <f t="shared" si="23"/>
        <v>0</v>
      </c>
      <c r="AB50">
        <f t="shared" si="24"/>
        <v>18</v>
      </c>
      <c r="AC50">
        <f t="shared" si="25"/>
        <v>36</v>
      </c>
      <c r="AE50">
        <v>11</v>
      </c>
      <c r="AF50">
        <v>0</v>
      </c>
      <c r="AG50">
        <v>0</v>
      </c>
      <c r="AH50">
        <v>0</v>
      </c>
      <c r="AI50">
        <v>0</v>
      </c>
      <c r="AJ50">
        <v>0</v>
      </c>
      <c r="AK50">
        <v>0</v>
      </c>
      <c r="AL50">
        <v>0</v>
      </c>
      <c r="AM50">
        <v>0</v>
      </c>
      <c r="AN50">
        <v>0</v>
      </c>
      <c r="AO50">
        <v>0</v>
      </c>
      <c r="AP50">
        <v>0</v>
      </c>
      <c r="AQ50">
        <v>0</v>
      </c>
      <c r="AR50" s="19">
        <v>0</v>
      </c>
      <c r="AS50">
        <v>1</v>
      </c>
      <c r="AT50">
        <v>2</v>
      </c>
    </row>
    <row r="51" spans="6:46" x14ac:dyDescent="0.2">
      <c r="N51">
        <v>12</v>
      </c>
      <c r="AB51" s="19">
        <f t="shared" si="24"/>
        <v>0</v>
      </c>
      <c r="AC51">
        <f t="shared" si="25"/>
        <v>18</v>
      </c>
      <c r="AE51">
        <v>12</v>
      </c>
      <c r="AF51">
        <v>0</v>
      </c>
      <c r="AG51">
        <v>0</v>
      </c>
      <c r="AH51">
        <v>0</v>
      </c>
      <c r="AI51">
        <v>0</v>
      </c>
      <c r="AJ51">
        <v>0</v>
      </c>
      <c r="AK51">
        <v>0</v>
      </c>
      <c r="AL51">
        <v>0</v>
      </c>
      <c r="AM51">
        <v>0</v>
      </c>
      <c r="AN51">
        <v>0</v>
      </c>
      <c r="AO51">
        <v>0</v>
      </c>
      <c r="AP51">
        <v>0</v>
      </c>
      <c r="AQ51">
        <v>0</v>
      </c>
      <c r="AR51">
        <v>0</v>
      </c>
      <c r="AS51" s="19">
        <v>0</v>
      </c>
      <c r="AT51">
        <v>1</v>
      </c>
    </row>
    <row r="52" spans="6:46" x14ac:dyDescent="0.2">
      <c r="N52">
        <v>13</v>
      </c>
      <c r="AC52" s="19">
        <f t="shared" si="25"/>
        <v>0</v>
      </c>
      <c r="AE52">
        <v>13</v>
      </c>
      <c r="AF52">
        <v>0</v>
      </c>
      <c r="AG52">
        <v>0</v>
      </c>
      <c r="AH52">
        <v>0</v>
      </c>
      <c r="AI52">
        <v>0</v>
      </c>
      <c r="AJ52">
        <v>0</v>
      </c>
      <c r="AK52">
        <v>0</v>
      </c>
      <c r="AL52">
        <v>0</v>
      </c>
      <c r="AM52">
        <v>0</v>
      </c>
      <c r="AN52">
        <v>0</v>
      </c>
      <c r="AO52">
        <v>0</v>
      </c>
      <c r="AP52">
        <v>0</v>
      </c>
      <c r="AQ52">
        <v>0</v>
      </c>
      <c r="AR52">
        <v>0</v>
      </c>
      <c r="AS52">
        <v>0</v>
      </c>
      <c r="AT52" s="19">
        <v>0</v>
      </c>
    </row>
    <row r="55" spans="6:46" x14ac:dyDescent="0.2">
      <c r="O55" t="s">
        <v>1078</v>
      </c>
      <c r="P55">
        <v>0</v>
      </c>
      <c r="Q55">
        <v>1</v>
      </c>
      <c r="R55">
        <v>2</v>
      </c>
      <c r="S55">
        <v>3</v>
      </c>
      <c r="T55">
        <v>4</v>
      </c>
      <c r="U55">
        <v>5</v>
      </c>
      <c r="V55">
        <v>6</v>
      </c>
      <c r="W55">
        <v>7</v>
      </c>
      <c r="X55">
        <v>8</v>
      </c>
      <c r="Y55">
        <v>9</v>
      </c>
      <c r="Z55">
        <v>10</v>
      </c>
      <c r="AA55">
        <v>11</v>
      </c>
      <c r="AB55">
        <v>12</v>
      </c>
      <c r="AC55">
        <v>13</v>
      </c>
    </row>
    <row r="56" spans="6:46" x14ac:dyDescent="0.2">
      <c r="N56" t="s">
        <v>1078</v>
      </c>
      <c r="O56" s="19" cm="1">
        <f t="array" ref="O56:AC70">TRANSPOSE(O38:AC52)</f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  <c r="V56">
        <v>0</v>
      </c>
      <c r="W56">
        <v>0</v>
      </c>
      <c r="X56">
        <v>0</v>
      </c>
      <c r="Y56">
        <v>0</v>
      </c>
      <c r="Z56">
        <v>0</v>
      </c>
      <c r="AA56">
        <v>0</v>
      </c>
      <c r="AB56">
        <v>0</v>
      </c>
      <c r="AC56">
        <v>0</v>
      </c>
    </row>
    <row r="57" spans="6:46" x14ac:dyDescent="0.2">
      <c r="N57">
        <v>0</v>
      </c>
      <c r="O57">
        <v>18</v>
      </c>
      <c r="P57" s="19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v>0</v>
      </c>
      <c r="W57">
        <v>0</v>
      </c>
      <c r="X57">
        <v>0</v>
      </c>
      <c r="Y57">
        <v>0</v>
      </c>
      <c r="Z57">
        <v>0</v>
      </c>
      <c r="AA57">
        <v>0</v>
      </c>
      <c r="AB57">
        <v>0</v>
      </c>
      <c r="AC57">
        <v>0</v>
      </c>
    </row>
    <row r="58" spans="6:46" x14ac:dyDescent="0.2">
      <c r="N58">
        <v>1</v>
      </c>
      <c r="O58">
        <v>36</v>
      </c>
      <c r="P58">
        <v>18</v>
      </c>
      <c r="Q58" s="19">
        <v>0</v>
      </c>
      <c r="R58">
        <v>0</v>
      </c>
      <c r="S58">
        <v>0</v>
      </c>
      <c r="T58">
        <v>0</v>
      </c>
      <c r="U58">
        <v>0</v>
      </c>
      <c r="V58">
        <v>0</v>
      </c>
      <c r="W58">
        <v>0</v>
      </c>
      <c r="X58">
        <v>0</v>
      </c>
      <c r="Y58">
        <v>0</v>
      </c>
      <c r="Z58">
        <v>0</v>
      </c>
      <c r="AA58">
        <v>0</v>
      </c>
      <c r="AB58">
        <v>0</v>
      </c>
      <c r="AC58">
        <v>0</v>
      </c>
    </row>
    <row r="59" spans="6:46" x14ac:dyDescent="0.2">
      <c r="F59">
        <v>4</v>
      </c>
      <c r="G59">
        <v>11</v>
      </c>
      <c r="N59">
        <v>2</v>
      </c>
      <c r="O59">
        <v>54</v>
      </c>
      <c r="P59">
        <v>36</v>
      </c>
      <c r="Q59">
        <v>18</v>
      </c>
      <c r="R59" s="19">
        <v>0</v>
      </c>
      <c r="S59">
        <v>0</v>
      </c>
      <c r="T59">
        <v>0</v>
      </c>
      <c r="U59">
        <v>0</v>
      </c>
      <c r="V59">
        <v>0</v>
      </c>
      <c r="W59">
        <v>0</v>
      </c>
      <c r="X59">
        <v>0</v>
      </c>
      <c r="Y59">
        <v>0</v>
      </c>
      <c r="Z59">
        <v>0</v>
      </c>
      <c r="AA59">
        <v>0</v>
      </c>
      <c r="AB59">
        <v>0</v>
      </c>
      <c r="AC59">
        <v>0</v>
      </c>
    </row>
    <row r="60" spans="6:46" x14ac:dyDescent="0.2">
      <c r="N60">
        <v>3</v>
      </c>
      <c r="O60">
        <v>72</v>
      </c>
      <c r="P60">
        <v>54</v>
      </c>
      <c r="Q60">
        <v>36</v>
      </c>
      <c r="R60">
        <v>18</v>
      </c>
      <c r="S60" s="19">
        <v>0</v>
      </c>
      <c r="T60">
        <v>0</v>
      </c>
      <c r="U60">
        <v>0</v>
      </c>
      <c r="V60">
        <v>0</v>
      </c>
      <c r="W60">
        <v>0</v>
      </c>
      <c r="X60">
        <v>0</v>
      </c>
      <c r="Y60">
        <v>0</v>
      </c>
      <c r="Z60">
        <v>0</v>
      </c>
      <c r="AA60">
        <v>0</v>
      </c>
      <c r="AB60">
        <v>0</v>
      </c>
      <c r="AC60">
        <v>0</v>
      </c>
    </row>
    <row r="61" spans="6:46" x14ac:dyDescent="0.2">
      <c r="N61">
        <v>4</v>
      </c>
      <c r="O61">
        <v>90</v>
      </c>
      <c r="P61">
        <v>72</v>
      </c>
      <c r="Q61">
        <v>54</v>
      </c>
      <c r="R61">
        <v>36</v>
      </c>
      <c r="S61">
        <v>18</v>
      </c>
      <c r="T61" s="19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  <c r="AB61">
        <v>0</v>
      </c>
      <c r="AC61">
        <v>0</v>
      </c>
    </row>
    <row r="62" spans="6:46" x14ac:dyDescent="0.2">
      <c r="N62">
        <v>5</v>
      </c>
      <c r="O62">
        <v>108</v>
      </c>
      <c r="P62">
        <v>90</v>
      </c>
      <c r="Q62">
        <v>72</v>
      </c>
      <c r="R62">
        <v>54</v>
      </c>
      <c r="S62">
        <v>36</v>
      </c>
      <c r="T62">
        <v>18</v>
      </c>
      <c r="U62" s="19">
        <v>0</v>
      </c>
      <c r="V62">
        <v>0</v>
      </c>
      <c r="W62">
        <v>0</v>
      </c>
      <c r="X62">
        <v>0</v>
      </c>
      <c r="Y62">
        <v>0</v>
      </c>
      <c r="Z62">
        <v>0</v>
      </c>
      <c r="AA62">
        <v>0</v>
      </c>
      <c r="AB62">
        <v>0</v>
      </c>
      <c r="AC62">
        <v>0</v>
      </c>
    </row>
    <row r="63" spans="6:46" x14ac:dyDescent="0.2">
      <c r="N63">
        <v>6</v>
      </c>
      <c r="O63">
        <v>126</v>
      </c>
      <c r="P63">
        <v>108</v>
      </c>
      <c r="Q63">
        <v>90</v>
      </c>
      <c r="R63">
        <v>72</v>
      </c>
      <c r="S63">
        <v>54</v>
      </c>
      <c r="T63">
        <v>36</v>
      </c>
      <c r="U63">
        <v>18</v>
      </c>
      <c r="V63" s="19">
        <v>0</v>
      </c>
      <c r="W63">
        <v>0</v>
      </c>
      <c r="X63">
        <v>0</v>
      </c>
      <c r="Y63">
        <v>0</v>
      </c>
      <c r="Z63">
        <v>0</v>
      </c>
      <c r="AA63">
        <v>0</v>
      </c>
      <c r="AB63">
        <v>0</v>
      </c>
      <c r="AC63">
        <v>0</v>
      </c>
    </row>
    <row r="64" spans="6:46" x14ac:dyDescent="0.2">
      <c r="N64">
        <v>7</v>
      </c>
      <c r="O64">
        <v>126</v>
      </c>
      <c r="P64">
        <v>108</v>
      </c>
      <c r="Q64">
        <v>108</v>
      </c>
      <c r="R64">
        <v>90</v>
      </c>
      <c r="S64">
        <v>72</v>
      </c>
      <c r="T64">
        <v>54</v>
      </c>
      <c r="U64">
        <v>36</v>
      </c>
      <c r="V64">
        <v>18</v>
      </c>
      <c r="W64" s="19">
        <v>0</v>
      </c>
      <c r="X64">
        <v>0</v>
      </c>
      <c r="Y64">
        <v>0</v>
      </c>
      <c r="Z64">
        <v>0</v>
      </c>
      <c r="AA64">
        <v>0</v>
      </c>
      <c r="AB64">
        <v>0</v>
      </c>
      <c r="AC64">
        <v>0</v>
      </c>
    </row>
    <row r="65" spans="6:31" x14ac:dyDescent="0.2">
      <c r="N65">
        <v>8</v>
      </c>
      <c r="O65">
        <v>108</v>
      </c>
      <c r="P65">
        <v>126</v>
      </c>
      <c r="Q65">
        <v>126</v>
      </c>
      <c r="R65">
        <v>108</v>
      </c>
      <c r="S65">
        <v>90</v>
      </c>
      <c r="T65">
        <v>72</v>
      </c>
      <c r="U65">
        <v>54</v>
      </c>
      <c r="V65">
        <v>36</v>
      </c>
      <c r="W65">
        <v>18</v>
      </c>
      <c r="X65" s="19">
        <v>0</v>
      </c>
      <c r="Y65">
        <v>0</v>
      </c>
      <c r="Z65">
        <v>0</v>
      </c>
      <c r="AA65">
        <v>0</v>
      </c>
      <c r="AB65">
        <v>0</v>
      </c>
      <c r="AC65">
        <v>0</v>
      </c>
    </row>
    <row r="66" spans="6:31" x14ac:dyDescent="0.2">
      <c r="N66">
        <v>9</v>
      </c>
      <c r="O66">
        <v>90</v>
      </c>
      <c r="P66">
        <v>108</v>
      </c>
      <c r="Q66">
        <v>126</v>
      </c>
      <c r="R66">
        <v>126</v>
      </c>
      <c r="S66">
        <v>108</v>
      </c>
      <c r="T66">
        <v>90</v>
      </c>
      <c r="U66">
        <v>72</v>
      </c>
      <c r="V66">
        <v>54</v>
      </c>
      <c r="W66">
        <v>36</v>
      </c>
      <c r="X66">
        <v>18</v>
      </c>
      <c r="Y66" s="19">
        <v>0</v>
      </c>
      <c r="Z66">
        <v>0</v>
      </c>
      <c r="AA66">
        <v>0</v>
      </c>
      <c r="AB66">
        <v>0</v>
      </c>
      <c r="AC66">
        <v>0</v>
      </c>
    </row>
    <row r="67" spans="6:31" x14ac:dyDescent="0.2">
      <c r="N67">
        <v>10</v>
      </c>
      <c r="O67">
        <v>72</v>
      </c>
      <c r="P67">
        <v>90</v>
      </c>
      <c r="Q67">
        <v>108</v>
      </c>
      <c r="R67">
        <v>126</v>
      </c>
      <c r="S67">
        <v>126</v>
      </c>
      <c r="T67">
        <v>108</v>
      </c>
      <c r="U67">
        <v>90</v>
      </c>
      <c r="V67">
        <v>72</v>
      </c>
      <c r="W67">
        <v>54</v>
      </c>
      <c r="X67">
        <v>36</v>
      </c>
      <c r="Y67">
        <v>18</v>
      </c>
      <c r="Z67" s="19">
        <v>0</v>
      </c>
      <c r="AA67">
        <v>0</v>
      </c>
      <c r="AB67">
        <v>0</v>
      </c>
      <c r="AC67">
        <v>0</v>
      </c>
    </row>
    <row r="68" spans="6:31" x14ac:dyDescent="0.2">
      <c r="N68">
        <v>11</v>
      </c>
      <c r="O68">
        <v>54</v>
      </c>
      <c r="P68">
        <v>72</v>
      </c>
      <c r="Q68">
        <v>90</v>
      </c>
      <c r="R68">
        <v>108</v>
      </c>
      <c r="S68">
        <v>126</v>
      </c>
      <c r="T68">
        <v>126</v>
      </c>
      <c r="U68">
        <v>108</v>
      </c>
      <c r="V68">
        <v>90</v>
      </c>
      <c r="W68">
        <v>72</v>
      </c>
      <c r="X68">
        <v>54</v>
      </c>
      <c r="Y68">
        <v>36</v>
      </c>
      <c r="Z68">
        <v>18</v>
      </c>
      <c r="AA68" s="19">
        <v>0</v>
      </c>
      <c r="AB68">
        <v>0</v>
      </c>
      <c r="AC68">
        <v>0</v>
      </c>
    </row>
    <row r="69" spans="6:31" x14ac:dyDescent="0.2">
      <c r="F69">
        <v>5</v>
      </c>
      <c r="G69">
        <v>12</v>
      </c>
      <c r="N69">
        <v>12</v>
      </c>
      <c r="O69">
        <v>36</v>
      </c>
      <c r="P69">
        <v>54</v>
      </c>
      <c r="Q69">
        <v>72</v>
      </c>
      <c r="R69">
        <v>90</v>
      </c>
      <c r="S69">
        <v>108</v>
      </c>
      <c r="T69">
        <v>126</v>
      </c>
      <c r="U69">
        <v>126</v>
      </c>
      <c r="V69">
        <v>108</v>
      </c>
      <c r="W69">
        <v>90</v>
      </c>
      <c r="X69">
        <v>72</v>
      </c>
      <c r="Y69">
        <v>54</v>
      </c>
      <c r="Z69">
        <v>36</v>
      </c>
      <c r="AA69">
        <v>18</v>
      </c>
      <c r="AB69" s="19">
        <v>0</v>
      </c>
      <c r="AC69">
        <v>0</v>
      </c>
    </row>
    <row r="70" spans="6:31" x14ac:dyDescent="0.2">
      <c r="N70">
        <v>13</v>
      </c>
      <c r="O70">
        <v>18</v>
      </c>
      <c r="P70">
        <v>36</v>
      </c>
      <c r="Q70">
        <v>54</v>
      </c>
      <c r="R70">
        <v>72</v>
      </c>
      <c r="S70">
        <v>90</v>
      </c>
      <c r="T70">
        <v>108</v>
      </c>
      <c r="U70">
        <v>126</v>
      </c>
      <c r="V70">
        <v>126</v>
      </c>
      <c r="W70">
        <v>108</v>
      </c>
      <c r="X70">
        <v>90</v>
      </c>
      <c r="Y70">
        <v>72</v>
      </c>
      <c r="Z70">
        <v>54</v>
      </c>
      <c r="AA70">
        <v>36</v>
      </c>
      <c r="AB70">
        <v>18</v>
      </c>
      <c r="AC70" s="19">
        <v>0</v>
      </c>
    </row>
    <row r="73" spans="6:31" x14ac:dyDescent="0.2">
      <c r="O73" t="s">
        <v>1078</v>
      </c>
      <c r="P73">
        <v>0</v>
      </c>
      <c r="Q73">
        <v>1</v>
      </c>
      <c r="R73">
        <v>2</v>
      </c>
      <c r="S73">
        <v>3</v>
      </c>
      <c r="T73">
        <v>4</v>
      </c>
      <c r="U73">
        <v>5</v>
      </c>
      <c r="V73">
        <v>6</v>
      </c>
      <c r="W73">
        <v>7</v>
      </c>
      <c r="X73">
        <v>8</v>
      </c>
      <c r="Y73">
        <v>9</v>
      </c>
      <c r="Z73">
        <v>10</v>
      </c>
      <c r="AA73">
        <v>11</v>
      </c>
      <c r="AB73">
        <v>12</v>
      </c>
      <c r="AC73">
        <v>13</v>
      </c>
    </row>
    <row r="74" spans="6:31" x14ac:dyDescent="0.2">
      <c r="N74" t="s">
        <v>1078</v>
      </c>
      <c r="O74" s="19">
        <f>O56+O38</f>
        <v>0</v>
      </c>
      <c r="P74">
        <f t="shared" ref="P74:AC74" si="26">P56+P38</f>
        <v>18</v>
      </c>
      <c r="Q74">
        <f t="shared" si="26"/>
        <v>36</v>
      </c>
      <c r="R74">
        <f t="shared" si="26"/>
        <v>54</v>
      </c>
      <c r="S74">
        <f t="shared" si="26"/>
        <v>72</v>
      </c>
      <c r="T74">
        <f t="shared" si="26"/>
        <v>90</v>
      </c>
      <c r="U74">
        <f t="shared" si="26"/>
        <v>108</v>
      </c>
      <c r="V74">
        <f t="shared" si="26"/>
        <v>126</v>
      </c>
      <c r="W74">
        <f t="shared" si="26"/>
        <v>126</v>
      </c>
      <c r="X74">
        <f t="shared" si="26"/>
        <v>108</v>
      </c>
      <c r="Y74">
        <f t="shared" si="26"/>
        <v>90</v>
      </c>
      <c r="Z74">
        <f t="shared" si="26"/>
        <v>72</v>
      </c>
      <c r="AA74">
        <f t="shared" si="26"/>
        <v>54</v>
      </c>
      <c r="AB74">
        <f t="shared" si="26"/>
        <v>36</v>
      </c>
      <c r="AC74">
        <f t="shared" si="26"/>
        <v>18</v>
      </c>
      <c r="AE74" t="str">
        <f>_xlfn.CONCAT(" {",_xlfn.TEXTJOIN(", ",FALSE,O74:AC74),"}, // ",N74)</f>
        <v xml:space="preserve"> {0, 18, 36, 54, 72, 90, 108, 126, 126, 108, 90, 72, 54, 36, 18}, // Base</v>
      </c>
    </row>
    <row r="75" spans="6:31" x14ac:dyDescent="0.2">
      <c r="N75">
        <v>0</v>
      </c>
      <c r="O75">
        <f t="shared" ref="O75:AC75" si="27">O57+O39</f>
        <v>18</v>
      </c>
      <c r="P75" s="19">
        <f t="shared" si="27"/>
        <v>0</v>
      </c>
      <c r="Q75">
        <f t="shared" si="27"/>
        <v>18</v>
      </c>
      <c r="R75">
        <f t="shared" si="27"/>
        <v>36</v>
      </c>
      <c r="S75">
        <f t="shared" si="27"/>
        <v>54</v>
      </c>
      <c r="T75">
        <f t="shared" si="27"/>
        <v>72</v>
      </c>
      <c r="U75">
        <f t="shared" si="27"/>
        <v>90</v>
      </c>
      <c r="V75">
        <f t="shared" si="27"/>
        <v>108</v>
      </c>
      <c r="W75">
        <f t="shared" si="27"/>
        <v>108</v>
      </c>
      <c r="X75">
        <f t="shared" si="27"/>
        <v>126</v>
      </c>
      <c r="Y75">
        <f t="shared" si="27"/>
        <v>108</v>
      </c>
      <c r="Z75">
        <f t="shared" si="27"/>
        <v>90</v>
      </c>
      <c r="AA75">
        <f t="shared" si="27"/>
        <v>72</v>
      </c>
      <c r="AB75">
        <f t="shared" si="27"/>
        <v>54</v>
      </c>
      <c r="AC75">
        <f t="shared" si="27"/>
        <v>36</v>
      </c>
      <c r="AE75" t="str">
        <f t="shared" ref="AE75:AE88" si="28">_xlfn.CONCAT(" {",_xlfn.TEXTJOIN(", ",FALSE,O75:AC75),"}, // ",N75)</f>
        <v xml:space="preserve"> {18, 0, 18, 36, 54, 72, 90, 108, 108, 126, 108, 90, 72, 54, 36}, // 0</v>
      </c>
    </row>
    <row r="76" spans="6:31" x14ac:dyDescent="0.2">
      <c r="N76">
        <v>1</v>
      </c>
      <c r="O76">
        <f t="shared" ref="O76:AC76" si="29">O58+O40</f>
        <v>36</v>
      </c>
      <c r="P76">
        <f t="shared" si="29"/>
        <v>18</v>
      </c>
      <c r="Q76" s="19">
        <f t="shared" si="29"/>
        <v>0</v>
      </c>
      <c r="R76">
        <f t="shared" si="29"/>
        <v>18</v>
      </c>
      <c r="S76">
        <f t="shared" si="29"/>
        <v>36</v>
      </c>
      <c r="T76">
        <f t="shared" si="29"/>
        <v>54</v>
      </c>
      <c r="U76">
        <f t="shared" si="29"/>
        <v>72</v>
      </c>
      <c r="V76">
        <f t="shared" si="29"/>
        <v>90</v>
      </c>
      <c r="W76">
        <f t="shared" si="29"/>
        <v>108</v>
      </c>
      <c r="X76">
        <f t="shared" si="29"/>
        <v>126</v>
      </c>
      <c r="Y76">
        <f t="shared" si="29"/>
        <v>126</v>
      </c>
      <c r="Z76">
        <f t="shared" si="29"/>
        <v>108</v>
      </c>
      <c r="AA76">
        <f t="shared" si="29"/>
        <v>90</v>
      </c>
      <c r="AB76">
        <f t="shared" si="29"/>
        <v>72</v>
      </c>
      <c r="AC76">
        <f t="shared" si="29"/>
        <v>54</v>
      </c>
      <c r="AE76" t="str">
        <f t="shared" si="28"/>
        <v xml:space="preserve"> {36, 18, 0, 18, 36, 54, 72, 90, 108, 126, 126, 108, 90, 72, 54}, // 1</v>
      </c>
    </row>
    <row r="77" spans="6:31" x14ac:dyDescent="0.2">
      <c r="N77">
        <v>2</v>
      </c>
      <c r="O77">
        <f t="shared" ref="O77:AC77" si="30">O59+O41</f>
        <v>54</v>
      </c>
      <c r="P77">
        <f t="shared" si="30"/>
        <v>36</v>
      </c>
      <c r="Q77">
        <f t="shared" si="30"/>
        <v>18</v>
      </c>
      <c r="R77" s="19">
        <f t="shared" si="30"/>
        <v>0</v>
      </c>
      <c r="S77">
        <f t="shared" si="30"/>
        <v>18</v>
      </c>
      <c r="T77">
        <f t="shared" si="30"/>
        <v>36</v>
      </c>
      <c r="U77">
        <f t="shared" si="30"/>
        <v>54</v>
      </c>
      <c r="V77">
        <f t="shared" si="30"/>
        <v>72</v>
      </c>
      <c r="W77">
        <f t="shared" si="30"/>
        <v>90</v>
      </c>
      <c r="X77">
        <f t="shared" si="30"/>
        <v>108</v>
      </c>
      <c r="Y77">
        <f t="shared" si="30"/>
        <v>126</v>
      </c>
      <c r="Z77">
        <f t="shared" si="30"/>
        <v>126</v>
      </c>
      <c r="AA77">
        <f t="shared" si="30"/>
        <v>108</v>
      </c>
      <c r="AB77">
        <f t="shared" si="30"/>
        <v>90</v>
      </c>
      <c r="AC77">
        <f t="shared" si="30"/>
        <v>72</v>
      </c>
      <c r="AE77" t="str">
        <f t="shared" si="28"/>
        <v xml:space="preserve"> {54, 36, 18, 0, 18, 36, 54, 72, 90, 108, 126, 126, 108, 90, 72}, // 2</v>
      </c>
    </row>
    <row r="78" spans="6:31" x14ac:dyDescent="0.2">
      <c r="N78">
        <v>3</v>
      </c>
      <c r="O78">
        <f t="shared" ref="O78:AC78" si="31">O60+O42</f>
        <v>72</v>
      </c>
      <c r="P78">
        <f t="shared" si="31"/>
        <v>54</v>
      </c>
      <c r="Q78">
        <f t="shared" si="31"/>
        <v>36</v>
      </c>
      <c r="R78">
        <f t="shared" si="31"/>
        <v>18</v>
      </c>
      <c r="S78" s="19">
        <f t="shared" si="31"/>
        <v>0</v>
      </c>
      <c r="T78">
        <f t="shared" si="31"/>
        <v>18</v>
      </c>
      <c r="U78">
        <f t="shared" si="31"/>
        <v>36</v>
      </c>
      <c r="V78">
        <f t="shared" si="31"/>
        <v>54</v>
      </c>
      <c r="W78">
        <f t="shared" si="31"/>
        <v>72</v>
      </c>
      <c r="X78">
        <f t="shared" si="31"/>
        <v>90</v>
      </c>
      <c r="Y78">
        <f t="shared" si="31"/>
        <v>108</v>
      </c>
      <c r="Z78">
        <f t="shared" si="31"/>
        <v>126</v>
      </c>
      <c r="AA78">
        <f t="shared" si="31"/>
        <v>126</v>
      </c>
      <c r="AB78">
        <f t="shared" si="31"/>
        <v>108</v>
      </c>
      <c r="AC78">
        <f t="shared" si="31"/>
        <v>90</v>
      </c>
      <c r="AE78" t="str">
        <f t="shared" si="28"/>
        <v xml:space="preserve"> {72, 54, 36, 18, 0, 18, 36, 54, 72, 90, 108, 126, 126, 108, 90}, // 3</v>
      </c>
    </row>
    <row r="79" spans="6:31" x14ac:dyDescent="0.2">
      <c r="F79">
        <v>6</v>
      </c>
      <c r="G79">
        <v>13</v>
      </c>
      <c r="N79">
        <v>4</v>
      </c>
      <c r="O79">
        <f t="shared" ref="O79:AC79" si="32">O61+O43</f>
        <v>90</v>
      </c>
      <c r="P79">
        <f t="shared" si="32"/>
        <v>72</v>
      </c>
      <c r="Q79">
        <f t="shared" si="32"/>
        <v>54</v>
      </c>
      <c r="R79">
        <f t="shared" si="32"/>
        <v>36</v>
      </c>
      <c r="S79">
        <f t="shared" si="32"/>
        <v>18</v>
      </c>
      <c r="T79" s="19">
        <f t="shared" si="32"/>
        <v>0</v>
      </c>
      <c r="U79">
        <f t="shared" si="32"/>
        <v>18</v>
      </c>
      <c r="V79">
        <f t="shared" si="32"/>
        <v>36</v>
      </c>
      <c r="W79">
        <f t="shared" si="32"/>
        <v>54</v>
      </c>
      <c r="X79">
        <f t="shared" si="32"/>
        <v>72</v>
      </c>
      <c r="Y79">
        <f t="shared" si="32"/>
        <v>90</v>
      </c>
      <c r="Z79">
        <f t="shared" si="32"/>
        <v>108</v>
      </c>
      <c r="AA79">
        <f t="shared" si="32"/>
        <v>126</v>
      </c>
      <c r="AB79">
        <f t="shared" si="32"/>
        <v>126</v>
      </c>
      <c r="AC79">
        <f t="shared" si="32"/>
        <v>108</v>
      </c>
      <c r="AE79" t="str">
        <f t="shared" si="28"/>
        <v xml:space="preserve"> {90, 72, 54, 36, 18, 0, 18, 36, 54, 72, 90, 108, 126, 126, 108}, // 4</v>
      </c>
    </row>
    <row r="80" spans="6:31" x14ac:dyDescent="0.2">
      <c r="N80">
        <v>5</v>
      </c>
      <c r="O80">
        <f t="shared" ref="O80:AC80" si="33">O62+O44</f>
        <v>108</v>
      </c>
      <c r="P80">
        <f t="shared" si="33"/>
        <v>90</v>
      </c>
      <c r="Q80">
        <f t="shared" si="33"/>
        <v>72</v>
      </c>
      <c r="R80">
        <f t="shared" si="33"/>
        <v>54</v>
      </c>
      <c r="S80">
        <f t="shared" si="33"/>
        <v>36</v>
      </c>
      <c r="T80">
        <f t="shared" si="33"/>
        <v>18</v>
      </c>
      <c r="U80" s="19">
        <f t="shared" si="33"/>
        <v>0</v>
      </c>
      <c r="V80">
        <f t="shared" si="33"/>
        <v>18</v>
      </c>
      <c r="W80">
        <f t="shared" si="33"/>
        <v>36</v>
      </c>
      <c r="X80">
        <f t="shared" si="33"/>
        <v>54</v>
      </c>
      <c r="Y80">
        <f t="shared" si="33"/>
        <v>72</v>
      </c>
      <c r="Z80">
        <f t="shared" si="33"/>
        <v>90</v>
      </c>
      <c r="AA80">
        <f t="shared" si="33"/>
        <v>108</v>
      </c>
      <c r="AB80">
        <f t="shared" si="33"/>
        <v>126</v>
      </c>
      <c r="AC80">
        <f t="shared" si="33"/>
        <v>126</v>
      </c>
      <c r="AE80" t="str">
        <f t="shared" si="28"/>
        <v xml:space="preserve"> {108, 90, 72, 54, 36, 18, 0, 18, 36, 54, 72, 90, 108, 126, 126}, // 5</v>
      </c>
    </row>
    <row r="81" spans="14:31" x14ac:dyDescent="0.2">
      <c r="N81">
        <v>6</v>
      </c>
      <c r="O81">
        <f t="shared" ref="O81:AC81" si="34">O63+O45</f>
        <v>126</v>
      </c>
      <c r="P81">
        <f t="shared" si="34"/>
        <v>108</v>
      </c>
      <c r="Q81">
        <f t="shared" si="34"/>
        <v>90</v>
      </c>
      <c r="R81">
        <f t="shared" si="34"/>
        <v>72</v>
      </c>
      <c r="S81">
        <f t="shared" si="34"/>
        <v>54</v>
      </c>
      <c r="T81">
        <f t="shared" si="34"/>
        <v>36</v>
      </c>
      <c r="U81">
        <f t="shared" si="34"/>
        <v>18</v>
      </c>
      <c r="V81" s="19">
        <f t="shared" si="34"/>
        <v>0</v>
      </c>
      <c r="W81">
        <f t="shared" si="34"/>
        <v>18</v>
      </c>
      <c r="X81">
        <f t="shared" si="34"/>
        <v>36</v>
      </c>
      <c r="Y81">
        <f t="shared" si="34"/>
        <v>54</v>
      </c>
      <c r="Z81">
        <f t="shared" si="34"/>
        <v>72</v>
      </c>
      <c r="AA81">
        <f t="shared" si="34"/>
        <v>90</v>
      </c>
      <c r="AB81">
        <f t="shared" si="34"/>
        <v>108</v>
      </c>
      <c r="AC81">
        <f t="shared" si="34"/>
        <v>126</v>
      </c>
      <c r="AE81" t="str">
        <f t="shared" si="28"/>
        <v xml:space="preserve"> {126, 108, 90, 72, 54, 36, 18, 0, 18, 36, 54, 72, 90, 108, 126}, // 6</v>
      </c>
    </row>
    <row r="82" spans="14:31" x14ac:dyDescent="0.2">
      <c r="N82">
        <v>7</v>
      </c>
      <c r="O82">
        <f t="shared" ref="O82:AC82" si="35">O64+O46</f>
        <v>126</v>
      </c>
      <c r="P82">
        <f t="shared" si="35"/>
        <v>108</v>
      </c>
      <c r="Q82">
        <f t="shared" si="35"/>
        <v>108</v>
      </c>
      <c r="R82">
        <f t="shared" si="35"/>
        <v>90</v>
      </c>
      <c r="S82">
        <f t="shared" si="35"/>
        <v>72</v>
      </c>
      <c r="T82">
        <f t="shared" si="35"/>
        <v>54</v>
      </c>
      <c r="U82">
        <f t="shared" si="35"/>
        <v>36</v>
      </c>
      <c r="V82">
        <f t="shared" si="35"/>
        <v>18</v>
      </c>
      <c r="W82" s="19">
        <f t="shared" si="35"/>
        <v>0</v>
      </c>
      <c r="X82">
        <f t="shared" si="35"/>
        <v>18</v>
      </c>
      <c r="Y82">
        <f t="shared" si="35"/>
        <v>36</v>
      </c>
      <c r="Z82">
        <f t="shared" si="35"/>
        <v>54</v>
      </c>
      <c r="AA82">
        <f t="shared" si="35"/>
        <v>72</v>
      </c>
      <c r="AB82">
        <f t="shared" si="35"/>
        <v>90</v>
      </c>
      <c r="AC82">
        <f t="shared" si="35"/>
        <v>108</v>
      </c>
      <c r="AE82" t="str">
        <f t="shared" si="28"/>
        <v xml:space="preserve"> {126, 108, 108, 90, 72, 54, 36, 18, 0, 18, 36, 54, 72, 90, 108}, // 7</v>
      </c>
    </row>
    <row r="83" spans="14:31" x14ac:dyDescent="0.2">
      <c r="N83">
        <v>8</v>
      </c>
      <c r="O83">
        <f t="shared" ref="O83:AC83" si="36">O65+O47</f>
        <v>108</v>
      </c>
      <c r="P83">
        <f t="shared" si="36"/>
        <v>126</v>
      </c>
      <c r="Q83">
        <f t="shared" si="36"/>
        <v>126</v>
      </c>
      <c r="R83">
        <f t="shared" si="36"/>
        <v>108</v>
      </c>
      <c r="S83">
        <f t="shared" si="36"/>
        <v>90</v>
      </c>
      <c r="T83">
        <f t="shared" si="36"/>
        <v>72</v>
      </c>
      <c r="U83">
        <f t="shared" si="36"/>
        <v>54</v>
      </c>
      <c r="V83">
        <f t="shared" si="36"/>
        <v>36</v>
      </c>
      <c r="W83">
        <f t="shared" si="36"/>
        <v>18</v>
      </c>
      <c r="X83" s="19">
        <f t="shared" si="36"/>
        <v>0</v>
      </c>
      <c r="Y83">
        <f t="shared" si="36"/>
        <v>18</v>
      </c>
      <c r="Z83">
        <f t="shared" si="36"/>
        <v>36</v>
      </c>
      <c r="AA83">
        <f t="shared" si="36"/>
        <v>54</v>
      </c>
      <c r="AB83">
        <f t="shared" si="36"/>
        <v>72</v>
      </c>
      <c r="AC83">
        <f t="shared" si="36"/>
        <v>90</v>
      </c>
      <c r="AE83" t="str">
        <f t="shared" si="28"/>
        <v xml:space="preserve"> {108, 126, 126, 108, 90, 72, 54, 36, 18, 0, 18, 36, 54, 72, 90}, // 8</v>
      </c>
    </row>
    <row r="84" spans="14:31" x14ac:dyDescent="0.2">
      <c r="N84">
        <v>9</v>
      </c>
      <c r="O84">
        <f t="shared" ref="O84:AC84" si="37">O66+O48</f>
        <v>90</v>
      </c>
      <c r="P84">
        <f t="shared" si="37"/>
        <v>108</v>
      </c>
      <c r="Q84">
        <f t="shared" si="37"/>
        <v>126</v>
      </c>
      <c r="R84">
        <f t="shared" si="37"/>
        <v>126</v>
      </c>
      <c r="S84">
        <f t="shared" si="37"/>
        <v>108</v>
      </c>
      <c r="T84">
        <f t="shared" si="37"/>
        <v>90</v>
      </c>
      <c r="U84">
        <f t="shared" si="37"/>
        <v>72</v>
      </c>
      <c r="V84">
        <f t="shared" si="37"/>
        <v>54</v>
      </c>
      <c r="W84">
        <f t="shared" si="37"/>
        <v>36</v>
      </c>
      <c r="X84">
        <f t="shared" si="37"/>
        <v>18</v>
      </c>
      <c r="Y84" s="19">
        <f t="shared" si="37"/>
        <v>0</v>
      </c>
      <c r="Z84">
        <f t="shared" si="37"/>
        <v>18</v>
      </c>
      <c r="AA84">
        <f t="shared" si="37"/>
        <v>36</v>
      </c>
      <c r="AB84">
        <f t="shared" si="37"/>
        <v>54</v>
      </c>
      <c r="AC84">
        <f t="shared" si="37"/>
        <v>72</v>
      </c>
      <c r="AE84" t="str">
        <f t="shared" si="28"/>
        <v xml:space="preserve"> {90, 108, 126, 126, 108, 90, 72, 54, 36, 18, 0, 18, 36, 54, 72}, // 9</v>
      </c>
    </row>
    <row r="85" spans="14:31" x14ac:dyDescent="0.2">
      <c r="N85">
        <v>10</v>
      </c>
      <c r="O85">
        <f t="shared" ref="O85:AC85" si="38">O67+O49</f>
        <v>72</v>
      </c>
      <c r="P85">
        <f t="shared" si="38"/>
        <v>90</v>
      </c>
      <c r="Q85">
        <f t="shared" si="38"/>
        <v>108</v>
      </c>
      <c r="R85">
        <f t="shared" si="38"/>
        <v>126</v>
      </c>
      <c r="S85">
        <f t="shared" si="38"/>
        <v>126</v>
      </c>
      <c r="T85">
        <f t="shared" si="38"/>
        <v>108</v>
      </c>
      <c r="U85">
        <f t="shared" si="38"/>
        <v>90</v>
      </c>
      <c r="V85">
        <f t="shared" si="38"/>
        <v>72</v>
      </c>
      <c r="W85">
        <f t="shared" si="38"/>
        <v>54</v>
      </c>
      <c r="X85">
        <f t="shared" si="38"/>
        <v>36</v>
      </c>
      <c r="Y85">
        <f t="shared" si="38"/>
        <v>18</v>
      </c>
      <c r="Z85" s="19">
        <f t="shared" si="38"/>
        <v>0</v>
      </c>
      <c r="AA85">
        <f t="shared" si="38"/>
        <v>18</v>
      </c>
      <c r="AB85">
        <f t="shared" si="38"/>
        <v>36</v>
      </c>
      <c r="AC85">
        <f t="shared" si="38"/>
        <v>54</v>
      </c>
      <c r="AE85" t="str">
        <f t="shared" si="28"/>
        <v xml:space="preserve"> {72, 90, 108, 126, 126, 108, 90, 72, 54, 36, 18, 0, 18, 36, 54}, // 10</v>
      </c>
    </row>
    <row r="86" spans="14:31" x14ac:dyDescent="0.2">
      <c r="N86">
        <v>11</v>
      </c>
      <c r="O86">
        <f t="shared" ref="O86:AC86" si="39">O68+O50</f>
        <v>54</v>
      </c>
      <c r="P86">
        <f t="shared" si="39"/>
        <v>72</v>
      </c>
      <c r="Q86">
        <f t="shared" si="39"/>
        <v>90</v>
      </c>
      <c r="R86">
        <f t="shared" si="39"/>
        <v>108</v>
      </c>
      <c r="S86">
        <f t="shared" si="39"/>
        <v>126</v>
      </c>
      <c r="T86">
        <f t="shared" si="39"/>
        <v>126</v>
      </c>
      <c r="U86">
        <f t="shared" si="39"/>
        <v>108</v>
      </c>
      <c r="V86">
        <f t="shared" si="39"/>
        <v>90</v>
      </c>
      <c r="W86">
        <f t="shared" si="39"/>
        <v>72</v>
      </c>
      <c r="X86">
        <f t="shared" si="39"/>
        <v>54</v>
      </c>
      <c r="Y86">
        <f t="shared" si="39"/>
        <v>36</v>
      </c>
      <c r="Z86">
        <f t="shared" si="39"/>
        <v>18</v>
      </c>
      <c r="AA86" s="19">
        <f t="shared" si="39"/>
        <v>0</v>
      </c>
      <c r="AB86">
        <f t="shared" si="39"/>
        <v>18</v>
      </c>
      <c r="AC86">
        <f t="shared" si="39"/>
        <v>36</v>
      </c>
      <c r="AE86" t="str">
        <f t="shared" si="28"/>
        <v xml:space="preserve"> {54, 72, 90, 108, 126, 126, 108, 90, 72, 54, 36, 18, 0, 18, 36}, // 11</v>
      </c>
    </row>
    <row r="87" spans="14:31" x14ac:dyDescent="0.2">
      <c r="N87">
        <v>12</v>
      </c>
      <c r="O87">
        <f t="shared" ref="O87:AC87" si="40">O69+O51</f>
        <v>36</v>
      </c>
      <c r="P87">
        <f t="shared" si="40"/>
        <v>54</v>
      </c>
      <c r="Q87">
        <f t="shared" si="40"/>
        <v>72</v>
      </c>
      <c r="R87">
        <f t="shared" si="40"/>
        <v>90</v>
      </c>
      <c r="S87">
        <f t="shared" si="40"/>
        <v>108</v>
      </c>
      <c r="T87">
        <f t="shared" si="40"/>
        <v>126</v>
      </c>
      <c r="U87">
        <f t="shared" si="40"/>
        <v>126</v>
      </c>
      <c r="V87">
        <f t="shared" si="40"/>
        <v>108</v>
      </c>
      <c r="W87">
        <f t="shared" si="40"/>
        <v>90</v>
      </c>
      <c r="X87">
        <f t="shared" si="40"/>
        <v>72</v>
      </c>
      <c r="Y87">
        <f t="shared" si="40"/>
        <v>54</v>
      </c>
      <c r="Z87">
        <f t="shared" si="40"/>
        <v>36</v>
      </c>
      <c r="AA87">
        <f t="shared" si="40"/>
        <v>18</v>
      </c>
      <c r="AB87" s="19">
        <f t="shared" si="40"/>
        <v>0</v>
      </c>
      <c r="AC87">
        <f t="shared" si="40"/>
        <v>18</v>
      </c>
      <c r="AE87" t="str">
        <f t="shared" si="28"/>
        <v xml:space="preserve"> {36, 54, 72, 90, 108, 126, 126, 108, 90, 72, 54, 36, 18, 0, 18}, // 12</v>
      </c>
    </row>
    <row r="88" spans="14:31" x14ac:dyDescent="0.2">
      <c r="N88">
        <v>13</v>
      </c>
      <c r="O88">
        <f t="shared" ref="O88:AC88" si="41">O70+O52</f>
        <v>18</v>
      </c>
      <c r="P88">
        <f t="shared" si="41"/>
        <v>36</v>
      </c>
      <c r="Q88">
        <f t="shared" si="41"/>
        <v>54</v>
      </c>
      <c r="R88">
        <f t="shared" si="41"/>
        <v>72</v>
      </c>
      <c r="S88">
        <f t="shared" si="41"/>
        <v>90</v>
      </c>
      <c r="T88">
        <f t="shared" si="41"/>
        <v>108</v>
      </c>
      <c r="U88">
        <f t="shared" si="41"/>
        <v>126</v>
      </c>
      <c r="V88">
        <f t="shared" si="41"/>
        <v>126</v>
      </c>
      <c r="W88">
        <f t="shared" si="41"/>
        <v>108</v>
      </c>
      <c r="X88">
        <f t="shared" si="41"/>
        <v>90</v>
      </c>
      <c r="Y88">
        <f t="shared" si="41"/>
        <v>72</v>
      </c>
      <c r="Z88">
        <f t="shared" si="41"/>
        <v>54</v>
      </c>
      <c r="AA88">
        <f t="shared" si="41"/>
        <v>36</v>
      </c>
      <c r="AB88">
        <f t="shared" si="41"/>
        <v>18</v>
      </c>
      <c r="AC88" s="19">
        <f t="shared" si="41"/>
        <v>0</v>
      </c>
      <c r="AE88" t="str">
        <f t="shared" si="28"/>
        <v xml:space="preserve"> {18, 36, 54, 72, 90, 108, 126, 126, 108, 90, 72, 54, 36, 18, 0}, // 13</v>
      </c>
    </row>
    <row r="100" spans="1:11" x14ac:dyDescent="0.2">
      <c r="C100" t="s">
        <v>1076</v>
      </c>
      <c r="D100" t="s">
        <v>1077</v>
      </c>
      <c r="G100" t="s">
        <v>1076</v>
      </c>
      <c r="H100" t="s">
        <v>1077</v>
      </c>
    </row>
    <row r="101" spans="1:11" x14ac:dyDescent="0.2">
      <c r="A101">
        <v>0</v>
      </c>
      <c r="C101" s="23">
        <v>68</v>
      </c>
      <c r="D101" s="23">
        <v>94</v>
      </c>
      <c r="G101">
        <f t="shared" ref="G101:G114" si="42">(MOD(C101,256)*256) + INT(C101/256)</f>
        <v>17408</v>
      </c>
      <c r="H101">
        <f t="shared" ref="H101:H108" si="43">(MOD(D101,256)*256) + INT(D101/256)</f>
        <v>24064</v>
      </c>
      <c r="K101" t="str">
        <f>_xlfn.CONCAT(G101,", ",H101,", // Port ",A101)</f>
        <v>17408, 24064, // Port 0</v>
      </c>
    </row>
    <row r="102" spans="1:11" x14ac:dyDescent="0.2">
      <c r="A102">
        <v>1</v>
      </c>
      <c r="C102" s="23">
        <v>29</v>
      </c>
      <c r="D102" s="23">
        <v>164</v>
      </c>
      <c r="G102">
        <f t="shared" si="42"/>
        <v>7424</v>
      </c>
      <c r="H102">
        <f t="shared" si="43"/>
        <v>41984</v>
      </c>
      <c r="K102" t="str">
        <f t="shared" ref="K102:K114" si="44">_xlfn.CONCAT(G102,", ",H102,", // Port ",A102)</f>
        <v>7424, 41984, // Port 1</v>
      </c>
    </row>
    <row r="103" spans="1:11" x14ac:dyDescent="0.2">
      <c r="A103">
        <v>2</v>
      </c>
      <c r="C103" s="23">
        <v>60</v>
      </c>
      <c r="D103" s="23">
        <v>238</v>
      </c>
      <c r="G103">
        <f t="shared" si="42"/>
        <v>15360</v>
      </c>
      <c r="H103">
        <f t="shared" si="43"/>
        <v>60928</v>
      </c>
      <c r="K103" t="str">
        <f t="shared" si="44"/>
        <v>15360, 60928, // Port 2</v>
      </c>
    </row>
    <row r="104" spans="1:11" x14ac:dyDescent="0.2">
      <c r="A104">
        <v>3</v>
      </c>
      <c r="C104" s="23">
        <v>190</v>
      </c>
      <c r="D104" s="23">
        <v>208</v>
      </c>
      <c r="G104">
        <f t="shared" si="42"/>
        <v>48640</v>
      </c>
      <c r="H104">
        <f t="shared" si="43"/>
        <v>53248</v>
      </c>
      <c r="K104" t="str">
        <f t="shared" si="44"/>
        <v>48640, 53248, // Port 3</v>
      </c>
    </row>
    <row r="105" spans="1:11" x14ac:dyDescent="0.2">
      <c r="A105">
        <v>4</v>
      </c>
      <c r="C105" s="23">
        <v>67</v>
      </c>
      <c r="D105" s="23">
        <v>334</v>
      </c>
      <c r="G105">
        <f t="shared" si="42"/>
        <v>17152</v>
      </c>
      <c r="H105">
        <f t="shared" si="43"/>
        <v>19969</v>
      </c>
      <c r="K105" t="str">
        <f t="shared" si="44"/>
        <v>17152, 19969, // Port 4</v>
      </c>
    </row>
    <row r="106" spans="1:11" x14ac:dyDescent="0.2">
      <c r="A106">
        <v>5</v>
      </c>
      <c r="C106" s="23">
        <v>156</v>
      </c>
      <c r="D106" s="23">
        <v>265</v>
      </c>
      <c r="G106">
        <f t="shared" si="42"/>
        <v>39936</v>
      </c>
      <c r="H106">
        <f t="shared" si="43"/>
        <v>2305</v>
      </c>
      <c r="K106" t="str">
        <f t="shared" si="44"/>
        <v>39936, 2305, // Port 5</v>
      </c>
    </row>
    <row r="107" spans="1:11" x14ac:dyDescent="0.2">
      <c r="A107">
        <v>6</v>
      </c>
      <c r="C107" s="23">
        <v>179</v>
      </c>
      <c r="D107" s="23">
        <v>360</v>
      </c>
      <c r="G107">
        <f t="shared" si="42"/>
        <v>45824</v>
      </c>
      <c r="H107">
        <f t="shared" si="43"/>
        <v>26625</v>
      </c>
      <c r="K107" t="str">
        <f t="shared" si="44"/>
        <v>45824, 26625, // Port 6</v>
      </c>
    </row>
    <row r="108" spans="1:11" x14ac:dyDescent="0.2">
      <c r="A108">
        <v>7</v>
      </c>
      <c r="C108" s="23">
        <v>256</v>
      </c>
      <c r="D108" s="23">
        <v>276</v>
      </c>
      <c r="G108">
        <f t="shared" si="42"/>
        <v>1</v>
      </c>
      <c r="H108">
        <f t="shared" si="43"/>
        <v>5121</v>
      </c>
      <c r="K108" t="str">
        <f t="shared" si="44"/>
        <v>1, 5121, // Port 7</v>
      </c>
    </row>
    <row r="109" spans="1:11" x14ac:dyDescent="0.2">
      <c r="A109">
        <v>8</v>
      </c>
      <c r="C109" s="23">
        <v>301</v>
      </c>
      <c r="D109" s="23">
        <v>337</v>
      </c>
      <c r="G109">
        <f t="shared" si="42"/>
        <v>11521</v>
      </c>
      <c r="H109">
        <f>(MOD(D109,256)*256) + INT(D109/256)</f>
        <v>20737</v>
      </c>
      <c r="K109" t="str">
        <f t="shared" si="44"/>
        <v>11521, 20737, // Port 8</v>
      </c>
    </row>
    <row r="110" spans="1:11" x14ac:dyDescent="0.2">
      <c r="A110">
        <v>9</v>
      </c>
      <c r="C110" s="23">
        <v>327</v>
      </c>
      <c r="D110" s="23">
        <v>198</v>
      </c>
      <c r="G110">
        <f t="shared" si="42"/>
        <v>18177</v>
      </c>
      <c r="H110">
        <f t="shared" ref="H110:H114" si="45">(MOD(D110,256)*256) + INT(D110/256)</f>
        <v>50688</v>
      </c>
      <c r="K110" t="str">
        <f t="shared" si="44"/>
        <v>18177, 50688, // Port 9</v>
      </c>
    </row>
    <row r="111" spans="1:11" x14ac:dyDescent="0.2">
      <c r="A111">
        <v>10</v>
      </c>
      <c r="C111" s="13">
        <v>324</v>
      </c>
      <c r="D111" s="13">
        <v>127</v>
      </c>
      <c r="G111">
        <f t="shared" si="42"/>
        <v>17409</v>
      </c>
      <c r="H111">
        <f t="shared" si="45"/>
        <v>32512</v>
      </c>
      <c r="K111" t="str">
        <f t="shared" si="44"/>
        <v>17409, 32512, // Port 10</v>
      </c>
    </row>
    <row r="112" spans="1:11" x14ac:dyDescent="0.2">
      <c r="A112">
        <v>11</v>
      </c>
      <c r="C112" s="13">
        <v>260</v>
      </c>
      <c r="D112" s="13">
        <v>58</v>
      </c>
      <c r="G112">
        <f t="shared" si="42"/>
        <v>1025</v>
      </c>
      <c r="H112">
        <f t="shared" si="45"/>
        <v>14848</v>
      </c>
      <c r="K112" t="str">
        <f t="shared" si="44"/>
        <v>1025, 14848, // Port 11</v>
      </c>
    </row>
    <row r="113" spans="1:11" x14ac:dyDescent="0.2">
      <c r="A113">
        <v>12</v>
      </c>
      <c r="C113" s="13">
        <v>224</v>
      </c>
      <c r="D113" s="13">
        <v>108</v>
      </c>
      <c r="G113">
        <f t="shared" si="42"/>
        <v>57344</v>
      </c>
      <c r="H113">
        <f t="shared" si="45"/>
        <v>27648</v>
      </c>
      <c r="K113" t="str">
        <f t="shared" si="44"/>
        <v>57344, 27648, // Port 12</v>
      </c>
    </row>
    <row r="114" spans="1:11" x14ac:dyDescent="0.2">
      <c r="A114">
        <v>13</v>
      </c>
      <c r="C114" s="13">
        <v>140</v>
      </c>
      <c r="D114" s="13">
        <v>14</v>
      </c>
      <c r="G114">
        <f t="shared" si="42"/>
        <v>35840</v>
      </c>
      <c r="H114">
        <f t="shared" si="45"/>
        <v>3584</v>
      </c>
      <c r="K114" t="str">
        <f t="shared" si="44"/>
        <v>35840, 3584, // Port 13</v>
      </c>
    </row>
  </sheetData>
  <pageMargins left="0.7" right="0.7" top="0.75" bottom="0.75" header="0.3" footer="0.3"/>
  <pageSetup paperSize="9" orientation="portrait" horizontalDpi="0" verticalDpi="0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333EDA-BDBF-4A49-8373-1513F25F3910}">
  <dimension ref="G26:V67"/>
  <sheetViews>
    <sheetView topLeftCell="B1" workbookViewId="0">
      <selection activeCell="J48" sqref="H48:J48"/>
    </sheetView>
  </sheetViews>
  <sheetFormatPr baseColWidth="10" defaultRowHeight="16" x14ac:dyDescent="0.2"/>
  <sheetData>
    <row r="26" spans="8:8" x14ac:dyDescent="0.2">
      <c r="H26" t="s">
        <v>1083</v>
      </c>
    </row>
    <row r="27" spans="8:8" x14ac:dyDescent="0.2">
      <c r="H27" t="s">
        <v>1084</v>
      </c>
    </row>
    <row r="28" spans="8:8" x14ac:dyDescent="0.2">
      <c r="H28" t="s">
        <v>1085</v>
      </c>
    </row>
    <row r="29" spans="8:8" x14ac:dyDescent="0.2">
      <c r="H29" t="s">
        <v>1086</v>
      </c>
    </row>
    <row r="31" spans="8:8" x14ac:dyDescent="0.2">
      <c r="H31" t="s">
        <v>1087</v>
      </c>
    </row>
    <row r="32" spans="8:8" x14ac:dyDescent="0.2">
      <c r="H32" t="s">
        <v>1088</v>
      </c>
    </row>
    <row r="33" spans="8:10" x14ac:dyDescent="0.2">
      <c r="H33" t="s">
        <v>1089</v>
      </c>
    </row>
    <row r="34" spans="8:10" x14ac:dyDescent="0.2">
      <c r="H34" t="s">
        <v>1090</v>
      </c>
    </row>
    <row r="36" spans="8:10" x14ac:dyDescent="0.2">
      <c r="H36" t="s">
        <v>1091</v>
      </c>
    </row>
    <row r="37" spans="8:10" x14ac:dyDescent="0.2">
      <c r="H37" t="s">
        <v>1092</v>
      </c>
    </row>
    <row r="38" spans="8:10" x14ac:dyDescent="0.2">
      <c r="H38" t="s">
        <v>1093</v>
      </c>
    </row>
    <row r="39" spans="8:10" x14ac:dyDescent="0.2">
      <c r="H39" t="s">
        <v>1094</v>
      </c>
    </row>
    <row r="40" spans="8:10" x14ac:dyDescent="0.2">
      <c r="H40" t="s">
        <v>1095</v>
      </c>
    </row>
    <row r="41" spans="8:10" x14ac:dyDescent="0.2">
      <c r="H41" t="s">
        <v>1096</v>
      </c>
    </row>
    <row r="42" spans="8:10" x14ac:dyDescent="0.2">
      <c r="H42" t="s">
        <v>1097</v>
      </c>
    </row>
    <row r="44" spans="8:10" x14ac:dyDescent="0.2">
      <c r="H44" t="s">
        <v>1098</v>
      </c>
    </row>
    <row r="48" spans="8:10" x14ac:dyDescent="0.2">
      <c r="H48">
        <v>18</v>
      </c>
      <c r="I48">
        <v>22</v>
      </c>
      <c r="J48">
        <v>35</v>
      </c>
    </row>
    <row r="51" spans="7:22" x14ac:dyDescent="0.2">
      <c r="G51" t="s">
        <v>1099</v>
      </c>
      <c r="H51" t="s">
        <v>1100</v>
      </c>
      <c r="I51" t="s">
        <v>1101</v>
      </c>
      <c r="J51" t="s">
        <v>1102</v>
      </c>
      <c r="K51" t="s">
        <v>1103</v>
      </c>
      <c r="L51" t="s">
        <v>1104</v>
      </c>
      <c r="M51" t="s">
        <v>1105</v>
      </c>
      <c r="N51" t="s">
        <v>1106</v>
      </c>
      <c r="O51" t="s">
        <v>1107</v>
      </c>
      <c r="P51" t="s">
        <v>1108</v>
      </c>
      <c r="Q51" t="s">
        <v>1109</v>
      </c>
      <c r="R51" t="s">
        <v>1110</v>
      </c>
      <c r="S51" t="s">
        <v>1111</v>
      </c>
      <c r="T51" t="s">
        <v>1112</v>
      </c>
      <c r="V51" t="s">
        <v>1113</v>
      </c>
    </row>
    <row r="54" spans="7:22" x14ac:dyDescent="0.2">
      <c r="H54">
        <v>36</v>
      </c>
      <c r="I54">
        <v>18</v>
      </c>
      <c r="J54">
        <v>40</v>
      </c>
      <c r="K54">
        <v>65</v>
      </c>
      <c r="L54">
        <v>58</v>
      </c>
      <c r="M54">
        <v>98</v>
      </c>
      <c r="N54">
        <v>90</v>
      </c>
      <c r="O54">
        <v>123</v>
      </c>
      <c r="P54">
        <v>141</v>
      </c>
      <c r="Q54">
        <v>116</v>
      </c>
      <c r="R54">
        <v>92</v>
      </c>
      <c r="S54">
        <v>72</v>
      </c>
      <c r="T54">
        <v>46</v>
      </c>
      <c r="U54">
        <v>24</v>
      </c>
    </row>
    <row r="55" spans="7:22" x14ac:dyDescent="0.2">
      <c r="H55">
        <v>18</v>
      </c>
      <c r="I55">
        <v>36</v>
      </c>
      <c r="J55">
        <v>22</v>
      </c>
      <c r="K55">
        <v>47</v>
      </c>
      <c r="L55">
        <v>40</v>
      </c>
      <c r="M55">
        <v>80</v>
      </c>
      <c r="N55">
        <v>72</v>
      </c>
      <c r="O55">
        <v>105</v>
      </c>
      <c r="P55">
        <v>132</v>
      </c>
      <c r="Q55">
        <v>130</v>
      </c>
      <c r="R55">
        <v>110</v>
      </c>
      <c r="S55">
        <v>90</v>
      </c>
      <c r="T55">
        <v>64</v>
      </c>
      <c r="U55">
        <v>42</v>
      </c>
    </row>
    <row r="56" spans="7:22" x14ac:dyDescent="0.2">
      <c r="H56">
        <v>40</v>
      </c>
      <c r="I56">
        <v>22</v>
      </c>
      <c r="J56">
        <v>44</v>
      </c>
      <c r="K56">
        <v>25</v>
      </c>
      <c r="L56">
        <v>57</v>
      </c>
      <c r="M56">
        <v>97</v>
      </c>
      <c r="N56">
        <v>89</v>
      </c>
      <c r="O56">
        <v>122</v>
      </c>
      <c r="P56">
        <v>149</v>
      </c>
      <c r="Q56">
        <v>147</v>
      </c>
      <c r="R56">
        <v>132</v>
      </c>
      <c r="S56">
        <v>112</v>
      </c>
      <c r="T56">
        <v>86</v>
      </c>
      <c r="U56">
        <v>64</v>
      </c>
    </row>
    <row r="57" spans="7:22" x14ac:dyDescent="0.2">
      <c r="H57">
        <v>65</v>
      </c>
      <c r="I57">
        <v>47</v>
      </c>
      <c r="J57">
        <v>25</v>
      </c>
      <c r="K57">
        <v>50</v>
      </c>
      <c r="L57">
        <v>32</v>
      </c>
      <c r="M57">
        <v>72</v>
      </c>
      <c r="N57">
        <v>64</v>
      </c>
      <c r="O57">
        <v>97</v>
      </c>
      <c r="P57">
        <v>124</v>
      </c>
      <c r="Q57">
        <v>122</v>
      </c>
      <c r="R57">
        <v>146</v>
      </c>
      <c r="S57">
        <v>137</v>
      </c>
      <c r="T57">
        <v>111</v>
      </c>
      <c r="U57">
        <v>89</v>
      </c>
    </row>
    <row r="58" spans="7:22" x14ac:dyDescent="0.2">
      <c r="H58">
        <v>58</v>
      </c>
      <c r="I58">
        <v>40</v>
      </c>
      <c r="J58">
        <v>57</v>
      </c>
      <c r="K58">
        <v>32</v>
      </c>
      <c r="L58">
        <v>64</v>
      </c>
      <c r="M58">
        <v>40</v>
      </c>
      <c r="N58">
        <v>32</v>
      </c>
      <c r="O58">
        <v>65</v>
      </c>
      <c r="P58">
        <v>92</v>
      </c>
      <c r="Q58">
        <v>90</v>
      </c>
      <c r="R58">
        <v>114</v>
      </c>
      <c r="S58">
        <v>130</v>
      </c>
      <c r="T58">
        <v>104</v>
      </c>
      <c r="U58">
        <v>82</v>
      </c>
    </row>
    <row r="59" spans="7:22" x14ac:dyDescent="0.2">
      <c r="H59">
        <v>98</v>
      </c>
      <c r="I59">
        <v>80</v>
      </c>
      <c r="J59">
        <v>97</v>
      </c>
      <c r="K59">
        <v>72</v>
      </c>
      <c r="L59">
        <v>40</v>
      </c>
      <c r="M59">
        <v>70</v>
      </c>
      <c r="N59">
        <v>35</v>
      </c>
      <c r="O59">
        <v>68</v>
      </c>
      <c r="P59">
        <v>95</v>
      </c>
      <c r="Q59">
        <v>93</v>
      </c>
      <c r="R59">
        <v>117</v>
      </c>
      <c r="S59">
        <v>137</v>
      </c>
      <c r="T59">
        <v>144</v>
      </c>
      <c r="U59">
        <v>122</v>
      </c>
    </row>
    <row r="60" spans="7:22" x14ac:dyDescent="0.2">
      <c r="H60">
        <v>90</v>
      </c>
      <c r="I60">
        <v>72</v>
      </c>
      <c r="J60">
        <v>89</v>
      </c>
      <c r="K60">
        <v>64</v>
      </c>
      <c r="L60">
        <v>32</v>
      </c>
      <c r="M60">
        <v>35</v>
      </c>
      <c r="N60">
        <v>64</v>
      </c>
      <c r="O60">
        <v>33</v>
      </c>
      <c r="P60">
        <v>60</v>
      </c>
      <c r="Q60">
        <v>58</v>
      </c>
      <c r="R60">
        <v>82</v>
      </c>
      <c r="S60">
        <v>102</v>
      </c>
      <c r="T60">
        <v>128</v>
      </c>
      <c r="U60">
        <v>114</v>
      </c>
    </row>
    <row r="61" spans="7:22" x14ac:dyDescent="0.2">
      <c r="H61">
        <v>123</v>
      </c>
      <c r="I61">
        <v>105</v>
      </c>
      <c r="J61">
        <v>122</v>
      </c>
      <c r="K61">
        <v>97</v>
      </c>
      <c r="L61">
        <v>65</v>
      </c>
      <c r="M61">
        <v>68</v>
      </c>
      <c r="N61">
        <v>33</v>
      </c>
      <c r="O61">
        <v>50</v>
      </c>
      <c r="P61">
        <v>27</v>
      </c>
      <c r="Q61">
        <v>25</v>
      </c>
      <c r="R61">
        <v>49</v>
      </c>
      <c r="S61">
        <v>69</v>
      </c>
      <c r="T61">
        <v>95</v>
      </c>
      <c r="U61">
        <v>117</v>
      </c>
    </row>
    <row r="62" spans="7:22" x14ac:dyDescent="0.2">
      <c r="H62">
        <v>141</v>
      </c>
      <c r="I62">
        <v>132</v>
      </c>
      <c r="J62">
        <v>149</v>
      </c>
      <c r="K62">
        <v>124</v>
      </c>
      <c r="L62">
        <v>92</v>
      </c>
      <c r="M62">
        <v>95</v>
      </c>
      <c r="N62">
        <v>60</v>
      </c>
      <c r="O62">
        <v>27</v>
      </c>
      <c r="P62">
        <v>50</v>
      </c>
      <c r="Q62">
        <v>25</v>
      </c>
      <c r="R62">
        <v>49</v>
      </c>
      <c r="S62">
        <v>69</v>
      </c>
      <c r="T62">
        <v>95</v>
      </c>
      <c r="U62">
        <v>117</v>
      </c>
    </row>
    <row r="63" spans="7:22" x14ac:dyDescent="0.2">
      <c r="H63">
        <v>116</v>
      </c>
      <c r="I63">
        <v>130</v>
      </c>
      <c r="J63">
        <v>147</v>
      </c>
      <c r="K63">
        <v>122</v>
      </c>
      <c r="L63">
        <v>90</v>
      </c>
      <c r="M63">
        <v>93</v>
      </c>
      <c r="N63">
        <v>58</v>
      </c>
      <c r="O63">
        <v>25</v>
      </c>
      <c r="P63">
        <v>25</v>
      </c>
      <c r="Q63">
        <v>48</v>
      </c>
      <c r="R63">
        <v>24</v>
      </c>
      <c r="S63">
        <v>44</v>
      </c>
      <c r="T63">
        <v>70</v>
      </c>
      <c r="U63">
        <v>92</v>
      </c>
    </row>
    <row r="64" spans="7:22" x14ac:dyDescent="0.2">
      <c r="H64">
        <v>92</v>
      </c>
      <c r="I64">
        <v>110</v>
      </c>
      <c r="J64">
        <v>132</v>
      </c>
      <c r="K64">
        <v>146</v>
      </c>
      <c r="L64">
        <v>114</v>
      </c>
      <c r="M64">
        <v>117</v>
      </c>
      <c r="N64">
        <v>82</v>
      </c>
      <c r="O64">
        <v>49</v>
      </c>
      <c r="P64">
        <v>49</v>
      </c>
      <c r="Q64">
        <v>24</v>
      </c>
      <c r="R64">
        <v>40</v>
      </c>
      <c r="S64">
        <v>20</v>
      </c>
      <c r="T64">
        <v>46</v>
      </c>
      <c r="U64">
        <v>68</v>
      </c>
    </row>
    <row r="65" spans="8:21" x14ac:dyDescent="0.2">
      <c r="H65">
        <v>72</v>
      </c>
      <c r="I65">
        <v>90</v>
      </c>
      <c r="J65">
        <v>112</v>
      </c>
      <c r="K65">
        <v>137</v>
      </c>
      <c r="L65">
        <v>130</v>
      </c>
      <c r="M65">
        <v>137</v>
      </c>
      <c r="N65">
        <v>102</v>
      </c>
      <c r="O65">
        <v>69</v>
      </c>
      <c r="P65">
        <v>69</v>
      </c>
      <c r="Q65">
        <v>44</v>
      </c>
      <c r="R65">
        <v>20</v>
      </c>
      <c r="S65">
        <v>40</v>
      </c>
      <c r="T65">
        <v>26</v>
      </c>
      <c r="U65">
        <v>48</v>
      </c>
    </row>
    <row r="66" spans="8:21" x14ac:dyDescent="0.2">
      <c r="H66">
        <v>46</v>
      </c>
      <c r="I66">
        <v>64</v>
      </c>
      <c r="J66">
        <v>86</v>
      </c>
      <c r="K66">
        <v>111</v>
      </c>
      <c r="L66">
        <v>104</v>
      </c>
      <c r="M66">
        <v>144</v>
      </c>
      <c r="N66">
        <v>128</v>
      </c>
      <c r="O66">
        <v>95</v>
      </c>
      <c r="P66">
        <v>95</v>
      </c>
      <c r="Q66">
        <v>70</v>
      </c>
      <c r="R66">
        <v>46</v>
      </c>
      <c r="S66">
        <v>26</v>
      </c>
      <c r="T66">
        <v>44</v>
      </c>
      <c r="U66">
        <v>22</v>
      </c>
    </row>
    <row r="67" spans="8:21" x14ac:dyDescent="0.2">
      <c r="H67">
        <v>24</v>
      </c>
      <c r="I67">
        <v>42</v>
      </c>
      <c r="J67">
        <v>64</v>
      </c>
      <c r="K67">
        <v>89</v>
      </c>
      <c r="L67">
        <v>82</v>
      </c>
      <c r="M67">
        <v>122</v>
      </c>
      <c r="N67">
        <v>114</v>
      </c>
      <c r="O67">
        <v>117</v>
      </c>
      <c r="P67">
        <v>117</v>
      </c>
      <c r="Q67">
        <v>92</v>
      </c>
      <c r="R67">
        <v>68</v>
      </c>
      <c r="S67">
        <v>48</v>
      </c>
      <c r="T67">
        <v>22</v>
      </c>
      <c r="U67">
        <v>44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AE2D29-D4F2-DD47-B15E-F5FF719C36C2}">
  <sheetPr codeName="Sheet8"/>
  <dimension ref="C1:AE68"/>
  <sheetViews>
    <sheetView zoomScale="90" zoomScaleNormal="90" workbookViewId="0">
      <selection activeCell="AH15" sqref="AH15"/>
    </sheetView>
  </sheetViews>
  <sheetFormatPr baseColWidth="10" defaultColWidth="11.1640625" defaultRowHeight="68" customHeight="1" x14ac:dyDescent="0.2"/>
  <cols>
    <col min="3" max="3" width="11.1640625" customWidth="1"/>
  </cols>
  <sheetData>
    <row r="1" spans="3:31" ht="68" customHeight="1" x14ac:dyDescent="0.2">
      <c r="C1" s="15"/>
      <c r="E1" s="11"/>
      <c r="F1" s="11">
        <v>0</v>
      </c>
      <c r="G1" s="11">
        <v>1</v>
      </c>
      <c r="H1" s="11">
        <v>2</v>
      </c>
      <c r="I1" s="11">
        <v>3</v>
      </c>
      <c r="J1" s="11">
        <v>4</v>
      </c>
      <c r="K1" s="11">
        <v>5</v>
      </c>
      <c r="L1" s="11">
        <v>6</v>
      </c>
      <c r="M1" s="11">
        <v>7</v>
      </c>
      <c r="N1" s="11">
        <v>8</v>
      </c>
      <c r="O1" s="11">
        <v>9</v>
      </c>
      <c r="P1" s="11">
        <v>10</v>
      </c>
      <c r="Q1" s="11">
        <v>11</v>
      </c>
      <c r="R1" s="11">
        <v>12</v>
      </c>
      <c r="S1" s="11">
        <v>13</v>
      </c>
      <c r="T1" s="11">
        <v>14</v>
      </c>
      <c r="U1" s="11">
        <v>15</v>
      </c>
      <c r="V1" s="11">
        <v>16</v>
      </c>
      <c r="W1" s="11">
        <v>17</v>
      </c>
      <c r="X1" s="11">
        <v>18</v>
      </c>
      <c r="Y1" s="11">
        <v>19</v>
      </c>
      <c r="Z1" s="11">
        <v>20</v>
      </c>
      <c r="AA1" s="11">
        <v>21</v>
      </c>
      <c r="AB1" s="11">
        <v>22</v>
      </c>
      <c r="AC1" s="11">
        <v>23</v>
      </c>
      <c r="AD1" s="11">
        <v>24</v>
      </c>
      <c r="AE1" s="12"/>
    </row>
    <row r="2" spans="3:31" ht="68" customHeight="1" x14ac:dyDescent="0.2">
      <c r="E2" s="11">
        <v>0</v>
      </c>
      <c r="AE2" s="12"/>
    </row>
    <row r="3" spans="3:31" ht="68" customHeight="1" x14ac:dyDescent="0.2">
      <c r="E3" s="11">
        <v>1</v>
      </c>
      <c r="AE3" s="12"/>
    </row>
    <row r="4" spans="3:31" ht="68" customHeight="1" x14ac:dyDescent="0.2">
      <c r="E4" s="11">
        <v>2</v>
      </c>
      <c r="AE4" s="12"/>
    </row>
    <row r="5" spans="3:31" ht="68" customHeight="1" x14ac:dyDescent="0.2">
      <c r="E5" s="11">
        <v>3</v>
      </c>
      <c r="AE5" s="12"/>
    </row>
    <row r="6" spans="3:31" ht="68" customHeight="1" x14ac:dyDescent="0.2">
      <c r="E6" s="11">
        <v>4</v>
      </c>
      <c r="AE6" s="12"/>
    </row>
    <row r="7" spans="3:31" ht="68" customHeight="1" x14ac:dyDescent="0.2">
      <c r="E7" s="11">
        <v>5</v>
      </c>
      <c r="N7" s="13"/>
      <c r="AE7" s="12"/>
    </row>
    <row r="8" spans="3:31" ht="68" customHeight="1" x14ac:dyDescent="0.2">
      <c r="E8" s="11">
        <v>6</v>
      </c>
      <c r="AE8" s="12"/>
    </row>
    <row r="9" spans="3:31" ht="68" customHeight="1" x14ac:dyDescent="0.2">
      <c r="E9" s="11">
        <v>7</v>
      </c>
      <c r="AE9" s="12"/>
    </row>
    <row r="10" spans="3:31" ht="68" customHeight="1" x14ac:dyDescent="0.2">
      <c r="C10" t="s">
        <v>997</v>
      </c>
      <c r="E10" s="12"/>
      <c r="F10" s="12"/>
      <c r="G10" s="12"/>
      <c r="H10" s="12"/>
      <c r="I10" s="12"/>
      <c r="J10" s="12"/>
      <c r="K10" s="12"/>
      <c r="L10" s="12"/>
      <c r="M10" s="12"/>
      <c r="N10" s="12"/>
      <c r="O10" s="12"/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</row>
    <row r="11" spans="3:31" ht="68" customHeight="1" x14ac:dyDescent="0.2">
      <c r="C11" t="s">
        <v>998</v>
      </c>
    </row>
    <row r="14" spans="3:31" ht="69" customHeight="1" x14ac:dyDescent="0.2"/>
    <row r="15" spans="3:31" ht="34" customHeight="1" x14ac:dyDescent="0.2"/>
    <row r="16" spans="3:31" ht="22" customHeight="1" x14ac:dyDescent="0.25">
      <c r="F16" s="17" t="str" cm="1">
        <f t="array" aca="1" ref="F16" ca="1">_xlfn.CONCAT("uint8_t ", _xlfn.TEXTAFTER(CELL("filename",A1),"]"), "[] = {")</f>
        <v>uint8_t Level_00 (2)[] = {</v>
      </c>
    </row>
    <row r="17" spans="6:6" ht="22" customHeight="1" x14ac:dyDescent="0.25">
      <c r="F17" s="17" t="str">
        <f>_xlfn.CONCAT("{",_xlfn.TEXTJOIN(" ",FALSE,Hidden!F24:AD24),"},")</f>
        <v>{ 0, 0,  0, 0,  0, 0,  0, 0,  0, 0,  0, 0,  0, 0,  0, 0,  0, 0,  0, 0,  0, 0,  0, 0,  0, 0,  0, 0,  0, 0,  0, 0,  0, 0,  0, 0,  0, 0,  0, 0,  0, 0,  0, 0,  0, 0,  0, 0,  0, 0,},</v>
      </c>
    </row>
    <row r="18" spans="6:6" ht="22" customHeight="1" x14ac:dyDescent="0.25">
      <c r="F18" s="17" t="str">
        <f>_xlfn.CONCAT("{",_xlfn.TEXTJOIN(" ",FALSE,Hidden!F25:AD25),"},")</f>
        <v>{ 0, 0,  0, 0,  0, 0,  0, 0,  0, 0,  0, 0,  0, 0,  0, 0,  0, 0,  0, 0,  0, 0,  0, 0,  0, 0,  0, 0,  0, 0,  0, 0,  0, 0,  0, 0,  0, 0,  0, 0,  0, 0,  0, 0,  0, 0,  0, 0,  0, 0,},</v>
      </c>
    </row>
    <row r="19" spans="6:6" ht="22" customHeight="1" x14ac:dyDescent="0.25">
      <c r="F19" s="17" t="str">
        <f>_xlfn.CONCAT("{",_xlfn.TEXTJOIN(" ",FALSE,Hidden!F26:AD26),"},")</f>
        <v>{ 0, 0,  0, 0,  0, 0,  0, 0,  0, 0,  0, 0,  0, 0,  0, 0,  0, 0,  0, 0,  0, 0,  0, 0,  0, 0,  0, 0,  0, 0,  0, 0,  0, 0,  0, 0,  0, 0,  0, 0,  0, 0,  0, 0,  0, 0,  0, 0,  0, 0,},</v>
      </c>
    </row>
    <row r="20" spans="6:6" ht="22" customHeight="1" x14ac:dyDescent="0.25">
      <c r="F20" s="17" t="str">
        <f>_xlfn.CONCAT("{",_xlfn.TEXTJOIN(" ",FALSE,Hidden!F27:AD27),"},")</f>
        <v>{ 0, 0,  0, 0,  0, 0,  0, 0,  0, 0,  0, 0,  0, 0,  0, 0,  0, 0,  0, 0,  0, 0,  0, 0,  0, 0,  0, 0,  0, 0,  0, 0,  0, 0,  0, 0,  0, 0,  0, 0,  0, 0,  0, 0,  0, 0,  0, 0,  0, 0,},</v>
      </c>
    </row>
    <row r="21" spans="6:6" ht="22" customHeight="1" x14ac:dyDescent="0.25">
      <c r="F21" s="17" t="str">
        <f>_xlfn.CONCAT("{",_xlfn.TEXTJOIN(" ",FALSE,Hidden!F28:AD28),"},")</f>
        <v>{ 0, 0,  0, 0,  0, 0,  0, 0,  0, 0,  0, 0,  0, 0,  0, 0,  0, 0,  0, 0,  0, 0,  0, 0,  0, 0,  0, 0,  0, 0,  0, 0,  0, 0,  0, 0,  0, 0,  0, 0,  0, 0,  0, 0,  0, 0,  0, 0,  0, 0,},</v>
      </c>
    </row>
    <row r="22" spans="6:6" ht="22" customHeight="1" x14ac:dyDescent="0.25">
      <c r="F22" s="17" t="str">
        <f>_xlfn.CONCAT("{",_xlfn.TEXTJOIN(" ",FALSE,Hidden!F29:AD29),"},")</f>
        <v>{ 0, 0,  0, 0,  0, 0,  0, 0,  0, 0,  0, 0,  0, 0,  0, 0,  0, 0,  0, 0,  0, 0,  0, 0,  0, 0,  0, 0,  0, 0,  0, 0,  0, 0,  0, 0,  0, 0,  0, 0,  0, 0,  0, 0,  0, 0,  0, 0,  0, 0,},</v>
      </c>
    </row>
    <row r="23" spans="6:6" ht="22" customHeight="1" x14ac:dyDescent="0.25">
      <c r="F23" s="17" t="str">
        <f>_xlfn.CONCAT("{",_xlfn.TEXTJOIN(" ",FALSE,Hidden!F30:AD30),"},")</f>
        <v>{ 0, 0,  0, 0,  0, 0,  0, 0,  0, 0,  0, 0,  0, 0,  0, 0,  0, 0,  0, 0,  0, 0,  0, 0,  0, 0,  0, 0,  0, 0,  0, 0,  0, 0,  0, 0,  0, 0,  0, 0,  0, 0,  0, 0,  0, 0,  0, 0,  0, 0,},</v>
      </c>
    </row>
    <row r="24" spans="6:6" ht="22" customHeight="1" x14ac:dyDescent="0.25">
      <c r="F24" s="17" t="str">
        <f>_xlfn.CONCAT("{",_xlfn.TEXTJOIN(" ",FALSE,Hidden!F31:AD31),"},")</f>
        <v>{ 0, 0,  0, 0,  0, 0,  0, 0,  0, 0,  0, 0,  0, 0,  0, 0,  0, 0,  0, 0,  0, 0,  0, 0,  0, 0,  0, 0,  0, 0,  0, 0,  0, 0,  0, 0,  0, 0,  0, 0,  0, 0,  0, 0,  0, 0,  0, 0,  0, 0,},</v>
      </c>
    </row>
    <row r="25" spans="6:6" ht="22" customHeight="1" x14ac:dyDescent="0.25">
      <c r="F25" s="17" t="str">
        <f>_xlfn.CONCAT("{",_xlfn.TEXTJOIN(" ",FALSE,Hidden!F32:AD32),"},")</f>
        <v>{ 0, 0,  0, 0,  0, 0,  0, 0,  0, 0,  0, 0,  0, 0,  0, 0,  0, 0,  0, 0,  0, 0,  0, 0,  0, 0,  0, 0,  0, 0,  0, 0,  0, 0,  0, 0,  0, 0,  0, 0,  0, 0,  0, 0,  0, 0,  0, 0,  0, 0,},</v>
      </c>
    </row>
    <row r="26" spans="6:6" ht="22" customHeight="1" x14ac:dyDescent="0.25">
      <c r="F26" s="17" t="str">
        <f>_xlfn.CONCAT("{",_xlfn.TEXTJOIN(" ",FALSE,Hidden!F33:AD33),"},")</f>
        <v>{ 0, 0,  0, 0,  0, 0,  0, 0,  0, 0,  0, 0,  0, 0,  0, 0,  0, 0,  0, 0,  0, 0,  0, 0,  0, 0,  0, 0,  0, 0,  0, 0,  0, 0,  0, 0,  0, 0,  0, 0,  0, 0,  0, 0,  0, 0,  0, 0,  0, 0,},</v>
      </c>
    </row>
    <row r="27" spans="6:6" ht="22" customHeight="1" x14ac:dyDescent="0.25">
      <c r="F27" s="17" t="str">
        <f>_xlfn.CONCAT("{",_xlfn.TEXTJOIN(" ",FALSE,Hidden!F34:AD34),"},")</f>
        <v>{ 0, 0,  0, 0,  0, 0,  0, 0,  0, 0,  0, 0,  0, 0,  0, 0,  0, 0,  0, 0,  0, 0,  0, 0,  0, 0,  0, 0,  0, 0,  0, 0,  0, 0,  0, 0,  0, 0,  0, 0,  0, 0,  0, 0,  0, 0,  0, 0,  0, 0,},</v>
      </c>
    </row>
    <row r="28" spans="6:6" ht="22" customHeight="1" x14ac:dyDescent="0.25">
      <c r="F28" s="17" t="str">
        <f>_xlfn.CONCAT("{",_xlfn.TEXTJOIN(" ",FALSE,Hidden!F35:AD35),"},")</f>
        <v>{ 0, 0,  0, 0,  0, 0,  0, 0,  0, 0,  0, 0,  0, 0,  0, 0,  0, 0,  0, 0,  0, 0,  0, 0,  0, 0,  0, 0,  0, 0,  0, 0,  0, 0,  0, 0,  0, 0,  0, 0,  0, 0,  0, 0,  0, 0,  0, 0,  0, 0,},</v>
      </c>
    </row>
    <row r="29" spans="6:6" ht="22" customHeight="1" x14ac:dyDescent="0.25">
      <c r="F29" s="17" t="str">
        <f>_xlfn.CONCAT("{",_xlfn.TEXTJOIN(" ",FALSE,Hidden!F36:AD36),"},")</f>
        <v>{ 0, 0,  0, 0,  0, 0,  0, 0,  0, 0,  0, 0,  0, 0,  0, 0,  0, 0,  0, 0,  0, 0,  0, 0,  0, 0,  0, 0,  0, 0,  0, 0,  0, 0,  0, 0,  0, 0,  0, 0,  0, 0,  0, 0,  0, 0,  0, 0,  0, 0,},</v>
      </c>
    </row>
    <row r="30" spans="6:6" ht="22" customHeight="1" x14ac:dyDescent="0.25">
      <c r="F30" s="17" t="str">
        <f>_xlfn.CONCAT("{",_xlfn.TEXTJOIN(" ",FALSE,Hidden!F37:AD37),"},")</f>
        <v>{ 0, 0,  0, 0,  0, 0,  0, 0,  0, 0,  0, 0,  0, 0,  0, 0,  0, 0,  0, 0,  0, 0,  0, 0,  0, 0,  0, 0,  0, 0,  0, 0,  0, 0,  0, 0,  0, 0,  0, 0,  0, 0,  0, 0,  0, 0,  0, 0,  0, 0,},</v>
      </c>
    </row>
    <row r="31" spans="6:6" ht="22" customHeight="1" x14ac:dyDescent="0.25">
      <c r="F31" s="17" t="str">
        <f>_xlfn.CONCAT("{",_xlfn.TEXTJOIN(" ",FALSE,Hidden!F38:AD38),"},")</f>
        <v>{ 0, 0,  0, 0,  0, 0,  0, 0,  0, 0,  4, 5,  1, 1,  0, 0,  0, 0,  4, 5,  1, 1,  0, 0,  0, 0,  0, 0,  0, 0,  0, 0,  0, 0,  0, 0,  0, 0,  0, 0,  0, 0,  0, 0,  0, 0,  0, 0,  0, 0,},</v>
      </c>
    </row>
    <row r="32" spans="6:6" ht="22" customHeight="1" x14ac:dyDescent="0.25">
      <c r="F32" s="17" t="str">
        <f>_xlfn.CONCAT("{",_xlfn.TEXTJOIN(" ",FALSE,Hidden!F39:AD39),"},")</f>
        <v>{ 0, 0,  0, 0,  0, 0,  0, 0,  0, 0,  1, 2,  2, 2,  0, 0,  0, 0,  1, 2,  2, 2,  0, 0,  0, 0,  0, 0,  0, 0,  0, 0,  0, 0,  0, 0,  0, 0,  0, 0,  0, 0,  0, 0,  0, 0,  0, 0,  0, 0,},</v>
      </c>
    </row>
    <row r="33" spans="6:6" ht="22" customHeight="1" x14ac:dyDescent="0.25">
      <c r="F33" s="17" t="str">
        <f>"};"</f>
        <v>};</v>
      </c>
    </row>
    <row r="34" spans="6:6" ht="24" customHeight="1" x14ac:dyDescent="0.2"/>
    <row r="35" spans="6:6" ht="24" customHeight="1" x14ac:dyDescent="0.2"/>
    <row r="36" spans="6:6" ht="24" customHeight="1" x14ac:dyDescent="0.2"/>
    <row r="43" spans="6:6" ht="20" customHeight="1" x14ac:dyDescent="0.2"/>
    <row r="44" spans="6:6" ht="20" customHeight="1" x14ac:dyDescent="0.2"/>
    <row r="45" spans="6:6" ht="20" customHeight="1" x14ac:dyDescent="0.2"/>
    <row r="46" spans="6:6" ht="20" customHeight="1" x14ac:dyDescent="0.2"/>
    <row r="47" spans="6:6" ht="20" customHeight="1" x14ac:dyDescent="0.2"/>
    <row r="48" spans="6:6" ht="20" customHeight="1" x14ac:dyDescent="0.2"/>
    <row r="49" ht="20" customHeight="1" x14ac:dyDescent="0.2"/>
    <row r="50" ht="20" customHeight="1" x14ac:dyDescent="0.2"/>
    <row r="51" ht="20" customHeight="1" x14ac:dyDescent="0.2"/>
    <row r="52" ht="20" customHeight="1" x14ac:dyDescent="0.2"/>
    <row r="53" ht="20" customHeight="1" x14ac:dyDescent="0.2"/>
    <row r="54" ht="20" customHeight="1" x14ac:dyDescent="0.2"/>
    <row r="55" ht="20" customHeight="1" x14ac:dyDescent="0.2"/>
    <row r="56" ht="20" customHeight="1" x14ac:dyDescent="0.2"/>
    <row r="57" ht="20" customHeight="1" x14ac:dyDescent="0.2"/>
    <row r="58" ht="20" customHeight="1" x14ac:dyDescent="0.2"/>
    <row r="59" ht="20" customHeight="1" x14ac:dyDescent="0.2"/>
    <row r="60" ht="20" customHeight="1" x14ac:dyDescent="0.2"/>
    <row r="61" ht="42" customHeight="1" x14ac:dyDescent="0.2"/>
    <row r="62" ht="18" customHeight="1" x14ac:dyDescent="0.2"/>
    <row r="63" ht="18" customHeight="1" x14ac:dyDescent="0.2"/>
    <row r="64" ht="18" customHeight="1" x14ac:dyDescent="0.2"/>
    <row r="65" ht="18" customHeight="1" x14ac:dyDescent="0.2"/>
    <row r="66" ht="18" customHeight="1" x14ac:dyDescent="0.2"/>
    <row r="67" ht="18" customHeight="1" x14ac:dyDescent="0.2"/>
    <row r="68" ht="18" customHeight="1" x14ac:dyDescent="0.2"/>
  </sheetData>
  <pageMargins left="0.7" right="0.7" top="0.75" bottom="0.75" header="0.3" footer="0.3"/>
  <pageSetup paperSize="9" orientation="portrait" horizontalDpi="0" verticalDpi="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Hidden</vt:lpstr>
      <vt:lpstr>Stances</vt:lpstr>
      <vt:lpstr>Level_00</vt:lpstr>
      <vt:lpstr>Map</vt:lpstr>
      <vt:lpstr>Sheet2</vt:lpstr>
      <vt:lpstr>Level_00 (2)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Simon Holmes</dc:creator>
  <cp:lastModifiedBy>Simon Holmes</cp:lastModifiedBy>
  <dcterms:created xsi:type="dcterms:W3CDTF">2024-08-30T01:52:25Z</dcterms:created>
  <dcterms:modified xsi:type="dcterms:W3CDTF">2025-01-13T10:18:16Z</dcterms:modified>
</cp:coreProperties>
</file>