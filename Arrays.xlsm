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BF536556-53FD-3444-9281-3801807FAD55}" xr6:coauthVersionLast="47" xr6:coauthVersionMax="47" xr10:uidLastSave="{00000000-0000-0000-0000-000000000000}"/>
  <bookViews>
    <workbookView xWindow="40" yWindow="500" windowWidth="472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Level_00 (2)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0" i="8" l="1"/>
  <c r="F79" i="8"/>
  <c r="F78" i="8"/>
  <c r="F77" i="8"/>
  <c r="F51" i="8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A301" i="1" l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707" i="1" l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H276" i="1" l="1"/>
  <c r="H492" i="1" l="1"/>
  <c r="C1037" i="1" l="1"/>
  <c r="H553" i="1"/>
  <c r="H531" i="1"/>
  <c r="H740" i="1"/>
  <c r="H559" i="1"/>
  <c r="H626" i="1"/>
  <c r="H613" i="1"/>
  <c r="H533" i="1"/>
  <c r="H729" i="1"/>
  <c r="H660" i="1" l="1"/>
  <c r="H916" i="1" l="1"/>
  <c r="H912" i="1"/>
  <c r="H910" i="1"/>
  <c r="H925" i="1" l="1"/>
  <c r="C1042" i="1"/>
  <c r="H973" i="1"/>
  <c r="H982" i="1"/>
  <c r="H969" i="1"/>
  <c r="H96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<sst xmlns="http://schemas.openxmlformats.org/spreadsheetml/2006/main" count="1722" uniqueCount="1068">
  <si>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</si>
  <si>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</si>
  <si>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</si>
  <si>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</si>
  <si>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</si>
  <si>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</si>
  <si>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</si>
  <si>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</si>
  <si>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</si>
  <si>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</si>
  <si>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</si>
  <si>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</si>
  <si>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</si>
  <si>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</si>
  <si>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</si>
  <si>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</si>
  <si>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</si>
  <si>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</si>
  <si>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</si>
  <si>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</si>
  <si>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</si>
  <si>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</si>
  <si>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</si>
  <si>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</si>
  <si>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</si>
  <si>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</si>
  <si>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</si>
  <si>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</si>
  <si>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</si>
  <si>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</si>
  <si>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</si>
  <si>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</si>
  <si>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</si>
  <si>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</si>
  <si>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</si>
  <si>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</si>
  <si>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</si>
  <si>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</si>
  <si>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</si>
  <si>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</si>
  <si>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</si>
  <si>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</si>
  <si>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</si>
  <si>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</si>
  <si>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</si>
  <si>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</si>
  <si>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</si>
  <si>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</si>
  <si>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</si>
  <si>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</si>
  <si>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</si>
  <si>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</si>
  <si>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</si>
  <si>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</si>
  <si>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</si>
  <si>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</si>
  <si>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</si>
  <si>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</si>
  <si>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</si>
  <si>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</si>
  <si>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</si>
  <si>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</si>
  <si>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</si>
  <si>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</si>
  <si>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</si>
  <si>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</si>
  <si>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</si>
  <si>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</si>
  <si>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</si>
  <si>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</si>
  <si>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</si>
  <si>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</si>
  <si>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</si>
  <si>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</si>
  <si>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</si>
  <si>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</si>
  <si>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</si>
  <si>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</si>
  <si>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</si>
  <si>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</si>
  <si>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</si>
  <si>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</si>
  <si>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</si>
  <si>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</si>
  <si>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</si>
  <si>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</si>
  <si>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</si>
  <si>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</si>
  <si>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</si>
  <si>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</si>
  <si>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</si>
  <si>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</si>
  <si>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</si>
  <si>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</si>
  <si>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</si>
  <si>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</si>
  <si>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</si>
  <si>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</si>
  <si>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</si>
  <si>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</si>
  <si>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</si>
  <si>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</si>
  <si>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</si>
  <si>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</si>
  <si>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</si>
  <si>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</si>
  <si>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</si>
  <si>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</si>
  <si>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</si>
  <si>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</si>
  <si>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</si>
  <si>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</si>
  <si>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</si>
  <si>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</si>
  <si>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</si>
  <si>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</si>
  <si>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</si>
  <si>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</si>
  <si>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</si>
  <si>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</si>
  <si>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</si>
  <si>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</si>
  <si>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</si>
  <si>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</si>
  <si>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</si>
  <si>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</si>
  <si>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</si>
  <si>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</si>
  <si>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</si>
  <si>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</si>
  <si>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</si>
  <si>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</si>
  <si>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</si>
  <si>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</si>
  <si>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</si>
  <si>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</si>
  <si>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</si>
  <si>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</si>
  <si>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</si>
  <si>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</si>
  <si>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</si>
  <si>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</si>
  <si>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</si>
  <si>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</si>
  <si>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</si>
  <si>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</si>
  <si>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</si>
  <si>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</si>
  <si>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</si>
  <si>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</si>
  <si>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</si>
  <si>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</si>
  <si>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</si>
  <si>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</si>
  <si>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</si>
  <si>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</si>
  <si>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</si>
  <si>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</si>
  <si>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</si>
  <si>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</si>
  <si>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</si>
  <si>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</si>
  <si>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</si>
  <si>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</si>
  <si>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</si>
  <si>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</si>
  <si>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</si>
  <si>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</si>
  <si>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</si>
  <si>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</si>
  <si>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</si>
  <si>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</si>
  <si>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</si>
  <si>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</si>
  <si>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</si>
  <si>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</si>
  <si>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</si>
  <si>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</si>
  <si>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</si>
  <si>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</si>
  <si>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</si>
  <si>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</si>
  <si>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</si>
  <si>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</si>
  <si>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</si>
  <si>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</si>
  <si>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</si>
  <si>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</si>
  <si>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</si>
  <si>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</si>
  <si>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</si>
  <si>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</si>
  <si>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</si>
  <si>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</si>
  <si>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</si>
  <si>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</si>
  <si>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</si>
  <si>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</si>
  <si>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</si>
  <si>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</si>
  <si>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</si>
  <si>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</si>
  <si>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</si>
  <si>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</si>
  <si>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</si>
  <si>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</si>
  <si>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</si>
  <si>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</si>
  <si>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</si>
  <si>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</si>
  <si>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</si>
  <si>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</si>
  <si>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</si>
  <si>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</si>
  <si>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</si>
  <si>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</si>
  <si>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</si>
  <si>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</si>
  <si>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</si>
  <si>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</si>
  <si>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</si>
  <si>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</si>
  <si>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</si>
  <si>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</si>
  <si>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</si>
  <si>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</si>
  <si>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</si>
  <si>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</si>
  <si>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</si>
  <si>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</si>
  <si>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</si>
  <si>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</si>
  <si>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</si>
  <si>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</si>
  <si>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</si>
  <si>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</si>
  <si>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</si>
  <si>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</si>
  <si>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</si>
  <si>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</si>
  <si>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</si>
  <si>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</si>
  <si>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</si>
  <si>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</si>
  <si>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</si>
  <si>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</si>
  <si>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</si>
  <si>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</si>
  <si>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</si>
  <si>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</si>
  <si>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</si>
  <si>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</si>
  <si>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</si>
  <si>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</si>
  <si>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</si>
  <si>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</si>
  <si>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</si>
  <si>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</si>
  <si>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</si>
  <si>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</si>
  <si>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</si>
  <si>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</si>
  <si>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</si>
  <si>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</si>
  <si>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</si>
  <si>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</si>
  <si>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</si>
  <si>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</si>
  <si>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</si>
  <si>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</si>
  <si>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</si>
  <si>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</si>
  <si>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</si>
  <si>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</si>
  <si>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</si>
  <si>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</si>
  <si>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</si>
  <si>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</si>
  <si>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</si>
  <si>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</si>
  <si>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</si>
  <si>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</si>
  <si>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</si>
  <si>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</si>
  <si>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</si>
  <si>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</si>
  <si>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</si>
  <si>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</si>
  <si>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</si>
  <si>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</si>
  <si>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</si>
  <si>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</si>
  <si>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</si>
  <si>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</si>
  <si>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</si>
  <si>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</si>
  <si>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</si>
  <si>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</si>
  <si>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</si>
  <si>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</si>
  <si>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</si>
  <si>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</si>
  <si>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</si>
  <si>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</si>
  <si>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</si>
  <si>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</si>
  <si>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</si>
  <si>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</si>
  <si>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</si>
  <si>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</si>
  <si>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</si>
  <si>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</si>
  <si>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</si>
  <si>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</si>
  <si>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</si>
  <si>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</si>
  <si>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</si>
  <si>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</si>
  <si>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</si>
  <si>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</si>
  <si>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</si>
  <si>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</si>
  <si>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</si>
  <si>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</si>
  <si>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</si>
  <si>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</si>
  <si>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</si>
  <si>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</si>
  <si>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</si>
  <si>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</si>
  <si>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</si>
  <si>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</si>
  <si>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</si>
  <si>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</si>
  <si>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</si>
  <si>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</si>
  <si>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</si>
  <si>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</si>
  <si>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</si>
  <si>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</si>
  <si>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</si>
  <si>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</si>
  <si>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</si>
  <si>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</si>
  <si>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</si>
  <si>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</si>
  <si>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</si>
  <si>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</si>
  <si>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</si>
  <si>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</si>
  <si>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</si>
  <si>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</si>
  <si>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</si>
  <si>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</si>
  <si>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</si>
  <si>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</si>
  <si>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</si>
  <si>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</si>
  <si>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</si>
  <si>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</si>
  <si>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</si>
  <si>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</si>
  <si>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</si>
  <si>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</si>
  <si>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</si>
  <si>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</si>
  <si>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</si>
  <si>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</si>
  <si>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</si>
  <si>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</si>
  <si>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</si>
  <si>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</si>
  <si>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</si>
  <si>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</si>
  <si>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</si>
  <si>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</si>
  <si>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</si>
  <si>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</si>
  <si>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</si>
  <si>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</si>
  <si>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</si>
  <si>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</si>
  <si>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</si>
  <si>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</si>
  <si>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</si>
  <si>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</si>
  <si>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</si>
  <si>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</si>
  <si>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</si>
  <si>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</si>
  <si>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</si>
  <si>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</si>
  <si>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</si>
  <si>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</si>
  <si>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</si>
  <si>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</si>
  <si>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</si>
  <si>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</si>
  <si>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</si>
  <si>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</si>
  <si>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</si>
  <si>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</si>
  <si>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</si>
  <si>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</si>
  <si>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</si>
  <si>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</si>
  <si>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</si>
  <si>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</si>
  <si>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</si>
  <si>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</si>
  <si>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</si>
  <si>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</si>
  <si>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</si>
  <si>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</si>
  <si>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</si>
  <si>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</si>
  <si>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</si>
  <si>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</si>
  <si>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</si>
  <si>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</si>
  <si>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</si>
  <si>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</si>
  <si>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</si>
  <si>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</si>
  <si>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</si>
  <si>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</si>
  <si>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</si>
  <si>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</si>
  <si>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</si>
  <si>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</si>
  <si>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</si>
  <si>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</si>
  <si>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</si>
  <si>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</si>
  <si>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</si>
  <si>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</si>
  <si>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</si>
  <si>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</si>
  <si>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</si>
  <si>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</si>
  <si>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</si>
  <si>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</si>
  <si>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</si>
  <si>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</si>
  <si>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</si>
  <si>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</si>
  <si>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</si>
  <si>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</si>
  <si>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</si>
  <si>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</si>
  <si>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</si>
  <si>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</si>
  <si>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</si>
  <si>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</si>
  <si>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</si>
  <si>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</si>
  <si>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</si>
  <si>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</si>
  <si>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</si>
  <si>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</si>
  <si>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</si>
  <si>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</si>
  <si>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</si>
  <si>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</si>
  <si>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</si>
  <si>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</si>
  <si>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</si>
  <si>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</si>
  <si>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</si>
  <si>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</si>
  <si>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</si>
  <si>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</si>
  <si>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</si>
  <si>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</si>
  <si>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</si>
  <si>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</si>
  <si>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</si>
  <si>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</si>
  <si>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</si>
  <si>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</si>
  <si>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</si>
  <si>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</si>
  <si>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</si>
  <si>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</si>
  <si>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</si>
  <si>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</si>
  <si>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</si>
  <si>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</si>
  <si>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</si>
  <si>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</si>
  <si>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</si>
  <si>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</si>
  <si>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</si>
  <si>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</si>
  <si>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</si>
  <si>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</si>
  <si>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</si>
  <si>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</si>
  <si>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</si>
  <si>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</si>
  <si>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</si>
  <si>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</si>
  <si>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</si>
  <si>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</si>
  <si>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</si>
  <si>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</si>
  <si>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</si>
  <si>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</si>
  <si>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</si>
  <si>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</si>
  <si>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</si>
  <si>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</si>
  <si>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</si>
  <si>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</si>
  <si>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</si>
  <si>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</si>
  <si>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</si>
  <si>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</si>
  <si>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</si>
  <si>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</si>
  <si>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</si>
  <si>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</si>
  <si>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</si>
  <si>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</si>
  <si>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</si>
  <si>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</si>
  <si>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</si>
  <si>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</si>
  <si>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</si>
  <si>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</si>
  <si>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</si>
  <si>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</si>
  <si>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</si>
  <si>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</si>
  <si>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</si>
  <si>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</si>
  <si>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</si>
  <si>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</si>
  <si>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</si>
  <si>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</si>
  <si>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</si>
  <si>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</si>
  <si>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</si>
  <si>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</si>
  <si>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</si>
  <si>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</si>
  <si>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</si>
  <si>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</si>
  <si>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</si>
  <si>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</si>
  <si>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</si>
  <si>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</si>
  <si>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</si>
  <si>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</si>
  <si>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</si>
  <si>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</si>
  <si>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</si>
  <si>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</si>
  <si>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</si>
  <si>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</si>
  <si>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</si>
  <si>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</si>
  <si>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</si>
  <si>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</si>
  <si>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</si>
  <si>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</si>
  <si>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</si>
  <si>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</si>
  <si>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</si>
  <si>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</si>
  <si>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</si>
  <si>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</si>
  <si>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</si>
  <si>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</si>
  <si>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</si>
  <si>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</si>
  <si>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</si>
  <si>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</si>
  <si>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</si>
  <si>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</si>
  <si>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</si>
  <si>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</si>
  <si>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</si>
  <si>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</si>
  <si>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</si>
  <si>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</si>
  <si>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</si>
  <si>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</si>
  <si>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</si>
  <si>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</si>
  <si>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</si>
  <si>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</si>
  <si>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</si>
  <si>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</si>
  <si>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</si>
  <si>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</si>
  <si>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</si>
  <si>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</si>
  <si>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</si>
  <si>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</si>
  <si>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</si>
  <si>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</si>
  <si>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</si>
  <si>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</si>
  <si>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</si>
  <si>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</si>
  <si>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</si>
  <si>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</si>
  <si>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</si>
  <si>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</si>
  <si>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</si>
  <si>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</si>
  <si>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</si>
  <si>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</si>
  <si>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</si>
  <si>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</si>
  <si>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</si>
  <si>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</si>
  <si>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</si>
  <si>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</si>
  <si>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</si>
  <si>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</si>
  <si>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</si>
  <si>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</si>
  <si>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</si>
  <si>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</si>
  <si>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</si>
  <si>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</si>
  <si>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</si>
  <si>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</si>
  <si>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</si>
  <si>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</si>
  <si>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</si>
  <si>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</si>
  <si>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</si>
  <si>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</si>
  <si>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</si>
  <si>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</si>
  <si>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</si>
  <si>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</si>
  <si>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</si>
  <si>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</si>
  <si>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</si>
  <si>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</si>
  <si>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</si>
  <si>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</si>
  <si>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</si>
  <si>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</si>
  <si>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</si>
  <si>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</si>
  <si>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</si>
  <si>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</si>
  <si>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</si>
  <si>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</si>
  <si>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</si>
  <si>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</si>
  <si>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</si>
  <si>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</si>
  <si>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</si>
  <si>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</si>
  <si>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</si>
  <si>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</si>
  <si>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</si>
  <si>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</si>
  <si>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</si>
  <si>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</si>
  <si>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</si>
  <si>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</si>
  <si>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</si>
  <si>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</si>
  <si>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</si>
  <si>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</si>
  <si>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</si>
  <si>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</si>
  <si>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</si>
  <si>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</si>
  <si>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</si>
  <si>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</si>
  <si>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</si>
  <si>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</si>
  <si>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</si>
  <si>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</si>
  <si>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</si>
  <si>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</si>
  <si>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</si>
  <si>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</si>
  <si>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</si>
  <si>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</si>
  <si>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</si>
  <si>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</si>
  <si>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</si>
  <si>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</si>
  <si>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</si>
  <si>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</si>
  <si>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</si>
  <si>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</si>
  <si>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</si>
  <si>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</si>
  <si>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</si>
  <si>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</si>
  <si>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</si>
  <si>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</si>
  <si>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</si>
  <si>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</si>
  <si>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</si>
  <si>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</si>
  <si>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</si>
  <si>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</si>
  <si>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</si>
  <si>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</si>
  <si>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</si>
  <si>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</si>
  <si>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</si>
  <si>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</si>
  <si>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</si>
  <si>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</si>
  <si>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</si>
  <si>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</si>
  <si>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</si>
  <si>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</si>
  <si>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</si>
  <si>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</si>
  <si>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</si>
  <si>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</si>
  <si>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</si>
  <si>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</si>
  <si>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</si>
  <si>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</si>
  <si>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</si>
  <si>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</si>
  <si>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</si>
  <si>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</si>
  <si>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</si>
  <si>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</si>
  <si>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</si>
  <si>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</si>
  <si>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</si>
  <si>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</si>
  <si>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</si>
  <si>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</si>
  <si>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</si>
  <si>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</si>
  <si>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</si>
  <si>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</si>
  <si>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</si>
  <si>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</si>
  <si>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</si>
  <si>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</si>
  <si>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</si>
  <si>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</si>
  <si>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</si>
  <si>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</si>
  <si>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</si>
  <si>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</si>
  <si>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</si>
  <si>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</si>
  <si>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</si>
  <si>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</si>
  <si>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</si>
  <si>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</si>
  <si>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</si>
  <si>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</si>
  <si>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</si>
  <si>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</si>
  <si>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</si>
  <si>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</si>
  <si>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</si>
  <si>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</si>
  <si>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</si>
  <si>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</si>
  <si>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</si>
  <si>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</si>
  <si>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</si>
  <si>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</si>
  <si>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</si>
  <si>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</si>
  <si>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</si>
  <si>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</si>
  <si>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</si>
  <si>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</si>
  <si>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</si>
  <si>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</si>
  <si>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</si>
  <si>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</si>
  <si>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</si>
  <si>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</si>
  <si>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</si>
  <si>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</si>
  <si>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</si>
  <si>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</si>
  <si>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</si>
  <si>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</si>
  <si>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</si>
  <si>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</si>
  <si>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</si>
  <si>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</si>
  <si>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</si>
  <si>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</si>
  <si>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</si>
  <si>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</si>
  <si>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</si>
  <si>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</si>
  <si>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</si>
  <si>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</si>
  <si>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</si>
  <si>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</si>
  <si>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</si>
  <si>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</si>
  <si>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</si>
  <si>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</si>
  <si>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</si>
  <si>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</si>
  <si>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</si>
  <si>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</si>
  <si>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</si>
  <si>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</si>
  <si>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</si>
  <si>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</si>
  <si>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</si>
  <si>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</si>
  <si>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</si>
  <si>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</si>
  <si>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</si>
  <si>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</si>
  <si>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</si>
  <si>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</si>
  <si>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</si>
  <si>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</si>
  <si>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</si>
  <si>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</si>
  <si>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</si>
  <si>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</si>
  <si>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</si>
  <si>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</si>
  <si>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</si>
  <si>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</si>
  <si>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</si>
  <si>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</si>
  <si>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</si>
  <si>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</si>
  <si>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</si>
  <si>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</si>
  <si>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</si>
  <si>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</si>
  <si>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</si>
  <si>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</si>
  <si>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</si>
  <si>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</si>
  <si>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</si>
  <si>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</si>
  <si>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</si>
  <si>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</si>
  <si>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</si>
  <si>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</si>
  <si>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</si>
  <si>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</si>
  <si>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</si>
  <si>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</si>
  <si>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</si>
  <si>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</si>
  <si>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</si>
  <si>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</si>
  <si>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</si>
  <si>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</si>
  <si>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</si>
  <si>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</si>
  <si>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</si>
  <si>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</si>
  <si>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</si>
  <si>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</si>
  <si>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</si>
  <si>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</si>
  <si>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</si>
  <si>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</si>
  <si>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</si>
  <si>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</si>
  <si>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</si>
  <si>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</si>
  <si>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</si>
  <si>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</si>
  <si>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</si>
  <si>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</si>
  <si>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</si>
  <si>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</si>
  <si>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</si>
  <si>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</si>
  <si>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</si>
  <si>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</si>
  <si>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</si>
  <si>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</si>
  <si>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</si>
  <si>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</si>
  <si>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</si>
  <si>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</si>
  <si>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</si>
  <si>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</si>
  <si>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</si>
  <si>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</si>
  <si>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</si>
  <si>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</si>
  <si>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</si>
  <si>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</si>
  <si>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</si>
  <si>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</si>
  <si>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</si>
  <si>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</si>
  <si>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</si>
  <si>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</si>
  <si>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</si>
  <si>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</si>
  <si>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</si>
  <si>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</si>
  <si>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</si>
  <si>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</si>
  <si>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</si>
  <si>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</si>
  <si>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</si>
  <si>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</si>
  <si>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</si>
  <si>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</si>
  <si>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</si>
  <si>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</si>
  <si>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</si>
  <si>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</si>
  <si>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</si>
  <si>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</si>
  <si>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</si>
  <si>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</si>
  <si>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</si>
  <si>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</si>
  <si>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</si>
  <si>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</si>
  <si>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</si>
  <si>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</si>
  <si>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</si>
  <si>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</si>
  <si>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</si>
  <si>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</si>
  <si>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</si>
  <si>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</si>
  <si>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</si>
  <si>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</si>
  <si>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</si>
  <si>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</si>
  <si>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</si>
  <si>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</si>
  <si>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</si>
  <si>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</si>
  <si>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</si>
  <si>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</si>
  <si>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</si>
  <si>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</si>
  <si>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</si>
  <si>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</si>
  <si>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</si>
  <si>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</si>
  <si>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</si>
  <si>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</si>
  <si>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</si>
  <si>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</si>
  <si>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</si>
  <si>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</si>
  <si>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</si>
  <si>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</si>
  <si>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</si>
  <si>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</si>
  <si>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</si>
  <si>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</si>
  <si>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</si>
  <si>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</si>
  <si>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</si>
  <si>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</si>
  <si>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</si>
  <si>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</si>
  <si>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</si>
  <si>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</si>
  <si>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</si>
  <si>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</si>
  <si>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</si>
  <si>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</si>
  <si>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</si>
  <si>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</si>
  <si>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</si>
  <si>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</si>
  <si>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</si>
  <si>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</si>
  <si>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</si>
  <si>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</si>
  <si>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</si>
  <si>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</si>
  <si>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</si>
  <si>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</si>
  <si>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</si>
  <si>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</si>
  <si>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</si>
  <si>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</si>
  <si>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</si>
  <si>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</si>
  <si>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</si>
  <si>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</si>
  <si>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</si>
  <si>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</si>
  <si>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</si>
  <si>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</si>
  <si>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</si>
  <si>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</si>
  <si>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</si>
  <si>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</si>
  <si>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</si>
  <si>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</si>
  <si>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</si>
  <si>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</si>
  <si>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</si>
  <si>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</si>
  <si>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</si>
  <si>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</si>
  <si>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</si>
  <si>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</si>
  <si>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</si>
  <si>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</si>
  <si>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</si>
  <si>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</si>
  <si>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</si>
  <si>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</si>
  <si>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</si>
  <si>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</si>
  <si>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</si>
  <si>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</si>
  <si>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</si>
  <si>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</si>
  <si>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</si>
  <si>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</si>
  <si>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</si>
  <si>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</si>
  <si>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</si>
  <si>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</si>
  <si>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</si>
  <si>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</si>
  <si>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</si>
  <si>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</si>
  <si>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</si>
  <si>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</si>
  <si>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</si>
  <si>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</si>
  <si>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</si>
  <si>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</si>
  <si>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</si>
  <si>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</si>
  <si>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</si>
  <si>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</si>
  <si>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</si>
  <si>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</si>
  <si>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</si>
  <si>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</si>
  <si>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59,                             // ItemType::Puff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</si>
  <si>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</si>
  <si>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</si>
  <si>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</si>
  <si>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</si>
  <si>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</si>
  <si>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</si>
  <si>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0,                             // Frame</t>
  </si>
  <si>
    <t>Pos X</t>
  </si>
  <si>
    <t>PosY</t>
  </si>
  <si>
    <t>Stance</t>
  </si>
  <si>
    <t>107 Stance::Man_Walk_RH_00
479 Man_Walk_LH_00</t>
  </si>
  <si>
    <t>26,                             // ItemType::Sword</t>
  </si>
  <si>
    <t>48,                             // Position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</si>
</sst>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67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71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70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68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72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69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42334</xdr:colOff>
      <xdr:row>8</xdr:row>
      <xdr:rowOff>42333</xdr:rowOff>
    </xdr:from>
    <xdr:to>
      <xdr:col>15</xdr:col>
      <xdr:colOff>832557</xdr:colOff>
      <xdr:row>8</xdr:row>
      <xdr:rowOff>832556</xdr:rowOff>
    </xdr:to>
    <xdr:pic>
      <xdr:nvPicPr>
        <xdr:cNvPr id="49" name="Picture 48" descr="Enemy:SwordFighter_LH,Pos:1">
          <a:extLst>
            <a:ext uri="{FF2B5EF4-FFF2-40B4-BE49-F238E27FC236}">
              <a16:creationId xmlns:a16="http://schemas.microsoft.com/office/drawing/2014/main" id="{6A1154E0-CACE-0F4C-9BE8-7D0433A24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742334" y="692855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8</xdr:col>
      <xdr:colOff>28222</xdr:colOff>
      <xdr:row>8</xdr:row>
      <xdr:rowOff>28222</xdr:rowOff>
    </xdr:from>
    <xdr:to>
      <xdr:col>8</xdr:col>
      <xdr:colOff>824858</xdr:colOff>
      <xdr:row>8</xdr:row>
      <xdr:rowOff>836404</xdr:rowOff>
    </xdr:to>
    <xdr:pic>
      <xdr:nvPicPr>
        <xdr:cNvPr id="53" name="Picture 52" descr="Item:Sword,Pos:1">
          <a:extLst>
            <a:ext uri="{FF2B5EF4-FFF2-40B4-BE49-F238E27FC236}">
              <a16:creationId xmlns:a16="http://schemas.microsoft.com/office/drawing/2014/main" id="{852B3305-7544-7C42-809D-8F777C29E3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1555" y="6914444"/>
          <a:ext cx="796636" cy="8081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1003</v>
      </c>
      <c r="L20" s="16" t="s">
        <v>1003</v>
      </c>
      <c r="M20" s="16" t="s">
        <v>1003</v>
      </c>
      <c r="N20" s="16" t="s">
        <v>1003</v>
      </c>
      <c r="O20" s="16" t="s">
        <v>1003</v>
      </c>
      <c r="P20" s="16" t="s">
        <v>1003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1002</v>
      </c>
      <c r="L38" t="s">
        <v>1002</v>
      </c>
      <c r="M38" t="s">
        <v>1002</v>
      </c>
      <c r="N38" t="s">
        <v>1002</v>
      </c>
      <c r="O38" t="s">
        <v>1002</v>
      </c>
      <c r="P38" t="s">
        <v>1002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1002</v>
      </c>
      <c r="L39" t="s">
        <v>1002</v>
      </c>
      <c r="M39" t="s">
        <v>1002</v>
      </c>
      <c r="N39" t="s">
        <v>1002</v>
      </c>
      <c r="O39" t="s">
        <v>1002</v>
      </c>
      <c r="P39" t="s">
        <v>1002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911" workbookViewId="0">
      <pane ySplit="18420" topLeftCell="A1027" activePane="bottomLeft"/>
      <selection activeCell="J932" sqref="J932:L947"/>
      <selection pane="bottomLeft" activeCell="C1037" sqref="C1037:C1042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6" zoomScale="90" zoomScaleNormal="90" workbookViewId="0">
      <selection activeCell="N36" sqref="N3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1062</v>
      </c>
      <c r="F11">
        <v>0</v>
      </c>
      <c r="G11" t="s">
        <v>1063</v>
      </c>
      <c r="H11">
        <v>0</v>
      </c>
      <c r="I11" t="s">
        <v>1064</v>
      </c>
      <c r="J11">
        <v>107</v>
      </c>
      <c r="L11" s="19" t="s">
        <v>1065</v>
      </c>
      <c r="M11" s="19"/>
      <c r="N11" s="19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0, 0,  0, 0,  0, 0,  0, 0,  0, 0,  0, 0,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0, 0,  0, 0,  0, 0,  0, 0,  0, 0,  0, 0,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1066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1067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1056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1061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1054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1055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1056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1057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 t="s">
        <v>1051</v>
      </c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/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tr">
        <f ca="1">_xlfn.CONCAT("uint16_t ", _xlfn.TEXTAFTER(CELL("filename"),"]"), "_Enemies[] = {")</f>
        <v>uint16_t Level_00_Enemies[] = {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1058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1055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1056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1059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 t="s">
        <v>1060</v>
      </c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1058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1059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1060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1058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1055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1056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1059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1060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1058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1055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1056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1059</v>
      </c>
    </row>
    <row r="74" spans="6:15" ht="18" customHeight="1" x14ac:dyDescent="0.25">
      <c r="F74" s="17" t="s">
        <v>1060</v>
      </c>
    </row>
    <row r="75" spans="6:15" ht="18" customHeight="1" x14ac:dyDescent="0.25">
      <c r="F75" s="18" t="s">
        <v>1051</v>
      </c>
    </row>
    <row r="76" spans="6:15" ht="18" customHeight="1" x14ac:dyDescent="0.25">
      <c r="F76" s="18"/>
    </row>
    <row r="77" spans="6:15" ht="18" customHeight="1" x14ac:dyDescent="0.25">
      <c r="F77" s="17" t="str">
        <f ca="1">_xlfn.CONCAT("uint16_t ", _xlfn.TEXTAFTER(CELL("filename"),"]"), "_PlayerStart[] = {")</f>
        <v>uint16_t Level_00_PlayerStart[] = {</v>
      </c>
    </row>
    <row r="78" spans="6:15" ht="18" customHeight="1" x14ac:dyDescent="0.25">
      <c r="F78" s="17" t="str">
        <f>_xlfn.CONCAT($F$11, ",")</f>
        <v>0,</v>
      </c>
    </row>
    <row r="79" spans="6:15" ht="18" customHeight="1" x14ac:dyDescent="0.25">
      <c r="F79" s="17" t="str">
        <f>_xlfn.CONCAT($H$11, ",")</f>
        <v>0,</v>
      </c>
    </row>
    <row r="80" spans="6:15" ht="18" customHeight="1" x14ac:dyDescent="0.25">
      <c r="F80" s="17" t="str">
        <f>_xlfn.CONCAT($J$11, ",")</f>
        <v>107,</v>
      </c>
    </row>
    <row r="81" spans="6:6" ht="18" customHeight="1" x14ac:dyDescent="0.25">
      <c r="F81" s="17" t="s">
        <v>1051</v>
      </c>
    </row>
    <row r="82" spans="6:6" ht="18" customHeight="1" x14ac:dyDescent="0.25">
      <c r="F82" s="17"/>
    </row>
    <row r="83" spans="6:6" ht="18" customHeight="1" x14ac:dyDescent="0.25">
      <c r="F83" s="17"/>
    </row>
    <row r="84" spans="6:6" ht="18" customHeight="1" x14ac:dyDescent="0.25">
      <c r="F84" s="17"/>
    </row>
    <row r="85" spans="6:6" ht="18" customHeight="1" x14ac:dyDescent="0.25">
      <c r="F85" s="17"/>
    </row>
    <row r="86" spans="6:6" ht="18" customHeight="1" x14ac:dyDescent="0.25">
      <c r="F86" s="17"/>
    </row>
    <row r="87" spans="6:6" ht="18" customHeight="1" x14ac:dyDescent="0.25">
      <c r="F87" s="17"/>
    </row>
    <row r="88" spans="6:6" ht="18" customHeight="1" x14ac:dyDescent="0.25">
      <c r="F88" s="17"/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0, 0,  0, 0,  0, 0,  0, 0,  0, 0,  0, 0,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0, 0,  0, 0,  0, 0,  0, 0,  0, 0,  0, 0,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Hidden</vt:lpstr>
      <vt:lpstr>Stances</vt:lpstr>
      <vt:lpstr>Level_00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2025-01-05T06:20:57Z</dcterms:modified>
</cp:coreProperties>
</file>