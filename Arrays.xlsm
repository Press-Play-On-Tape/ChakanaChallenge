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A5945268-454B-E84A-ABDA-574BDD2A724E}" xr6:coauthVersionLast="47" xr6:coauthVersionMax="47" xr10:uidLastSave="{00000000-0000-0000-0000-000000000000}"/>
  <bookViews>
    <workbookView xWindow="26120" yWindow="500" windowWidth="30000" windowHeight="30420" activeTab="3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52" i="10" l="1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80" i="8"/>
  <c r="F79" i="8"/>
  <c r="F78" i="8"/>
  <c r="F77" i="8"/>
  <c r="F51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Q27" i="10" l="1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C1042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<sst xmlns="http://schemas.openxmlformats.org/spreadsheetml/2006/main" count="1773" uniqueCount="1114">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</sst>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0" borderId="0" xfId="0" quotePrefix="1" applyAlignment="1">
      <alignment wrapText="1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90" zoomScaleNormal="90" workbookViewId="0">
      <selection activeCell="F16" sqref="F16:F8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19" t="s">
        <v>1064</v>
      </c>
      <c r="M11" s="19"/>
      <c r="N11" s="19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Map_Items[]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1065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Map_Enemies[]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1054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1055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1058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1059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1058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1059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1057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1058</v>
      </c>
    </row>
    <row r="74" spans="6:15" ht="18" customHeight="1" x14ac:dyDescent="0.25">
      <c r="F74" s="17" t="s">
        <v>1059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 t="str">
        <f ca="1">_xlfn.CONCAT("uint16_t ", _xlfn.TEXTAFTER(CELL("filename"),"]"), "_PlayerStart[] = {")</f>
        <v>uint16_t Map_PlayerStart[] = {</v>
      </c>
    </row>
    <row r="78" spans="6:15" ht="18" customHeight="1" x14ac:dyDescent="0.25">
      <c r="F78" s="17" t="str">
        <f>_xlfn.CONCAT($F$11, ",")</f>
        <v>0,</v>
      </c>
    </row>
    <row r="79" spans="6:15" ht="18" customHeight="1" x14ac:dyDescent="0.25">
      <c r="F79" s="17" t="str">
        <f>_xlfn.CONCAT($H$11, ",")</f>
        <v>0,</v>
      </c>
    </row>
    <row r="80" spans="6:15" ht="18" customHeight="1" x14ac:dyDescent="0.25">
      <c r="F80" s="17" t="str">
        <f>_xlfn.CONCAT($J$11, ",")</f>
        <v>107,</v>
      </c>
    </row>
    <row r="81" spans="6:6" ht="18" customHeight="1" x14ac:dyDescent="0.25">
      <c r="F81" s="17" t="s">
        <v>1051</v>
      </c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88"/>
  <sheetViews>
    <sheetView tabSelected="1" topLeftCell="O17" workbookViewId="0">
      <selection activeCell="AE74" sqref="AE74:AE88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13" si="0">(MOD(B2,256)*256) + INT(B2/256)</f>
        <v>256</v>
      </c>
      <c r="G2">
        <f t="shared" ref="G2:G13" si="1">(MOD(C2,256)*256) + INT(C2/256)</f>
        <v>11264</v>
      </c>
      <c r="H2">
        <f t="shared" ref="H2:H13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14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20">
        <v>0</v>
      </c>
      <c r="P18" s="21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20">
        <v>0</v>
      </c>
      <c r="Q19" s="21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20">
        <v>0</v>
      </c>
      <c r="R20" s="21">
        <v>18</v>
      </c>
      <c r="S20">
        <f>R20+S21</f>
        <v>38</v>
      </c>
      <c r="T20" s="22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20">
        <v>0</v>
      </c>
      <c r="S21" s="21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20">
        <v>0</v>
      </c>
      <c r="T22" s="21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2">
        <f>T20</f>
        <v>26</v>
      </c>
      <c r="R23">
        <f>R22+S23</f>
        <v>44</v>
      </c>
      <c r="S23">
        <f>T22</f>
        <v>24</v>
      </c>
      <c r="T23" s="20">
        <v>0</v>
      </c>
      <c r="U23" s="21">
        <v>22</v>
      </c>
      <c r="V23" s="22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20">
        <v>0</v>
      </c>
      <c r="V24" s="21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2">
        <f>V23</f>
        <v>16</v>
      </c>
      <c r="U25">
        <f>V24</f>
        <v>22</v>
      </c>
      <c r="V25" s="20">
        <v>0</v>
      </c>
      <c r="W25" s="21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20">
        <v>0</v>
      </c>
      <c r="X26" s="21">
        <v>16</v>
      </c>
      <c r="Y26" s="22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20">
        <v>0</v>
      </c>
      <c r="Y27" s="21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2">
        <f>Y26</f>
        <v>14</v>
      </c>
      <c r="X28">
        <f>Y27</f>
        <v>14</v>
      </c>
      <c r="Y28" s="20">
        <v>0</v>
      </c>
      <c r="Z28" s="21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20">
        <v>0</v>
      </c>
      <c r="AA29" s="21">
        <v>19</v>
      </c>
      <c r="AB29" s="22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20">
        <v>0</v>
      </c>
      <c r="AB30" s="21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2">
        <f>AB29</f>
        <v>16</v>
      </c>
      <c r="AA31">
        <f>AB30</f>
        <v>18</v>
      </c>
      <c r="AB31" s="20">
        <v>0</v>
      </c>
      <c r="AC31" s="21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20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20">
        <f>AF38*$AV$38</f>
        <v>0</v>
      </c>
      <c r="P38" s="23">
        <f>AG38*$AV$38</f>
        <v>18</v>
      </c>
      <c r="Q38">
        <f t="shared" ref="Q38:Q52" si="13">AH38*$AV$38</f>
        <v>36</v>
      </c>
      <c r="R38">
        <f t="shared" ref="R38:R52" si="14">AI38*$AV$38</f>
        <v>54</v>
      </c>
      <c r="S38">
        <f t="shared" ref="S38:S52" si="15">AJ38*$AV$38</f>
        <v>72</v>
      </c>
      <c r="T38">
        <f t="shared" ref="T38:T52" si="16">AK38*$AV$38</f>
        <v>90</v>
      </c>
      <c r="U38">
        <f t="shared" ref="U38:U52" si="17">AL38*$AV$38</f>
        <v>108</v>
      </c>
      <c r="V38">
        <f t="shared" ref="V38:V52" si="18">AM38*$AV$38</f>
        <v>126</v>
      </c>
      <c r="W38">
        <f t="shared" ref="W38:W52" si="19">AN38*$AV$38</f>
        <v>126</v>
      </c>
      <c r="X38">
        <f t="shared" ref="X38:X52" si="20">AO38*$AV$38</f>
        <v>108</v>
      </c>
      <c r="Y38">
        <f t="shared" ref="Y38:Y52" si="21">AP38*$AV$38</f>
        <v>90</v>
      </c>
      <c r="Z38">
        <f t="shared" ref="Z38:Z52" si="22">AQ38*$AV$38</f>
        <v>72</v>
      </c>
      <c r="AA38">
        <f t="shared" ref="AA38:AA52" si="23">AR38*$AV$38</f>
        <v>54</v>
      </c>
      <c r="AB38">
        <f t="shared" ref="AB38:AB52" si="24">AS38*$AV$38</f>
        <v>36</v>
      </c>
      <c r="AC38">
        <f t="shared" ref="AC38:AC52" si="25">AT38*$AV$38</f>
        <v>18</v>
      </c>
      <c r="AE38" t="s">
        <v>1078</v>
      </c>
      <c r="AF38" s="20">
        <v>0</v>
      </c>
      <c r="AG38" s="23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20">
        <v>0</v>
      </c>
      <c r="Q39" s="23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20">
        <v>0</v>
      </c>
      <c r="AH39" s="23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20">
        <f t="shared" si="13"/>
        <v>0</v>
      </c>
      <c r="R40" s="23">
        <f t="shared" si="14"/>
        <v>18</v>
      </c>
      <c r="S40">
        <f t="shared" si="15"/>
        <v>36</v>
      </c>
      <c r="T40" s="23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20">
        <v>0</v>
      </c>
      <c r="AI40" s="23">
        <v>1</v>
      </c>
      <c r="AJ40">
        <v>2</v>
      </c>
      <c r="AK40" s="23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20">
        <f t="shared" si="14"/>
        <v>0</v>
      </c>
      <c r="S41" s="23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20">
        <v>0</v>
      </c>
      <c r="AJ41" s="23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20">
        <f t="shared" si="15"/>
        <v>0</v>
      </c>
      <c r="T42" s="23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20">
        <v>0</v>
      </c>
      <c r="AK42" s="23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Q43" s="23"/>
      <c r="T43" s="20">
        <f t="shared" si="16"/>
        <v>0</v>
      </c>
      <c r="U43" s="23">
        <f t="shared" si="17"/>
        <v>18</v>
      </c>
      <c r="V43" s="2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 s="23">
        <v>0</v>
      </c>
      <c r="AI43">
        <v>0</v>
      </c>
      <c r="AJ43">
        <v>0</v>
      </c>
      <c r="AK43" s="20">
        <v>0</v>
      </c>
      <c r="AL43" s="23">
        <v>1</v>
      </c>
      <c r="AM43" s="2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20">
        <f t="shared" si="17"/>
        <v>0</v>
      </c>
      <c r="V44" s="23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20">
        <v>0</v>
      </c>
      <c r="AM44" s="23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T45" s="23"/>
      <c r="V45" s="20">
        <f t="shared" si="18"/>
        <v>0</v>
      </c>
      <c r="W45" s="23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 s="23">
        <v>0</v>
      </c>
      <c r="AL45">
        <v>0</v>
      </c>
      <c r="AM45" s="20">
        <v>0</v>
      </c>
      <c r="AN45" s="23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20">
        <f t="shared" si="19"/>
        <v>0</v>
      </c>
      <c r="X46" s="23">
        <f t="shared" si="20"/>
        <v>18</v>
      </c>
      <c r="Y46" s="23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20">
        <v>0</v>
      </c>
      <c r="AO46" s="23">
        <v>1</v>
      </c>
      <c r="AP46" s="23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20">
        <f t="shared" si="20"/>
        <v>0</v>
      </c>
      <c r="Y47" s="23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20">
        <v>0</v>
      </c>
      <c r="AP47" s="23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W48" s="23"/>
      <c r="Y48" s="20">
        <f t="shared" si="21"/>
        <v>0</v>
      </c>
      <c r="Z48" s="23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 s="23">
        <v>0</v>
      </c>
      <c r="AO48">
        <v>0</v>
      </c>
      <c r="AP48" s="20">
        <v>0</v>
      </c>
      <c r="AQ48" s="23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20">
        <f t="shared" si="22"/>
        <v>0</v>
      </c>
      <c r="AA49" s="23">
        <f t="shared" si="23"/>
        <v>18</v>
      </c>
      <c r="AB49" s="23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20">
        <v>0</v>
      </c>
      <c r="AR49" s="23">
        <v>1</v>
      </c>
      <c r="AS49" s="23">
        <v>2</v>
      </c>
      <c r="AT49">
        <v>3</v>
      </c>
    </row>
    <row r="50" spans="6:46" x14ac:dyDescent="0.2">
      <c r="N50">
        <v>11</v>
      </c>
      <c r="AA50" s="20">
        <f t="shared" si="23"/>
        <v>0</v>
      </c>
      <c r="AB50" s="23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20">
        <v>0</v>
      </c>
      <c r="AS50" s="23">
        <v>1</v>
      </c>
      <c r="AT50">
        <v>2</v>
      </c>
    </row>
    <row r="51" spans="6:46" x14ac:dyDescent="0.2">
      <c r="N51">
        <v>12</v>
      </c>
      <c r="Z51" s="23"/>
      <c r="AB51" s="20">
        <f t="shared" si="24"/>
        <v>0</v>
      </c>
      <c r="AC51" s="23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 s="23">
        <v>0</v>
      </c>
      <c r="AR51">
        <v>0</v>
      </c>
      <c r="AS51" s="20">
        <v>0</v>
      </c>
      <c r="AT51" s="23">
        <v>1</v>
      </c>
    </row>
    <row r="52" spans="6:46" x14ac:dyDescent="0.2">
      <c r="N52">
        <v>13</v>
      </c>
      <c r="AC52" s="20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20"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20" cm="1">
        <f t="array" ref="O56:AC70">TRANSPOSE(O38:AC52)</f>
        <v>0</v>
      </c>
      <c r="P56" s="23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20">
        <v>0</v>
      </c>
      <c r="Q57" s="23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20">
        <v>0</v>
      </c>
      <c r="R58" s="23">
        <v>0</v>
      </c>
      <c r="S58">
        <v>0</v>
      </c>
      <c r="T58" s="23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20">
        <v>0</v>
      </c>
      <c r="S59" s="23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20">
        <v>0</v>
      </c>
      <c r="T60" s="23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 s="23">
        <v>54</v>
      </c>
      <c r="R61">
        <v>36</v>
      </c>
      <c r="S61">
        <v>18</v>
      </c>
      <c r="T61" s="20">
        <v>0</v>
      </c>
      <c r="U61" s="23">
        <v>0</v>
      </c>
      <c r="V61" s="23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20">
        <v>0</v>
      </c>
      <c r="V62" s="23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 s="23">
        <v>36</v>
      </c>
      <c r="U63">
        <v>18</v>
      </c>
      <c r="V63" s="20">
        <v>0</v>
      </c>
      <c r="W63" s="2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20">
        <v>0</v>
      </c>
      <c r="X64" s="23">
        <v>0</v>
      </c>
      <c r="Y64" s="23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20">
        <v>0</v>
      </c>
      <c r="Y65" s="23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 s="23">
        <v>36</v>
      </c>
      <c r="X66">
        <v>18</v>
      </c>
      <c r="Y66" s="20">
        <v>0</v>
      </c>
      <c r="Z66" s="23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20">
        <v>0</v>
      </c>
      <c r="AA67" s="23">
        <v>0</v>
      </c>
      <c r="AB67" s="23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20">
        <v>0</v>
      </c>
      <c r="AB68" s="23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 s="23">
        <v>36</v>
      </c>
      <c r="AA69">
        <v>18</v>
      </c>
      <c r="AB69" s="20">
        <v>0</v>
      </c>
      <c r="AC69" s="23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20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20">
        <f>O56+O38</f>
        <v>0</v>
      </c>
      <c r="P74" s="23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20">
        <f t="shared" si="27"/>
        <v>0</v>
      </c>
      <c r="Q75" s="23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20">
        <f t="shared" si="29"/>
        <v>0</v>
      </c>
      <c r="R76" s="23">
        <f t="shared" si="29"/>
        <v>18</v>
      </c>
      <c r="S76">
        <f t="shared" si="29"/>
        <v>36</v>
      </c>
      <c r="T76" s="23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20">
        <f t="shared" si="30"/>
        <v>0</v>
      </c>
      <c r="S77" s="23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20">
        <f t="shared" si="31"/>
        <v>0</v>
      </c>
      <c r="T78" s="23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 s="23">
        <f t="shared" si="32"/>
        <v>54</v>
      </c>
      <c r="R79">
        <f t="shared" si="32"/>
        <v>36</v>
      </c>
      <c r="S79">
        <f t="shared" si="32"/>
        <v>18</v>
      </c>
      <c r="T79" s="20">
        <f t="shared" si="32"/>
        <v>0</v>
      </c>
      <c r="U79" s="23">
        <f t="shared" si="32"/>
        <v>18</v>
      </c>
      <c r="V79" s="23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20">
        <f t="shared" si="33"/>
        <v>0</v>
      </c>
      <c r="V80" s="23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 s="23">
        <f t="shared" si="34"/>
        <v>36</v>
      </c>
      <c r="U81">
        <f t="shared" si="34"/>
        <v>18</v>
      </c>
      <c r="V81" s="20">
        <f t="shared" si="34"/>
        <v>0</v>
      </c>
      <c r="W81" s="23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20">
        <f t="shared" si="35"/>
        <v>0</v>
      </c>
      <c r="X82" s="23">
        <f t="shared" si="35"/>
        <v>18</v>
      </c>
      <c r="Y82" s="23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20">
        <f t="shared" si="36"/>
        <v>0</v>
      </c>
      <c r="Y83" s="2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 s="23">
        <f t="shared" si="37"/>
        <v>36</v>
      </c>
      <c r="X84">
        <f t="shared" si="37"/>
        <v>18</v>
      </c>
      <c r="Y84" s="20">
        <f t="shared" si="37"/>
        <v>0</v>
      </c>
      <c r="Z84" s="23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20">
        <f t="shared" si="38"/>
        <v>0</v>
      </c>
      <c r="AA85" s="23">
        <f t="shared" si="38"/>
        <v>18</v>
      </c>
      <c r="AB85" s="23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20">
        <f t="shared" si="39"/>
        <v>0</v>
      </c>
      <c r="AB86" s="23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 s="23">
        <f t="shared" si="40"/>
        <v>36</v>
      </c>
      <c r="AA87">
        <f t="shared" si="40"/>
        <v>18</v>
      </c>
      <c r="AB87" s="20">
        <f t="shared" si="40"/>
        <v>0</v>
      </c>
      <c r="AC87" s="23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20">
        <f t="shared" si="41"/>
        <v>0</v>
      </c>
      <c r="AE88" t="str">
        <f t="shared" si="28"/>
        <v xml:space="preserve"> {18, 36, 54, 72, 90, 108, 126, 126, 108, 90, 72, 54, 36, 18, 0}, //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1083</v>
      </c>
    </row>
    <row r="27" spans="8:8" x14ac:dyDescent="0.2">
      <c r="H27" t="s">
        <v>1084</v>
      </c>
    </row>
    <row r="28" spans="8:8" x14ac:dyDescent="0.2">
      <c r="H28" t="s">
        <v>1085</v>
      </c>
    </row>
    <row r="29" spans="8:8" x14ac:dyDescent="0.2">
      <c r="H29" t="s">
        <v>1086</v>
      </c>
    </row>
    <row r="31" spans="8:8" x14ac:dyDescent="0.2">
      <c r="H31" t="s">
        <v>1087</v>
      </c>
    </row>
    <row r="32" spans="8:8" x14ac:dyDescent="0.2">
      <c r="H32" t="s">
        <v>1088</v>
      </c>
    </row>
    <row r="33" spans="8:10" x14ac:dyDescent="0.2">
      <c r="H33" t="s">
        <v>1089</v>
      </c>
    </row>
    <row r="34" spans="8:10" x14ac:dyDescent="0.2">
      <c r="H34" t="s">
        <v>1090</v>
      </c>
    </row>
    <row r="36" spans="8:10" x14ac:dyDescent="0.2">
      <c r="H36" t="s">
        <v>1091</v>
      </c>
    </row>
    <row r="37" spans="8:10" x14ac:dyDescent="0.2">
      <c r="H37" t="s">
        <v>1092</v>
      </c>
    </row>
    <row r="38" spans="8:10" x14ac:dyDescent="0.2">
      <c r="H38" t="s">
        <v>1093</v>
      </c>
    </row>
    <row r="39" spans="8:10" x14ac:dyDescent="0.2">
      <c r="H39" t="s">
        <v>1094</v>
      </c>
    </row>
    <row r="40" spans="8:10" x14ac:dyDescent="0.2">
      <c r="H40" t="s">
        <v>1095</v>
      </c>
    </row>
    <row r="41" spans="8:10" x14ac:dyDescent="0.2">
      <c r="H41" t="s">
        <v>1096</v>
      </c>
    </row>
    <row r="42" spans="8:10" x14ac:dyDescent="0.2">
      <c r="H42" t="s">
        <v>1097</v>
      </c>
    </row>
    <row r="44" spans="8:10" x14ac:dyDescent="0.2">
      <c r="H44" t="s">
        <v>1098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1099</v>
      </c>
      <c r="H51" t="s">
        <v>1100</v>
      </c>
      <c r="I51" t="s">
        <v>1101</v>
      </c>
      <c r="J51" t="s">
        <v>1102</v>
      </c>
      <c r="K51" t="s">
        <v>1103</v>
      </c>
      <c r="L51" t="s">
        <v>1104</v>
      </c>
      <c r="M51" t="s">
        <v>1105</v>
      </c>
      <c r="N51" t="s">
        <v>1106</v>
      </c>
      <c r="O51" t="s">
        <v>1107</v>
      </c>
      <c r="P51" t="s">
        <v>1108</v>
      </c>
      <c r="Q51" t="s">
        <v>1109</v>
      </c>
      <c r="R51" t="s">
        <v>1110</v>
      </c>
      <c r="S51" t="s">
        <v>1111</v>
      </c>
      <c r="T51" t="s">
        <v>1112</v>
      </c>
      <c r="V51" t="s">
        <v>1113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2025-01-11T11:33:20Z</dcterms:modified>
</cp:coreProperties>
</file>