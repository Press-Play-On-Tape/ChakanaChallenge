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E5ADAC56-38D4-1541-94F5-A1309D989774}" xr6:coauthVersionLast="47" xr6:coauthVersionMax="47" xr10:uidLastSave="{00000000-0000-0000-0000-000000000000}"/>
  <bookViews>
    <workbookView xWindow="7620" yWindow="500" windowWidth="47420" windowHeight="30420" activeTab="11" xr2:uid="{50E1C641-7614-0542-B3D9-BEFC89310226}"/>
  </bookViews>
  <sheets>
    <sheet name="Hidden" sheetId="6" state="hidden" r:id="rId1"/>
    <sheet name="Level_00" sheetId="8" r:id="rId2"/>
    <sheet name="Level_01" sheetId="20" r:id="rId3"/>
    <sheet name="Level_02" sheetId="21" r:id="rId4"/>
    <sheet name="Level_03" sheetId="19" r:id="rId5"/>
    <sheet name="Level_04" sheetId="12" r:id="rId6"/>
    <sheet name="Level_05" sheetId="13" r:id="rId7"/>
    <sheet name="Level_06" sheetId="22" r:id="rId8"/>
    <sheet name="Level_07" sheetId="23" r:id="rId9"/>
    <sheet name="Level_08" sheetId="24" r:id="rId10"/>
    <sheet name="Level_09" sheetId="25" r:id="rId11"/>
    <sheet name="Level_10" sheetId="26" r:id="rId12"/>
    <sheet name="Map" sheetId="10" state="hidden" r:id="rId13"/>
    <sheet name="Sheet2" sheetId="11" state="hidden" r:id="rId14"/>
  </sheets>
  <externalReferences>
    <externalReference r:id="rId15"/>
  </externalReferences>
  <definedNames>
    <definedName name="_xleta.FLOOR" hidden="1" xlm="1">#NAME?</definedName>
    <definedName name="_xleta.TEXTJOIN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93" i="26" l="1"/>
  <c r="F177" i="25"/>
  <c r="F142" i="24"/>
  <c r="F100" i="23"/>
  <c r="F114" i="22"/>
  <c r="F107" i="20"/>
  <c r="F121" i="21"/>
  <c r="F79" i="8"/>
  <c r="F16" i="26" a="1"/>
  <c r="F16" i="26" s="1"/>
  <c r="F17" i="26"/>
  <c r="F18" i="26"/>
  <c r="F19" i="26"/>
  <c r="F20" i="26"/>
  <c r="F21" i="26"/>
  <c r="F22" i="26"/>
  <c r="F23" i="26"/>
  <c r="F24" i="26"/>
  <c r="F25" i="26"/>
  <c r="F26" i="26"/>
  <c r="F27" i="26"/>
  <c r="F28" i="26"/>
  <c r="F29" i="26"/>
  <c r="F30" i="26"/>
  <c r="F31" i="26"/>
  <c r="F32" i="26"/>
  <c r="F35" i="26"/>
  <c r="F16" i="25" a="1"/>
  <c r="F16" i="25" s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5" i="25"/>
  <c r="F16" i="24" a="1"/>
  <c r="F16" i="24" s="1"/>
  <c r="F17" i="24"/>
  <c r="F18" i="24"/>
  <c r="F19" i="24"/>
  <c r="F20" i="24"/>
  <c r="F21" i="24"/>
  <c r="F22" i="24"/>
  <c r="F23" i="24"/>
  <c r="F24" i="24"/>
  <c r="F25" i="24"/>
  <c r="F26" i="24"/>
  <c r="F27" i="24"/>
  <c r="F28" i="24"/>
  <c r="F29" i="24"/>
  <c r="F30" i="24"/>
  <c r="F31" i="24"/>
  <c r="F32" i="24"/>
  <c r="F35" i="24"/>
  <c r="F16" i="23" a="1"/>
  <c r="F16" i="23" s="1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5" i="23"/>
  <c r="F16" i="22" a="1"/>
  <c r="F16" i="22" s="1"/>
  <c r="F17" i="22"/>
  <c r="F18" i="22"/>
  <c r="F19" i="22"/>
  <c r="F20" i="22"/>
  <c r="F21" i="22"/>
  <c r="F22" i="22"/>
  <c r="F23" i="22"/>
  <c r="F24" i="22"/>
  <c r="F25" i="22"/>
  <c r="F26" i="22"/>
  <c r="F27" i="22"/>
  <c r="F28" i="22"/>
  <c r="F29" i="22"/>
  <c r="F30" i="22"/>
  <c r="F31" i="22"/>
  <c r="F32" i="22"/>
  <c r="F35" i="22"/>
  <c r="F16" i="21" a="1"/>
  <c r="F16" i="21" s="1"/>
  <c r="F17" i="21"/>
  <c r="F18" i="21"/>
  <c r="F19" i="21"/>
  <c r="F20" i="21"/>
  <c r="F21" i="21"/>
  <c r="F22" i="21"/>
  <c r="F23" i="21"/>
  <c r="F24" i="21"/>
  <c r="F25" i="21"/>
  <c r="F26" i="21"/>
  <c r="F27" i="21"/>
  <c r="F28" i="21"/>
  <c r="F29" i="21"/>
  <c r="F30" i="21"/>
  <c r="F31" i="21"/>
  <c r="F32" i="21"/>
  <c r="F35" i="21"/>
  <c r="F16" i="20" a="1"/>
  <c r="F16" i="20" s="1"/>
  <c r="F17" i="20"/>
  <c r="F18" i="20"/>
  <c r="F19" i="20"/>
  <c r="F20" i="20"/>
  <c r="F21" i="20"/>
  <c r="F22" i="20"/>
  <c r="F23" i="20"/>
  <c r="F24" i="20"/>
  <c r="F25" i="20"/>
  <c r="F26" i="20"/>
  <c r="F27" i="20"/>
  <c r="F28" i="20"/>
  <c r="F29" i="20"/>
  <c r="F30" i="20"/>
  <c r="F31" i="20"/>
  <c r="F32" i="20"/>
  <c r="F35" i="20"/>
  <c r="F121" i="19"/>
  <c r="F35" i="19" l="1"/>
  <c r="F32" i="19"/>
  <c r="F31" i="19"/>
  <c r="F30" i="19"/>
  <c r="F29" i="19"/>
  <c r="F28" i="19"/>
  <c r="F27" i="19"/>
  <c r="F26" i="19"/>
  <c r="F25" i="19"/>
  <c r="F24" i="19"/>
  <c r="F23" i="19"/>
  <c r="F22" i="19"/>
  <c r="F21" i="19"/>
  <c r="F20" i="19"/>
  <c r="F19" i="19"/>
  <c r="F18" i="19"/>
  <c r="F17" i="19"/>
  <c r="F16" i="19" a="1"/>
  <c r="F16" i="19" s="1"/>
  <c r="F136" i="13"/>
  <c r="F135" i="13"/>
  <c r="F134" i="13"/>
  <c r="F133" i="13"/>
  <c r="F107" i="13"/>
  <c r="F94" i="12"/>
  <c r="F93" i="12"/>
  <c r="F92" i="12"/>
  <c r="F91" i="12"/>
  <c r="F65" i="12"/>
  <c r="F35" i="13"/>
  <c r="F32" i="13"/>
  <c r="F31" i="13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 a="1"/>
  <c r="F16" i="13" s="1"/>
  <c r="F35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 a="1"/>
  <c r="F16" i="12" s="1"/>
  <c r="K110" i="10" l="1"/>
  <c r="K109" i="10"/>
  <c r="K107" i="10"/>
  <c r="K104" i="10"/>
  <c r="H114" i="10"/>
  <c r="G114" i="10"/>
  <c r="H113" i="10"/>
  <c r="G113" i="10"/>
  <c r="K113" i="10" s="1"/>
  <c r="H112" i="10"/>
  <c r="G112" i="10"/>
  <c r="K112" i="10" s="1"/>
  <c r="H111" i="10"/>
  <c r="K111" i="10" s="1"/>
  <c r="G111" i="10"/>
  <c r="H110" i="10"/>
  <c r="G110" i="10"/>
  <c r="H109" i="10"/>
  <c r="G109" i="10"/>
  <c r="H108" i="10"/>
  <c r="G108" i="10"/>
  <c r="K108" i="10" s="1"/>
  <c r="H107" i="10"/>
  <c r="G107" i="10"/>
  <c r="H106" i="10"/>
  <c r="G106" i="10"/>
  <c r="K106" i="10" s="1"/>
  <c r="H105" i="10"/>
  <c r="G105" i="10"/>
  <c r="K105" i="10" s="1"/>
  <c r="H104" i="10"/>
  <c r="G104" i="10"/>
  <c r="H103" i="10"/>
  <c r="G103" i="10"/>
  <c r="H102" i="10"/>
  <c r="G102" i="10"/>
  <c r="K102" i="10" s="1"/>
  <c r="H101" i="10"/>
  <c r="G101" i="10"/>
  <c r="K101" i="10" s="1"/>
  <c r="AC52" i="10"/>
  <c r="AC51" i="10"/>
  <c r="AB51" i="10"/>
  <c r="AC50" i="10"/>
  <c r="AB50" i="10"/>
  <c r="AA50" i="10"/>
  <c r="AC49" i="10"/>
  <c r="AB49" i="10"/>
  <c r="AA49" i="10"/>
  <c r="Z49" i="10"/>
  <c r="AC48" i="10"/>
  <c r="AB48" i="10"/>
  <c r="AA48" i="10"/>
  <c r="Z48" i="10"/>
  <c r="Y48" i="10"/>
  <c r="AC47" i="10"/>
  <c r="AB47" i="10"/>
  <c r="AA47" i="10"/>
  <c r="Z47" i="10"/>
  <c r="Y47" i="10"/>
  <c r="X47" i="10"/>
  <c r="AC46" i="10"/>
  <c r="AB46" i="10"/>
  <c r="AA46" i="10"/>
  <c r="Z46" i="10"/>
  <c r="Y46" i="10"/>
  <c r="X46" i="10"/>
  <c r="W46" i="10"/>
  <c r="AC45" i="10"/>
  <c r="AB45" i="10"/>
  <c r="AA45" i="10"/>
  <c r="Z45" i="10"/>
  <c r="Y45" i="10"/>
  <c r="X45" i="10"/>
  <c r="W45" i="10"/>
  <c r="V45" i="10"/>
  <c r="AC44" i="10"/>
  <c r="AB44" i="10"/>
  <c r="AA44" i="10"/>
  <c r="Z44" i="10"/>
  <c r="Y44" i="10"/>
  <c r="X44" i="10"/>
  <c r="W44" i="10"/>
  <c r="V44" i="10"/>
  <c r="U44" i="10"/>
  <c r="AC43" i="10"/>
  <c r="AB43" i="10"/>
  <c r="AA43" i="10"/>
  <c r="Z43" i="10"/>
  <c r="Y43" i="10"/>
  <c r="X43" i="10"/>
  <c r="W43" i="10"/>
  <c r="V43" i="10"/>
  <c r="U43" i="10"/>
  <c r="T43" i="10"/>
  <c r="AC42" i="10"/>
  <c r="AB42" i="10"/>
  <c r="AA42" i="10"/>
  <c r="Z42" i="10"/>
  <c r="Y42" i="10"/>
  <c r="X42" i="10"/>
  <c r="W42" i="10"/>
  <c r="V42" i="10"/>
  <c r="U42" i="10"/>
  <c r="T42" i="10"/>
  <c r="S42" i="10"/>
  <c r="AC41" i="10"/>
  <c r="AB41" i="10"/>
  <c r="AA41" i="10"/>
  <c r="Z41" i="10"/>
  <c r="Y41" i="10"/>
  <c r="X41" i="10"/>
  <c r="W41" i="10"/>
  <c r="V41" i="10"/>
  <c r="U41" i="10"/>
  <c r="T41" i="10"/>
  <c r="S41" i="10"/>
  <c r="R41" i="10"/>
  <c r="AC40" i="10"/>
  <c r="AB40" i="10"/>
  <c r="AA40" i="10"/>
  <c r="Z40" i="10"/>
  <c r="Y40" i="10"/>
  <c r="X40" i="10"/>
  <c r="W40" i="10"/>
  <c r="V40" i="10"/>
  <c r="U40" i="10"/>
  <c r="T40" i="10"/>
  <c r="S40" i="10"/>
  <c r="R40" i="10"/>
  <c r="Q40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AC38" i="10"/>
  <c r="AB38" i="10"/>
  <c r="AA38" i="10"/>
  <c r="Z38" i="10"/>
  <c r="Y38" i="10"/>
  <c r="X38" i="10"/>
  <c r="W38" i="10"/>
  <c r="V38" i="10"/>
  <c r="U38" i="10"/>
  <c r="T38" i="10"/>
  <c r="S38" i="10"/>
  <c r="R38" i="10"/>
  <c r="Q38" i="10"/>
  <c r="P38" i="10"/>
  <c r="O38" i="10"/>
  <c r="Z31" i="10"/>
  <c r="W28" i="10"/>
  <c r="T25" i="10"/>
  <c r="Q23" i="10"/>
  <c r="O32" i="10"/>
  <c r="P32" i="10"/>
  <c r="O31" i="10"/>
  <c r="P31" i="10"/>
  <c r="O30" i="10"/>
  <c r="R32" i="10"/>
  <c r="P30" i="10"/>
  <c r="O29" i="10"/>
  <c r="S32" i="10"/>
  <c r="R31" i="10"/>
  <c r="P29" i="10"/>
  <c r="O28" i="10"/>
  <c r="S31" i="10"/>
  <c r="R30" i="10"/>
  <c r="P28" i="10"/>
  <c r="O27" i="10"/>
  <c r="U32" i="10"/>
  <c r="S30" i="10"/>
  <c r="R29" i="10"/>
  <c r="P27" i="10"/>
  <c r="O26" i="10"/>
  <c r="V32" i="10"/>
  <c r="U31" i="10"/>
  <c r="S29" i="10"/>
  <c r="R28" i="10"/>
  <c r="P26" i="10"/>
  <c r="O25" i="10"/>
  <c r="V31" i="10"/>
  <c r="U30" i="10"/>
  <c r="S28" i="10"/>
  <c r="R27" i="10"/>
  <c r="P25" i="10"/>
  <c r="O24" i="10"/>
  <c r="X32" i="10"/>
  <c r="V30" i="10"/>
  <c r="U29" i="10"/>
  <c r="S27" i="10"/>
  <c r="R26" i="10"/>
  <c r="Q25" i="10"/>
  <c r="Q26" i="10" s="1"/>
  <c r="P24" i="10"/>
  <c r="O23" i="10"/>
  <c r="Y32" i="10"/>
  <c r="X31" i="10"/>
  <c r="V29" i="10"/>
  <c r="U28" i="10"/>
  <c r="T27" i="10"/>
  <c r="T28" i="10" s="1"/>
  <c r="T29" i="10" s="1"/>
  <c r="T30" i="10" s="1"/>
  <c r="T31" i="10" s="1"/>
  <c r="T32" i="10" s="1"/>
  <c r="S26" i="10"/>
  <c r="R25" i="10"/>
  <c r="Q24" i="10"/>
  <c r="P23" i="10"/>
  <c r="O22" i="10"/>
  <c r="Z32" i="10"/>
  <c r="Y31" i="10"/>
  <c r="X30" i="10"/>
  <c r="W29" i="10"/>
  <c r="W30" i="10" s="1"/>
  <c r="W31" i="10" s="1"/>
  <c r="W32" i="10" s="1"/>
  <c r="V28" i="10"/>
  <c r="U27" i="10"/>
  <c r="T26" i="10"/>
  <c r="S25" i="10"/>
  <c r="R24" i="10"/>
  <c r="P22" i="10"/>
  <c r="O21" i="10"/>
  <c r="AA32" i="10"/>
  <c r="Y30" i="10"/>
  <c r="X29" i="10"/>
  <c r="V27" i="10"/>
  <c r="U26" i="10"/>
  <c r="S24" i="10"/>
  <c r="R23" i="10"/>
  <c r="Q22" i="10"/>
  <c r="P21" i="10"/>
  <c r="O20" i="10"/>
  <c r="AB32" i="10"/>
  <c r="AA31" i="10"/>
  <c r="Z30" i="10"/>
  <c r="Y29" i="10"/>
  <c r="X28" i="10"/>
  <c r="W27" i="10"/>
  <c r="V26" i="10"/>
  <c r="U25" i="10"/>
  <c r="T24" i="10"/>
  <c r="S23" i="10"/>
  <c r="R22" i="10"/>
  <c r="Q21" i="10"/>
  <c r="P20" i="10"/>
  <c r="O19" i="10"/>
  <c r="AE25" i="10"/>
  <c r="AE24" i="10"/>
  <c r="AE23" i="10"/>
  <c r="AE22" i="10"/>
  <c r="AE21" i="10"/>
  <c r="AE20" i="10"/>
  <c r="AE19" i="10"/>
  <c r="AE18" i="10"/>
  <c r="AC30" i="10"/>
  <c r="AA28" i="10"/>
  <c r="Z27" i="10"/>
  <c r="X25" i="10"/>
  <c r="W24" i="10"/>
  <c r="U22" i="10"/>
  <c r="T21" i="10"/>
  <c r="S20" i="10"/>
  <c r="R19" i="10"/>
  <c r="Q18" i="10"/>
  <c r="H15" i="10"/>
  <c r="G15" i="10"/>
  <c r="F15" i="10"/>
  <c r="K15" i="10" s="1"/>
  <c r="F6" i="10"/>
  <c r="G6" i="10"/>
  <c r="H6" i="10"/>
  <c r="K6" i="10" s="1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K12" i="10" s="1"/>
  <c r="F13" i="10"/>
  <c r="G13" i="10"/>
  <c r="H13" i="10"/>
  <c r="F14" i="10"/>
  <c r="G14" i="10"/>
  <c r="H14" i="10"/>
  <c r="K9" i="10"/>
  <c r="H5" i="10"/>
  <c r="G5" i="10"/>
  <c r="F5" i="10"/>
  <c r="K5" i="10" s="1"/>
  <c r="H4" i="10"/>
  <c r="G4" i="10"/>
  <c r="F4" i="10"/>
  <c r="K4" i="10" s="1"/>
  <c r="H3" i="10"/>
  <c r="G3" i="10"/>
  <c r="F3" i="10"/>
  <c r="K3" i="10" s="1"/>
  <c r="H2" i="10"/>
  <c r="G2" i="10"/>
  <c r="F2" i="10"/>
  <c r="F35" i="8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K114" i="10" l="1"/>
  <c r="K103" i="10"/>
  <c r="Q27" i="10"/>
  <c r="AE26" i="10"/>
  <c r="R18" i="10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S19" i="10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K7" i="10"/>
  <c r="K11" i="10"/>
  <c r="K8" i="10"/>
  <c r="K13" i="10"/>
  <c r="K10" i="10"/>
  <c r="K2" i="10"/>
  <c r="K14" i="10"/>
  <c r="O56" i="10" l="1" a="1"/>
  <c r="Q28" i="10"/>
  <c r="AE27" i="10"/>
  <c r="U20" i="10"/>
  <c r="V20" i="10" s="1"/>
  <c r="W20" i="10" s="1"/>
  <c r="X20" i="10" s="1"/>
  <c r="Y20" i="10" s="1"/>
  <c r="Z20" i="10" s="1"/>
  <c r="AA20" i="10" s="1"/>
  <c r="AB20" i="10" s="1"/>
  <c r="AC20" i="10" s="1"/>
  <c r="O56" i="10" l="1"/>
  <c r="O74" i="10" s="1"/>
  <c r="AC88" i="10"/>
  <c r="U88" i="10"/>
  <c r="AB87" i="10"/>
  <c r="T87" i="10"/>
  <c r="AA86" i="10"/>
  <c r="S86" i="10"/>
  <c r="Z85" i="10"/>
  <c r="R85" i="10"/>
  <c r="Y84" i="10"/>
  <c r="Q84" i="10"/>
  <c r="X83" i="10"/>
  <c r="P83" i="10"/>
  <c r="W82" i="10"/>
  <c r="O82" i="10"/>
  <c r="V81" i="10"/>
  <c r="AC80" i="10"/>
  <c r="U80" i="10"/>
  <c r="AB79" i="10"/>
  <c r="T79" i="10"/>
  <c r="AA78" i="10"/>
  <c r="S78" i="10"/>
  <c r="Z77" i="10"/>
  <c r="R77" i="10"/>
  <c r="Y76" i="10"/>
  <c r="Q76" i="10"/>
  <c r="X75" i="10"/>
  <c r="P75" i="10"/>
  <c r="W74" i="10"/>
  <c r="AB88" i="10"/>
  <c r="T88" i="10"/>
  <c r="AA87" i="10"/>
  <c r="S87" i="10"/>
  <c r="Z86" i="10"/>
  <c r="R86" i="10"/>
  <c r="Y85" i="10"/>
  <c r="Q85" i="10"/>
  <c r="X84" i="10"/>
  <c r="P84" i="10"/>
  <c r="W83" i="10"/>
  <c r="O83" i="10"/>
  <c r="V82" i="10"/>
  <c r="AC81" i="10"/>
  <c r="U81" i="10"/>
  <c r="AB80" i="10"/>
  <c r="T80" i="10"/>
  <c r="AA79" i="10"/>
  <c r="S79" i="10"/>
  <c r="Z78" i="10"/>
  <c r="R78" i="10"/>
  <c r="Y77" i="10"/>
  <c r="Q77" i="10"/>
  <c r="X76" i="10"/>
  <c r="P76" i="10"/>
  <c r="W75" i="10"/>
  <c r="O75" i="10"/>
  <c r="V74" i="10"/>
  <c r="AA88" i="10"/>
  <c r="S88" i="10"/>
  <c r="Z87" i="10"/>
  <c r="R87" i="10"/>
  <c r="Y86" i="10"/>
  <c r="Q86" i="10"/>
  <c r="X85" i="10"/>
  <c r="P85" i="10"/>
  <c r="W84" i="10"/>
  <c r="O84" i="10"/>
  <c r="V83" i="10"/>
  <c r="AC82" i="10"/>
  <c r="U82" i="10"/>
  <c r="AB81" i="10"/>
  <c r="T81" i="10"/>
  <c r="AA80" i="10"/>
  <c r="S80" i="10"/>
  <c r="Z79" i="10"/>
  <c r="R79" i="10"/>
  <c r="Y78" i="10"/>
  <c r="Q78" i="10"/>
  <c r="X77" i="10"/>
  <c r="P77" i="10"/>
  <c r="W76" i="10"/>
  <c r="O76" i="10"/>
  <c r="V75" i="10"/>
  <c r="AC74" i="10"/>
  <c r="U74" i="10"/>
  <c r="Z88" i="10"/>
  <c r="R88" i="10"/>
  <c r="Y87" i="10"/>
  <c r="Q87" i="10"/>
  <c r="X86" i="10"/>
  <c r="P86" i="10"/>
  <c r="W85" i="10"/>
  <c r="O85" i="10"/>
  <c r="V84" i="10"/>
  <c r="AC83" i="10"/>
  <c r="U83" i="10"/>
  <c r="AB82" i="10"/>
  <c r="T82" i="10"/>
  <c r="AA81" i="10"/>
  <c r="S81" i="10"/>
  <c r="Z80" i="10"/>
  <c r="R80" i="10"/>
  <c r="Y79" i="10"/>
  <c r="Q79" i="10"/>
  <c r="X78" i="10"/>
  <c r="P78" i="10"/>
  <c r="W77" i="10"/>
  <c r="O77" i="10"/>
  <c r="V76" i="10"/>
  <c r="AC75" i="10"/>
  <c r="U75" i="10"/>
  <c r="AB74" i="10"/>
  <c r="T74" i="10"/>
  <c r="Y88" i="10"/>
  <c r="Q88" i="10"/>
  <c r="X87" i="10"/>
  <c r="P87" i="10"/>
  <c r="W86" i="10"/>
  <c r="O86" i="10"/>
  <c r="V85" i="10"/>
  <c r="AC84" i="10"/>
  <c r="U84" i="10"/>
  <c r="AB83" i="10"/>
  <c r="T83" i="10"/>
  <c r="AA82" i="10"/>
  <c r="S82" i="10"/>
  <c r="Z81" i="10"/>
  <c r="R81" i="10"/>
  <c r="Y80" i="10"/>
  <c r="Q80" i="10"/>
  <c r="X79" i="10"/>
  <c r="P79" i="10"/>
  <c r="W78" i="10"/>
  <c r="O78" i="10"/>
  <c r="V77" i="10"/>
  <c r="AC76" i="10"/>
  <c r="U76" i="10"/>
  <c r="AB75" i="10"/>
  <c r="T75" i="10"/>
  <c r="AA74" i="10"/>
  <c r="S74" i="10"/>
  <c r="X88" i="10"/>
  <c r="P88" i="10"/>
  <c r="W87" i="10"/>
  <c r="O87" i="10"/>
  <c r="V86" i="10"/>
  <c r="AC85" i="10"/>
  <c r="U85" i="10"/>
  <c r="AB84" i="10"/>
  <c r="T84" i="10"/>
  <c r="AA83" i="10"/>
  <c r="S83" i="10"/>
  <c r="Z82" i="10"/>
  <c r="R82" i="10"/>
  <c r="Y81" i="10"/>
  <c r="Q81" i="10"/>
  <c r="X80" i="10"/>
  <c r="P80" i="10"/>
  <c r="W79" i="10"/>
  <c r="O79" i="10"/>
  <c r="AE79" i="10" s="1"/>
  <c r="V78" i="10"/>
  <c r="AC77" i="10"/>
  <c r="U77" i="10"/>
  <c r="AB76" i="10"/>
  <c r="T76" i="10"/>
  <c r="AA75" i="10"/>
  <c r="S75" i="10"/>
  <c r="Z74" i="10"/>
  <c r="R74" i="10"/>
  <c r="W88" i="10"/>
  <c r="O88" i="10"/>
  <c r="V87" i="10"/>
  <c r="AC86" i="10"/>
  <c r="U86" i="10"/>
  <c r="AB85" i="10"/>
  <c r="T85" i="10"/>
  <c r="AA84" i="10"/>
  <c r="S84" i="10"/>
  <c r="Z83" i="10"/>
  <c r="R83" i="10"/>
  <c r="Y82" i="10"/>
  <c r="Q82" i="10"/>
  <c r="X81" i="10"/>
  <c r="P81" i="10"/>
  <c r="W80" i="10"/>
  <c r="O80" i="10"/>
  <c r="V79" i="10"/>
  <c r="AC78" i="10"/>
  <c r="U78" i="10"/>
  <c r="AB77" i="10"/>
  <c r="T77" i="10"/>
  <c r="AA76" i="10"/>
  <c r="S76" i="10"/>
  <c r="Z75" i="10"/>
  <c r="R75" i="10"/>
  <c r="Y74" i="10"/>
  <c r="Q74" i="10"/>
  <c r="V88" i="10"/>
  <c r="AC87" i="10"/>
  <c r="U87" i="10"/>
  <c r="AB86" i="10"/>
  <c r="T86" i="10"/>
  <c r="AA85" i="10"/>
  <c r="S85" i="10"/>
  <c r="Z84" i="10"/>
  <c r="R84" i="10"/>
  <c r="Y83" i="10"/>
  <c r="Q83" i="10"/>
  <c r="X82" i="10"/>
  <c r="P82" i="10"/>
  <c r="W81" i="10"/>
  <c r="O81" i="10"/>
  <c r="V80" i="10"/>
  <c r="AC79" i="10"/>
  <c r="U79" i="10"/>
  <c r="AB78" i="10"/>
  <c r="T78" i="10"/>
  <c r="AA77" i="10"/>
  <c r="S77" i="10"/>
  <c r="Z76" i="10"/>
  <c r="R76" i="10"/>
  <c r="Y75" i="10"/>
  <c r="Q75" i="10"/>
  <c r="X74" i="10"/>
  <c r="P74" i="10"/>
  <c r="Q29" i="10"/>
  <c r="AE28" i="10"/>
  <c r="U21" i="10"/>
  <c r="V21" i="10" s="1"/>
  <c r="W21" i="10" s="1"/>
  <c r="X21" i="10" s="1"/>
  <c r="Y21" i="10" s="1"/>
  <c r="Z21" i="10" s="1"/>
  <c r="AA21" i="10" s="1"/>
  <c r="AB21" i="10" s="1"/>
  <c r="AC21" i="10" s="1"/>
  <c r="AE86" i="10" l="1"/>
  <c r="AE75" i="10"/>
  <c r="AE82" i="10"/>
  <c r="AE85" i="10"/>
  <c r="AE81" i="10"/>
  <c r="AE77" i="10"/>
  <c r="AE84" i="10"/>
  <c r="AE78" i="10"/>
  <c r="AE88" i="10"/>
  <c r="AE80" i="10"/>
  <c r="AE76" i="10"/>
  <c r="AE87" i="10"/>
  <c r="AE83" i="10"/>
  <c r="AE29" i="10"/>
  <c r="Q30" i="10"/>
  <c r="V22" i="10"/>
  <c r="W22" i="10" s="1"/>
  <c r="X22" i="10" s="1"/>
  <c r="Y22" i="10" s="1"/>
  <c r="Z22" i="10" s="1"/>
  <c r="AA22" i="10" s="1"/>
  <c r="AB22" i="10" s="1"/>
  <c r="AC22" i="10" s="1"/>
  <c r="Q31" i="10" l="1"/>
  <c r="AE30" i="10"/>
  <c r="W23" i="10"/>
  <c r="X23" i="10" s="1"/>
  <c r="Y23" i="10" s="1"/>
  <c r="Z23" i="10" s="1"/>
  <c r="AA23" i="10" s="1"/>
  <c r="AB23" i="10" s="1"/>
  <c r="AC23" i="10" s="1"/>
  <c r="AE31" i="10" l="1"/>
  <c r="Q32" i="10"/>
  <c r="AE32" i="10" s="1"/>
  <c r="X24" i="10"/>
  <c r="Y24" i="10" s="1"/>
  <c r="Z24" i="10" s="1"/>
  <c r="AA24" i="10" s="1"/>
  <c r="AB24" i="10" s="1"/>
  <c r="AC24" i="10" s="1"/>
  <c r="Y25" i="10" l="1"/>
  <c r="Z25" i="10" s="1"/>
  <c r="AA25" i="10" s="1"/>
  <c r="AB25" i="10" s="1"/>
  <c r="AC25" i="10" s="1"/>
  <c r="Z26" i="10" l="1"/>
  <c r="AA26" i="10" s="1"/>
  <c r="AB26" i="10" s="1"/>
  <c r="AC26" i="10" s="1"/>
  <c r="AA27" i="10" l="1"/>
  <c r="AB27" i="10" s="1"/>
  <c r="AC27" i="10" s="1"/>
  <c r="AB28" i="10" l="1"/>
  <c r="AC28" i="10" s="1"/>
  <c r="AC29" i="10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<sst xmlns="http://schemas.openxmlformats.org/spreadsheetml/2006/main" count="1695" uniqueCount="178">
  <si>
    <t>UL / ML</t>
  </si>
  <si>
    <t>UM / MM</t>
  </si>
  <si>
    <t>31,31,31,31,</t>
  </si>
  <si>
    <t>31,31,32,32,</t>
  </si>
  <si>
    <t>33,33,31,31,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</si>
  <si>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</si>
  <si>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</si>
  <si>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</si>
  <si>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</si>
  <si>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</si>
  <si>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0, 0,29, 0, </t>
  </si>
  <si>
    <t xml:space="preserve"> 0, 0, 0,30, </t>
  </si>
  <si>
    <t>};</t>
  </si>
  <si>
    <t>0,                             // Data</t>
  </si>
  <si>
    <t>0,                             // Counter</t>
  </si>
  <si>
    <t>0,                             // Position X</t>
  </si>
  <si>
    <t>0,                             // Position Y</t>
  </si>
  <si>
    <t>255,                             // Frame</t>
  </si>
  <si>
    <t>0                            // EnemyType::None</t>
  </si>
  <si>
    <t>0,                             // Stance::Enemy_None</t>
  </si>
  <si>
    <t>0,                             // Inventory ItemType::None</t>
  </si>
  <si>
    <t>9,                             // Frame</t>
  </si>
  <si>
    <t>Left / Right</t>
  </si>
  <si>
    <t>x</t>
  </si>
  <si>
    <t>y</t>
  </si>
  <si>
    <t>Base</t>
  </si>
  <si>
    <t>from 1</t>
  </si>
  <si>
    <t>From 4</t>
  </si>
  <si>
    <t>from 7</t>
  </si>
  <si>
    <t>from 12</t>
  </si>
  <si>
    <t># Update the distances with the new data</t>
  </si>
  <si>
    <t>additional_distances = {</t>
  </si>
  <si>
    <t xml:space="preserve">    (1, 4): 40, (4, 6): 32, (7, 9): 25, (12, 11): 26</t>
  </si>
  <si>
    <t>}</t>
  </si>
  <si>
    <t># Add new distances to the existing distances</t>
  </si>
  <si>
    <t>for (i, j), dist in additional_distances.items():</t>
  </si>
  <si>
    <t xml:space="preserve">    distance_matrix[i, j] = dist</t>
  </si>
  <si>
    <t xml:space="preserve">    distance_matrix[j, i] = dist  # Symmetric</t>
  </si>
  <si>
    <t># Recompute the shortest distances using the Floyd-Warshall algorithm</t>
  </si>
  <si>
    <t>for k in range(num_positions):</t>
  </si>
  <si>
    <t xml:space="preserve">    for i in range(num_positions):</t>
  </si>
  <si>
    <t xml:space="preserve">        for j in range(num_positions):</t>
  </si>
  <si>
    <t xml:space="preserve">            distance_matrix[i, j] = min(</t>
  </si>
  <si>
    <t xml:space="preserve">                distance_matrix[i, j], distance_matrix[i, k] + distance_matrix[k, j]</t>
  </si>
  <si>
    <t xml:space="preserve">            )</t>
  </si>
  <si>
    <t>distance_matrix</t>
  </si>
  <si>
    <t>array([[ 36., 18., 40., 65., 58., 98., 90., 123., 141., 116., 92., 72., 46., 24.</t>
  </si>
  <si>
    <t>, [ 18., 36., 22., 47., 40., 80., 72., 105., 132., 130., 110., 90., 64., 42.</t>
  </si>
  <si>
    <t>, [ 40., 22., 44., 25., 57., 97., 89., 122., 149., 147., 132., 112., 86., 64.</t>
  </si>
  <si>
    <t>, [ 65., 47., 25., 50., 32., 72., 64., 97., 124., 122., 146., 137., 111., 89.</t>
  </si>
  <si>
    <t>, [ 58., 40., 57., 32., 64., 40., 32., 65., 92., 90., 114., 130., 104., 82.</t>
  </si>
  <si>
    <t>, [ 98., 80., 97., 72., 40., 70., 35., 68., 95., 93., 117., 137., 144., 122.</t>
  </si>
  <si>
    <t>, [ 90., 72., 89., 64., 32., 35., 64., 33., 60., 58., 82., 102., 128., 114.</t>
  </si>
  <si>
    <t>, [123., 105., 122., 97., 65., 68., 33., 50., 27., 25., 49., 69., 95., 117.</t>
  </si>
  <si>
    <t>, [141., 132., 149., 124., 92., 95., 60., 27., 50., 25., 49., 69., 95., 117.</t>
  </si>
  <si>
    <t>, [116., 130., 147., 122., 90., 93., 58., 25., 25., 48., 24., 44., 70., 92.</t>
  </si>
  <si>
    <t>, [ 92., 110., 132., 146., 114., 117., 82., 49., 49., 24., 40., 20., 46., 68.</t>
  </si>
  <si>
    <t>, [ 72., 90., 112., 137., 130., 137., 102., 69., 69., 44., 20., 40., 26., 48.</t>
  </si>
  <si>
    <t>, [ 46., 64., 86., 111., 104., 144., 128., 95., 95., 70., 46., 26., 44., 22.</t>
  </si>
  <si>
    <t>, [ 24., 42., 64., 89., 82., 122., 114., 117., 117., 92., 68., 48., 22., 44.</t>
  </si>
  <si>
    <t>)</t>
  </si>
  <si>
    <t>41,                             // ItemType::Chakana</t>
  </si>
  <si>
    <t>Port Names</t>
  </si>
  <si>
    <t>0,                             // Frame</t>
  </si>
  <si>
    <t>61,                             // ItemType::Poker</t>
  </si>
  <si>
    <t>63,                             // ItemType::Puff</t>
  </si>
  <si>
    <t>64,64,64,64,</t>
  </si>
  <si>
    <t>64,64,</t>
  </si>
  <si>
    <t>74,74,74,74,</t>
  </si>
  <si>
    <t>74,74,</t>
  </si>
  <si>
    <t>176,                             // Position X</t>
  </si>
  <si>
    <t>464,                             // Position X</t>
  </si>
  <si>
    <t>32,                             // Position Y</t>
  </si>
  <si>
    <t>12,                             // ItemType::Potion</t>
  </si>
  <si>
    <t>1                            // EnemyType::Archer</t>
  </si>
  <si>
    <t>23,                             // Inventory ItemType::Arrow_LH_Hidden</t>
  </si>
  <si>
    <t>944,                             // Stance::Enemy_Walk_Bow_LH_00</t>
  </si>
  <si>
    <t>160,                             // Position X</t>
  </si>
  <si>
    <t>16,                             // Position Y</t>
  </si>
  <si>
    <t>0,                             // ItemType::Key1</t>
  </si>
  <si>
    <t>80,                             // Position Y</t>
  </si>
  <si>
    <t>14,                             // ItemType::LockedDoor</t>
  </si>
  <si>
    <t>62,62,62,62,</t>
  </si>
  <si>
    <t>72,72,72,72,</t>
  </si>
  <si>
    <t>62,62,</t>
  </si>
  <si>
    <t>72,72,</t>
  </si>
  <si>
    <t>432,                             // Position X</t>
  </si>
  <si>
    <t>208,                             // Position X</t>
  </si>
  <si>
    <t>9,                             // ItemType::PinchBar</t>
  </si>
  <si>
    <t>256,                             // Position X</t>
  </si>
  <si>
    <t>112,                             // Position Y</t>
  </si>
  <si>
    <t>51,                             // ItemType::LifeSaver</t>
  </si>
  <si>
    <t>144,                             // Position X</t>
  </si>
  <si>
    <t>2,                             // ItemType::WoodenBarrier</t>
  </si>
  <si>
    <t>320,                             // Position X</t>
  </si>
  <si>
    <t>480,                             // Position X</t>
  </si>
  <si>
    <t>5,                             // ItemType::Hammer</t>
  </si>
  <si>
    <t>96,                             // Position Y</t>
  </si>
  <si>
    <t>11,                             // ItemType::MysteryCrate</t>
  </si>
  <si>
    <t>17,                             // ItemType::???</t>
  </si>
  <si>
    <t>18,                             // ItemType::Swinging_Vine</t>
  </si>
  <si>
    <t>528,                             // Position X</t>
  </si>
  <si>
    <t>48,                             // Position Y</t>
  </si>
  <si>
    <t>304,                             // Position X</t>
  </si>
  <si>
    <t>368,                             // Position X</t>
  </si>
  <si>
    <t>64,                             // Position Y</t>
  </si>
  <si>
    <t>38,                             // ItemType::SwingyThing</t>
  </si>
  <si>
    <t>498,                             // Position X</t>
  </si>
  <si>
    <t>20,                             // ItemType::Flame</t>
  </si>
  <si>
    <t>224,                             // Position X</t>
  </si>
  <si>
    <t>43,                             // ItemType::Lever_LH</t>
  </si>
  <si>
    <t>288,                             // Position X</t>
  </si>
  <si>
    <t>1,                             // Data</t>
  </si>
  <si>
    <t>47,                             // ItemType::Lever_Portal_Auto_Closed</t>
  </si>
  <si>
    <t>272,                             // Position X</t>
  </si>
  <si>
    <t>256,                             // Data</t>
  </si>
  <si>
    <t>2,                             // Data</t>
  </si>
  <si>
    <t>496,                             // Position X</t>
  </si>
  <si>
    <t>512,                             // Position X</t>
  </si>
  <si>
    <t>45,                             // ItemType::Lever_Portal_Closed</t>
  </si>
  <si>
    <t>352,                             // Position X</t>
  </si>
  <si>
    <t>400,                             // Position X</t>
  </si>
  <si>
    <t>3                            // EnemyType::SwordFighter</t>
  </si>
  <si>
    <t>975,                             // Stance::Enemy_Sword_Stationary_LH</t>
  </si>
  <si>
    <t>50,                             // Inventory ItemType::Glint_Hidden</t>
  </si>
  <si>
    <t>258,                             // Position X</t>
  </si>
  <si>
    <t>336,                             // Position X</t>
  </si>
  <si>
    <t>448,                             // Position X</t>
  </si>
  <si>
    <t>44,                             // ItemType::Lever_RH</t>
  </si>
  <si>
    <t>60,                             // ItemType::???</t>
  </si>
  <si>
    <t>46,                             // ItemType::Lever_Portal_Open</t>
  </si>
  <si>
    <t>3,                             // Data</t>
  </si>
  <si>
    <t>1024,                             // Data</t>
  </si>
  <si>
    <t>59,                             // ItemType::Chakana_Small</t>
  </si>
  <si>
    <t>5,                             // Data</t>
  </si>
  <si>
    <t>178,                             // Position X</t>
  </si>
  <si>
    <t>384,                             // Position X</t>
  </si>
  <si>
    <t>192,                             // Position X</t>
  </si>
  <si>
    <t xml:space="preserve"> 8, 8, 7, 7,</t>
  </si>
  <si>
    <t>12,12, 7, 7,</t>
  </si>
  <si>
    <t>12,12,12,12,</t>
  </si>
  <si>
    <t xml:space="preserve">36,37,36,37, </t>
  </si>
  <si>
    <t xml:space="preserve">34,35,34,35, </t>
  </si>
  <si>
    <t>28,                             // ItemType::Trebochet_Left</t>
  </si>
  <si>
    <t>33,                             // ItemType::Trebochet_Ball_Left_Hidden</t>
  </si>
  <si>
    <t>418,                             // Position X</t>
  </si>
  <si>
    <t>2                            // EnemyType::TrebochetOperator</t>
  </si>
  <si>
    <t>494,                             // Position X</t>
  </si>
  <si>
    <t>961,                             // Stance::Enemy_Trebochet_Release_LH_01</t>
  </si>
  <si>
    <t>33,                             // Inventory ItemType::Trebochet_Ball_Left_Hidden</t>
  </si>
  <si>
    <t>194,                             // Position X</t>
  </si>
  <si>
    <t>322,                             // Position X</t>
  </si>
  <si>
    <t xml:space="preserve"> 8, 8,</t>
  </si>
  <si>
    <t xml:space="preserve"> 7, 7,</t>
  </si>
  <si>
    <t>12,12,</t>
  </si>
  <si>
    <t>34,35,</t>
  </si>
  <si>
    <t>36,37,</t>
  </si>
  <si>
    <t>48,                             // ItemType::Lever_Portal_Auto_Open</t>
  </si>
  <si>
    <t>416,                             // Position X</t>
  </si>
  <si>
    <t>26,                             // ItemType::Sword</t>
  </si>
  <si>
    <t>450,                             // Position X</t>
  </si>
  <si>
    <t>306,                             // Position X</t>
  </si>
  <si>
    <t>887,                             // Stance::Enemy_Walk_Bow_RH_00</t>
  </si>
  <si>
    <t>25,                             // Inventory ItemType::Arrow_RH_Hidden</t>
  </si>
  <si>
    <t>16,                             // ItemType::Anchor</t>
  </si>
  <si>
    <t>240,                             // Position X</t>
  </si>
  <si>
    <t>29,                             // ItemType::Trebochet_Right</t>
  </si>
  <si>
    <t>37,                             // ItemType::Trebochet_Ball_Right_Hidden</t>
  </si>
  <si>
    <t>350,                             // Position X</t>
  </si>
  <si>
    <t>370,                             // Position X</t>
  </si>
  <si>
    <t>434,                             // Position X</t>
  </si>
  <si>
    <t>510,                             // Position X</t>
  </si>
  <si>
    <t>904,                             // Stance::Enemy_Trebochet_Release_RH_01</t>
  </si>
  <si>
    <t>37,                             // Inventory ItemType::Trebochet_Ball_Right_Hidden</t>
  </si>
  <si>
    <t>210,                             // Position X</t>
  </si>
  <si>
    <t>274,                             // Position X</t>
  </si>
  <si>
    <t>254,                             // Position X</t>
  </si>
  <si>
    <t>290,                             // Position 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</si>
</sst>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1"/>
      <name val="Courier New"/>
      <family val="1"/>
    </font>
  </fonts>
  <fills count="7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0" fillId="2" borderId="0" xfId="0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0" fillId="0" borderId="0" xfId="0" quotePrefix="1"/>
    <xf numFmtId="0" fontId="3" fillId="0" borderId="0" xfId="0" applyFont="1" applyAlignment="1">
      <alignment horizontal="center" vertical="center" wrapText="1"/>
    </xf>
    <xf numFmtId="0" fontId="4" fillId="0" borderId="0" xfId="0" applyFont="1"/>
    <xf numFmtId="0" fontId="4" fillId="0" borderId="0" xfId="0" quotePrefix="1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6" borderId="0" xfId="0" applyFont="1" applyFill="1"/>
    <xf numFmtId="0" fontId="0" fillId="0" borderId="0" xfId="0" quotePrefix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4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2.png"/><Relationship Id="rId75" Type="http://schemas.openxmlformats.org/officeDocument/2006/relationships/image" Target="../media/image7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3.png"/></Relationships>
</file>

<file path=xl/drawings/_rels/drawing7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2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8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2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9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2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10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2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1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2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4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3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3.png"/><Relationship Id="rId13" Type="http://schemas.openxmlformats.org/officeDocument/2006/relationships/image" Target="../media/image88.png"/><Relationship Id="rId3" Type="http://schemas.openxmlformats.org/officeDocument/2006/relationships/image" Target="../media/image78.png"/><Relationship Id="rId7" Type="http://schemas.openxmlformats.org/officeDocument/2006/relationships/image" Target="../media/image82.png"/><Relationship Id="rId12" Type="http://schemas.openxmlformats.org/officeDocument/2006/relationships/image" Target="../media/image87.png"/><Relationship Id="rId2" Type="http://schemas.openxmlformats.org/officeDocument/2006/relationships/image" Target="../media/image77.png"/><Relationship Id="rId1" Type="http://schemas.openxmlformats.org/officeDocument/2006/relationships/image" Target="../media/image76.png"/><Relationship Id="rId6" Type="http://schemas.openxmlformats.org/officeDocument/2006/relationships/image" Target="../media/image81.png"/><Relationship Id="rId11" Type="http://schemas.openxmlformats.org/officeDocument/2006/relationships/image" Target="../media/image86.png"/><Relationship Id="rId5" Type="http://schemas.openxmlformats.org/officeDocument/2006/relationships/image" Target="../media/image80.png"/><Relationship Id="rId10" Type="http://schemas.openxmlformats.org/officeDocument/2006/relationships/image" Target="../media/image85.png"/><Relationship Id="rId4" Type="http://schemas.openxmlformats.org/officeDocument/2006/relationships/image" Target="../media/image79.png"/><Relationship Id="rId9" Type="http://schemas.openxmlformats.org/officeDocument/2006/relationships/image" Target="../media/image84.png"/><Relationship Id="rId14" Type="http://schemas.openxmlformats.org/officeDocument/2006/relationships/image" Target="../media/image8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61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4695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2067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 descr="Item:Key1,Pos:1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 descr="Item:WoodenBarrier,Pos:1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 descr="Item:TrapDoor,Pos:1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 descr="Item:Punji,Pos:1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 descr="Item:Hammer,Pos:1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 descr="Item:Amulet,Pos:1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320886" y="103216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 descr="Item:MysteryCrate,Pos:1,ItemType:17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 descr="Item:PinchBar,Pos: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 descr="Item:LockedDoor,Pos:1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 descr="Item:Potion,Pos:1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 descr="Item:Anchor,Pos:1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 descr="Item:Flame,Pos:1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 descr="Item:Trebochet_Left,Pos:1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 descr="Item:Trebochet_Right,Pos:1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120" name="Picture 119" descr="Item:SwingyThing,Pos:1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291313" y="9517301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 descr="Item:Sword,Pos:1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 descr="Item:Chakana,Pos: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123" name="Picture 122" descr="Item:Lever_LH,Pos:1,Data:1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02080" y="10363968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125" name="Picture 124" descr="Item:Lever_Portal_Closed,Pos:2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572325" y="10349859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126" name="Picture 125" descr="Item:Lever_Portal_Open,Pos:2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444648" y="10349858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Item: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42" name="Picture 41" descr="Item:Lever_Portal_Auto_Closed,Pos:2,Data:256">
          <a:extLst>
            <a:ext uri="{FF2B5EF4-FFF2-40B4-BE49-F238E27FC236}">
              <a16:creationId xmlns:a16="http://schemas.microsoft.com/office/drawing/2014/main" id="{C7584D5F-028A-9B9E-4212-DAA4C71A3B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0556" y="1035755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68" name="Picture 67" descr="Item:LifeSaver,Pos:1">
          <a:extLst>
            <a:ext uri="{FF2B5EF4-FFF2-40B4-BE49-F238E27FC236}">
              <a16:creationId xmlns:a16="http://schemas.microsoft.com/office/drawing/2014/main" id="{0E41C4B6-C298-6809-2DFB-7BA3B14F9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574889" y="9525001"/>
          <a:ext cx="804333" cy="804333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76" name="Picture 75" descr="Item:LifeSaver_Disolve,Pos:1">
          <a:extLst>
            <a:ext uri="{FF2B5EF4-FFF2-40B4-BE49-F238E27FC236}">
              <a16:creationId xmlns:a16="http://schemas.microsoft.com/office/drawing/2014/main" id="{9769B2AE-C669-B377-5B1D-5CD6B1B6E5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435665" y="9525001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157" name="Picture 156" descr=" 0, 0,27,27,">
          <a:extLst>
            <a:ext uri="{FF2B5EF4-FFF2-40B4-BE49-F238E27FC236}">
              <a16:creationId xmlns:a16="http://schemas.microsoft.com/office/drawing/2014/main" id="{FFD73A49-2E33-1835-CC84-47E86D0ACF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5983111" y="9510888"/>
          <a:ext cx="790224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158" name="Picture 157" descr=" 0, 0,28,28,">
          <a:extLst>
            <a:ext uri="{FF2B5EF4-FFF2-40B4-BE49-F238E27FC236}">
              <a16:creationId xmlns:a16="http://schemas.microsoft.com/office/drawing/2014/main" id="{FB39C3FD-C799-C8AB-75B6-D1C1F283DE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22333" y="951088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159" name="Picture 158" descr="27,27, 2, 2,">
          <a:extLst>
            <a:ext uri="{FF2B5EF4-FFF2-40B4-BE49-F238E27FC236}">
              <a16:creationId xmlns:a16="http://schemas.microsoft.com/office/drawing/2014/main" id="{EFF57597-A776-0500-186A-8A79CED538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62333" y="9510888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160" name="Picture 159" descr="28,28, 2, 2,">
          <a:extLst>
            <a:ext uri="{FF2B5EF4-FFF2-40B4-BE49-F238E27FC236}">
              <a16:creationId xmlns:a16="http://schemas.microsoft.com/office/drawing/2014/main" id="{D0B51E19-AD89-76D8-0EFE-E3A02E46C2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01554" y="951088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38" name="Picture 37" descr="Item:Lever_RH,Pos:1,Data:1">
          <a:extLst>
            <a:ext uri="{FF2B5EF4-FFF2-40B4-BE49-F238E27FC236}">
              <a16:creationId xmlns:a16="http://schemas.microsoft.com/office/drawing/2014/main" id="{C5F064F5-674A-0AEA-0CB6-F0BDE5B301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42332" y="10371665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40" name="Picture 39" descr="Item:Lever_Portal_Auto_Open,Pos:2,Data:256">
          <a:extLst>
            <a:ext uri="{FF2B5EF4-FFF2-40B4-BE49-F238E27FC236}">
              <a16:creationId xmlns:a16="http://schemas.microsoft.com/office/drawing/2014/main" id="{26CC3D80-B9C0-7B89-19F1-E78D8C31C1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143110" y="10371665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37" name="Picture 36" descr="Enemy:Archer_RH,Pos:1">
          <a:extLst>
            <a:ext uri="{FF2B5EF4-FFF2-40B4-BE49-F238E27FC236}">
              <a16:creationId xmlns:a16="http://schemas.microsoft.com/office/drawing/2014/main" id="{1C780438-781A-AB26-63DB-485D7BBB0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6975666" y="9510888"/>
          <a:ext cx="804334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43" name="Picture 42" descr="Enemy:Archer_LH,Pos:1">
          <a:extLst>
            <a:ext uri="{FF2B5EF4-FFF2-40B4-BE49-F238E27FC236}">
              <a16:creationId xmlns:a16="http://schemas.microsoft.com/office/drawing/2014/main" id="{AE2EE039-8230-1FA6-2F4B-755E891BFE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822333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44" name="Picture 43">
          <a:extLst>
            <a:ext uri="{FF2B5EF4-FFF2-40B4-BE49-F238E27FC236}">
              <a16:creationId xmlns:a16="http://schemas.microsoft.com/office/drawing/2014/main" id="{6DEB6E46-0DA4-E3C1-050B-8DE73DA1D2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6975666" y="10357555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45" name="Picture 44" descr="Enemy:SwordFighter_LH,Pos:1">
          <a:extLst>
            <a:ext uri="{FF2B5EF4-FFF2-40B4-BE49-F238E27FC236}">
              <a16:creationId xmlns:a16="http://schemas.microsoft.com/office/drawing/2014/main" id="{436D825A-69FA-9B8D-B3F4-8B5C618A2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08221" y="10357554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55" name="Picture 54" descr="Item:Chakana_Small,Pos:1,Data:5">
          <a:extLst>
            <a:ext uri="{FF2B5EF4-FFF2-40B4-BE49-F238E27FC236}">
              <a16:creationId xmlns:a16="http://schemas.microsoft.com/office/drawing/2014/main" id="{CAED0799-D658-C8DD-05C5-8E8B3A213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581556" y="951088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41" name="Picture 40" descr="18,18,18,18,">
          <a:extLst>
            <a:ext uri="{FF2B5EF4-FFF2-40B4-BE49-F238E27FC236}">
              <a16:creationId xmlns:a16="http://schemas.microsoft.com/office/drawing/2014/main" id="{6DB99088-F0A8-8F10-86BD-853D6C4B82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4889" y="917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47" name="Picture 46" descr="Item:Poker,Pos:1">
          <a:extLst>
            <a:ext uri="{FF2B5EF4-FFF2-40B4-BE49-F238E27FC236}">
              <a16:creationId xmlns:a16="http://schemas.microsoft.com/office/drawing/2014/main" id="{35B49DEB-55D2-8ABA-36B6-76DE95363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907875" y="10318750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2" name="Picture 81" descr=" 9,10, 2, 1,">
          <a:extLst>
            <a:ext uri="{FF2B5EF4-FFF2-40B4-BE49-F238E27FC236}">
              <a16:creationId xmlns:a16="http://schemas.microsoft.com/office/drawing/2014/main" id="{9A4E13C9-4267-984F-B855-8EBBD57CF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28" name="Picture 156" descr=" 0, 0, 3, 3,">
          <a:extLst>
            <a:ext uri="{FF2B5EF4-FFF2-40B4-BE49-F238E27FC236}">
              <a16:creationId xmlns:a16="http://schemas.microsoft.com/office/drawing/2014/main" id="{A1CC54A7-2D66-A04D-8F22-EBE0DE367751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49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48" name="Picture 157" descr=" 2, 2, 3, 3,">
          <a:extLst>
            <a:ext uri="{FF2B5EF4-FFF2-40B4-BE49-F238E27FC236}">
              <a16:creationId xmlns:a16="http://schemas.microsoft.com/office/drawing/2014/main" id="{71D67AFB-953D-9E4B-9E4C-D1E7E75EB97C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80999" y="1035049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50" name="Picture 49" descr="42,42,42,42, ">
          <a:extLst>
            <a:ext uri="{FF2B5EF4-FFF2-40B4-BE49-F238E27FC236}">
              <a16:creationId xmlns:a16="http://schemas.microsoft.com/office/drawing/2014/main" id="{078B1276-D257-BC02-D4B0-4BFE18436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62237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57" name="Picture 56" descr="43,43,43,43, ">
          <a:extLst>
            <a:ext uri="{FF2B5EF4-FFF2-40B4-BE49-F238E27FC236}">
              <a16:creationId xmlns:a16="http://schemas.microsoft.com/office/drawing/2014/main" id="{509DFB8D-A123-F915-4100-D37F44B5E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638249" y="1031874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4</xdr:row>
      <xdr:rowOff>15875</xdr:rowOff>
    </xdr:from>
    <xdr:to>
      <xdr:col>7</xdr:col>
      <xdr:colOff>805750</xdr:colOff>
      <xdr:row>4</xdr:row>
      <xdr:rowOff>789875</xdr:rowOff>
    </xdr:to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E514E47-D860-DE4B-968C-C01BDE3378DC}"/>
            </a:ext>
            <a:ext uri="{147F2762-F138-4A5C-976F-8EAC2B608ADB}">
              <a16:predDERef xmlns:a16="http://schemas.microsoft.com/office/drawing/2014/main" pred="{D8887C92-A1AB-4F82-AD1F-4CFD9A7B4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3250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31750</xdr:colOff>
      <xdr:row>4</xdr:row>
      <xdr:rowOff>15875</xdr:rowOff>
    </xdr:from>
    <xdr:to>
      <xdr:col>8</xdr:col>
      <xdr:colOff>805750</xdr:colOff>
      <xdr:row>4</xdr:row>
      <xdr:rowOff>789875</xdr:rowOff>
    </xdr:to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BE51152D-6EDF-1546-8E72-F7AC9C332914}"/>
            </a:ext>
            <a:ext uri="{147F2762-F138-4A5C-976F-8EAC2B608ADB}">
              <a16:predDERef xmlns:a16="http://schemas.microsoft.com/office/drawing/2014/main" pred="{4DE6C1F4-BDC9-4E3B-A546-69FC2FB81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975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4</xdr:row>
      <xdr:rowOff>15875</xdr:rowOff>
    </xdr:from>
    <xdr:to>
      <xdr:col>12</xdr:col>
      <xdr:colOff>805750</xdr:colOff>
      <xdr:row>4</xdr:row>
      <xdr:rowOff>789875</xdr:rowOff>
    </xdr:to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A1166987-678A-894E-80A4-7F288E8191F4}"/>
            </a:ext>
            <a:ext uri="{147F2762-F138-4A5C-976F-8EAC2B608ADB}">
              <a16:predDERef xmlns:a16="http://schemas.microsoft.com/office/drawing/2014/main" pred="{E8D5614A-5BCA-43C6-8E2D-EC6F66209C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4</xdr:row>
      <xdr:rowOff>15875</xdr:rowOff>
    </xdr:from>
    <xdr:to>
      <xdr:col>13</xdr:col>
      <xdr:colOff>805750</xdr:colOff>
      <xdr:row>4</xdr:row>
      <xdr:rowOff>789875</xdr:rowOff>
    </xdr:to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34E4245A-57D4-C14D-85A7-4C08C4525552}"/>
            </a:ext>
            <a:ext uri="{147F2762-F138-4A5C-976F-8EAC2B608ADB}">
              <a16:predDERef xmlns:a16="http://schemas.microsoft.com/office/drawing/2014/main" pred="{3D6C6A29-548C-4DB0-B6E4-5E1A73FEB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600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4</xdr:row>
      <xdr:rowOff>15875</xdr:rowOff>
    </xdr:from>
    <xdr:to>
      <xdr:col>14</xdr:col>
      <xdr:colOff>805750</xdr:colOff>
      <xdr:row>4</xdr:row>
      <xdr:rowOff>789875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5ADD2FA3-8F5A-4445-8A60-E7639FBFA376}"/>
            </a:ext>
            <a:ext uri="{147F2762-F138-4A5C-976F-8EAC2B608ADB}">
              <a16:predDERef xmlns:a16="http://schemas.microsoft.com/office/drawing/2014/main" pred="{6CBB4FEC-4592-48CA-B796-0C4324F047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6</xdr:row>
      <xdr:rowOff>15875</xdr:rowOff>
    </xdr:from>
    <xdr:to>
      <xdr:col>15</xdr:col>
      <xdr:colOff>805750</xdr:colOff>
      <xdr:row>6</xdr:row>
      <xdr:rowOff>789875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0556A4E-D7BB-4B47-9083-04BFBE0B4AB2}"/>
            </a:ext>
            <a:ext uri="{147F2762-F138-4A5C-976F-8EAC2B608ADB}">
              <a16:predDERef xmlns:a16="http://schemas.microsoft.com/office/drawing/2014/main" pred="{BCAF6776-D395-4B80-B009-B1027046D8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515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7</xdr:row>
      <xdr:rowOff>15875</xdr:rowOff>
    </xdr:from>
    <xdr:to>
      <xdr:col>13</xdr:col>
      <xdr:colOff>805750</xdr:colOff>
      <xdr:row>7</xdr:row>
      <xdr:rowOff>789875</xdr:rowOff>
    </xdr:to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36E045D-7447-6E43-8259-940D819E7C6A}"/>
            </a:ext>
            <a:ext uri="{147F2762-F138-4A5C-976F-8EAC2B608ADB}">
              <a16:predDERef xmlns:a16="http://schemas.microsoft.com/office/drawing/2014/main" pred="{AC95CA52-8A22-4C9E-BEC4-D96BE5E2EC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600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7</xdr:row>
      <xdr:rowOff>15875</xdr:rowOff>
    </xdr:from>
    <xdr:to>
      <xdr:col>14</xdr:col>
      <xdr:colOff>805750</xdr:colOff>
      <xdr:row>7</xdr:row>
      <xdr:rowOff>789875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7658E47A-7C21-D04C-B442-464388D530A7}"/>
            </a:ext>
            <a:ext uri="{147F2762-F138-4A5C-976F-8EAC2B608ADB}">
              <a16:predDERef xmlns:a16="http://schemas.microsoft.com/office/drawing/2014/main" pred="{B88D4A3B-B971-47D9-BD3B-41DA22C50F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7</xdr:row>
      <xdr:rowOff>15875</xdr:rowOff>
    </xdr:from>
    <xdr:to>
      <xdr:col>15</xdr:col>
      <xdr:colOff>805750</xdr:colOff>
      <xdr:row>7</xdr:row>
      <xdr:rowOff>789875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92313A6-93F9-5F43-AC22-070658D4B1CA}"/>
            </a:ext>
            <a:ext uri="{147F2762-F138-4A5C-976F-8EAC2B608ADB}">
              <a16:predDERef xmlns:a16="http://schemas.microsoft.com/office/drawing/2014/main" pred="{9C4861AB-0CDF-4AAF-97ED-C823ACCB70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7</xdr:row>
      <xdr:rowOff>15875</xdr:rowOff>
    </xdr:from>
    <xdr:to>
      <xdr:col>16</xdr:col>
      <xdr:colOff>805750</xdr:colOff>
      <xdr:row>7</xdr:row>
      <xdr:rowOff>789875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B18F79C4-7D90-BC47-B1BD-85CCF0B28FCE}"/>
            </a:ext>
            <a:ext uri="{147F2762-F138-4A5C-976F-8EAC2B608ADB}">
              <a16:predDERef xmlns:a16="http://schemas.microsoft.com/office/drawing/2014/main" pred="{93CA4F85-0CEA-449F-913B-ACE8B4466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7</xdr:row>
      <xdr:rowOff>15875</xdr:rowOff>
    </xdr:from>
    <xdr:to>
      <xdr:col>17</xdr:col>
      <xdr:colOff>805750</xdr:colOff>
      <xdr:row>7</xdr:row>
      <xdr:rowOff>789875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8D7E51FB-EDBC-DB45-826F-20783FC6FD7B}"/>
            </a:ext>
            <a:ext uri="{147F2762-F138-4A5C-976F-8EAC2B608ADB}">
              <a16:predDERef xmlns:a16="http://schemas.microsoft.com/office/drawing/2014/main" pred="{6858EF99-FCDB-4674-BDF7-034BCD74A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8</xdr:row>
      <xdr:rowOff>31750</xdr:rowOff>
    </xdr:from>
    <xdr:to>
      <xdr:col>11</xdr:col>
      <xdr:colOff>821625</xdr:colOff>
      <xdr:row>8</xdr:row>
      <xdr:rowOff>805750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F53CC15-CBFD-7D41-A9EF-EA5350E77427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7FACDAC9-9F77-0042-B03B-5B439DCC461A}"/>
            </a:ext>
            <a:ext uri="{147F2762-F138-4A5C-976F-8EAC2B608ADB}">
              <a16:predDERef xmlns:a16="http://schemas.microsoft.com/office/drawing/2014/main" pred="{9A5127EB-D9F2-47FA-9E8E-3AB3CF2881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15875</xdr:rowOff>
    </xdr:from>
    <xdr:to>
      <xdr:col>13</xdr:col>
      <xdr:colOff>805750</xdr:colOff>
      <xdr:row>8</xdr:row>
      <xdr:rowOff>789875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974F4C8-DD0A-DA4B-897A-9FEAFB85756E}"/>
            </a:ext>
            <a:ext uri="{147F2762-F138-4A5C-976F-8EAC2B608ADB}">
              <a16:predDERef xmlns:a16="http://schemas.microsoft.com/office/drawing/2014/main" pred="{4E6BA137-F7B9-4B5B-8333-CF02F4D12D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60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8</xdr:row>
      <xdr:rowOff>15875</xdr:rowOff>
    </xdr:from>
    <xdr:to>
      <xdr:col>14</xdr:col>
      <xdr:colOff>805750</xdr:colOff>
      <xdr:row>8</xdr:row>
      <xdr:rowOff>789875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A8DA2F33-66AF-704F-97F5-1B8DBD712F7B}"/>
            </a:ext>
            <a:ext uri="{147F2762-F138-4A5C-976F-8EAC2B608ADB}">
              <a16:predDERef xmlns:a16="http://schemas.microsoft.com/office/drawing/2014/main" pred="{34DD4079-AA6B-491E-864F-A536153C9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8</xdr:row>
      <xdr:rowOff>15875</xdr:rowOff>
    </xdr:from>
    <xdr:to>
      <xdr:col>15</xdr:col>
      <xdr:colOff>805750</xdr:colOff>
      <xdr:row>8</xdr:row>
      <xdr:rowOff>789875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091E957-0B45-C64D-970D-5B937A8A8C4C}"/>
            </a:ext>
            <a:ext uri="{147F2762-F138-4A5C-976F-8EAC2B608ADB}">
              <a16:predDERef xmlns:a16="http://schemas.microsoft.com/office/drawing/2014/main" pred="{302D3429-BD2E-4E82-AA72-A84CDC87FB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8</xdr:row>
      <xdr:rowOff>15875</xdr:rowOff>
    </xdr:from>
    <xdr:to>
      <xdr:col>16</xdr:col>
      <xdr:colOff>805750</xdr:colOff>
      <xdr:row>8</xdr:row>
      <xdr:rowOff>789875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2D05BF9E-92D5-E141-89A9-BBB9F0FB6714}"/>
            </a:ext>
            <a:ext uri="{147F2762-F138-4A5C-976F-8EAC2B608ADB}">
              <a16:predDERef xmlns:a16="http://schemas.microsoft.com/office/drawing/2014/main" pred="{1546D403-BE8E-4928-B1A9-14318A478B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8</xdr:row>
      <xdr:rowOff>15875</xdr:rowOff>
    </xdr:from>
    <xdr:to>
      <xdr:col>17</xdr:col>
      <xdr:colOff>805750</xdr:colOff>
      <xdr:row>8</xdr:row>
      <xdr:rowOff>789875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5D9DD927-77C1-F94A-8F0A-90FB94ABCA0F}"/>
            </a:ext>
            <a:ext uri="{147F2762-F138-4A5C-976F-8EAC2B608ADB}">
              <a16:predDERef xmlns:a16="http://schemas.microsoft.com/office/drawing/2014/main" pred="{69F6AEB5-40E1-4C06-8967-C211284F02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8</xdr:row>
      <xdr:rowOff>15875</xdr:rowOff>
    </xdr:from>
    <xdr:to>
      <xdr:col>18</xdr:col>
      <xdr:colOff>805750</xdr:colOff>
      <xdr:row>8</xdr:row>
      <xdr:rowOff>789875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AC210789-AEE8-704D-9974-3C2DCEFBA10D}"/>
            </a:ext>
            <a:ext uri="{147F2762-F138-4A5C-976F-8EAC2B608ADB}">
              <a16:predDERef xmlns:a16="http://schemas.microsoft.com/office/drawing/2014/main" pred="{9509623D-9A30-446A-8CAB-17A402FE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15875</xdr:rowOff>
    </xdr:from>
    <xdr:to>
      <xdr:col>19</xdr:col>
      <xdr:colOff>805750</xdr:colOff>
      <xdr:row>8</xdr:row>
      <xdr:rowOff>789875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184998CF-7B11-7A4A-B748-DD515BA448CD}"/>
            </a:ext>
            <a:ext uri="{147F2762-F138-4A5C-976F-8EAC2B608ADB}">
              <a16:predDERef xmlns:a16="http://schemas.microsoft.com/office/drawing/2014/main" pred="{20FF2D7B-C89D-4971-8BC2-64A3355FEF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95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8</xdr:row>
      <xdr:rowOff>15875</xdr:rowOff>
    </xdr:from>
    <xdr:to>
      <xdr:col>25</xdr:col>
      <xdr:colOff>805750</xdr:colOff>
      <xdr:row>8</xdr:row>
      <xdr:rowOff>789875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4DAD0325-C73D-DB41-B28F-1B56F4945C4F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6300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3</xdr:row>
      <xdr:rowOff>15875</xdr:rowOff>
    </xdr:from>
    <xdr:to>
      <xdr:col>21</xdr:col>
      <xdr:colOff>805750</xdr:colOff>
      <xdr:row>3</xdr:row>
      <xdr:rowOff>789875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0177559-979B-154E-BDFE-7B577873CB50}"/>
            </a:ext>
            <a:ext uri="{147F2762-F138-4A5C-976F-8EAC2B608ADB}">
              <a16:predDERef xmlns:a16="http://schemas.microsoft.com/office/drawing/2014/main" pred="{367021CD-44BF-41E0-9D8A-3EE27E951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3</xdr:row>
      <xdr:rowOff>15875</xdr:rowOff>
    </xdr:from>
    <xdr:to>
      <xdr:col>20</xdr:col>
      <xdr:colOff>805750</xdr:colOff>
      <xdr:row>3</xdr:row>
      <xdr:rowOff>789875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CBEBCC1-A801-1842-9415-892408F5B64D}"/>
            </a:ext>
            <a:ext uri="{147F2762-F138-4A5C-976F-8EAC2B608ADB}">
              <a16:predDERef xmlns:a16="http://schemas.microsoft.com/office/drawing/2014/main" pred="{61AD530C-AF3D-4BF9-9D45-B2DEB5EE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3</xdr:row>
      <xdr:rowOff>15875</xdr:rowOff>
    </xdr:from>
    <xdr:to>
      <xdr:col>19</xdr:col>
      <xdr:colOff>805750</xdr:colOff>
      <xdr:row>3</xdr:row>
      <xdr:rowOff>789875</xdr:rowOff>
    </xdr:to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47105D86-351B-A442-85EB-F3331D21B165}"/>
            </a:ext>
            <a:ext uri="{147F2762-F138-4A5C-976F-8EAC2B608ADB}">
              <a16:predDERef xmlns:a16="http://schemas.microsoft.com/office/drawing/2014/main" pred="{D268130B-ADD0-4F06-8361-50AE23E54C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950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15875</xdr:rowOff>
    </xdr:from>
    <xdr:to>
      <xdr:col>18</xdr:col>
      <xdr:colOff>805750</xdr:colOff>
      <xdr:row>3</xdr:row>
      <xdr:rowOff>789875</xdr:rowOff>
    </xdr:to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8523BA3D-C11D-E84D-B09A-CB125E1FD32B}"/>
            </a:ext>
            <a:ext uri="{147F2762-F138-4A5C-976F-8EAC2B608ADB}">
              <a16:predDERef xmlns:a16="http://schemas.microsoft.com/office/drawing/2014/main" pred="{6E3396CD-0936-4BE2-8E52-746C5AD6AB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7447EFA8-7450-EE43-9D17-FD11964D914E}"/>
            </a:ext>
            <a:ext uri="{147F2762-F138-4A5C-976F-8EAC2B608ADB}">
              <a16:predDERef xmlns:a16="http://schemas.microsoft.com/office/drawing/2014/main" pred="{26AAEF3B-5734-42D1-9AD0-70ABEB93D6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3</xdr:row>
      <xdr:rowOff>15875</xdr:rowOff>
    </xdr:from>
    <xdr:to>
      <xdr:col>16</xdr:col>
      <xdr:colOff>805750</xdr:colOff>
      <xdr:row>3</xdr:row>
      <xdr:rowOff>789875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44349364-4453-B14C-930B-B58941559355}"/>
            </a:ext>
            <a:ext uri="{147F2762-F138-4A5C-976F-8EAC2B608ADB}">
              <a16:predDERef xmlns:a16="http://schemas.microsoft.com/office/drawing/2014/main" pred="{56069532-43B8-402F-B79F-F73B7353FC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1</xdr:row>
      <xdr:rowOff>15875</xdr:rowOff>
    </xdr:from>
    <xdr:to>
      <xdr:col>10</xdr:col>
      <xdr:colOff>805750</xdr:colOff>
      <xdr:row>1</xdr:row>
      <xdr:rowOff>789875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42512A7C-0EF8-1049-A504-8D5E93672615}"/>
            </a:ext>
            <a:ext uri="{147F2762-F138-4A5C-976F-8EAC2B608ADB}">
              <a16:predDERef xmlns:a16="http://schemas.microsoft.com/office/drawing/2014/main" pred="{DC7E0A41-FA9A-4EFF-8440-89919BF58A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042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31750</xdr:colOff>
      <xdr:row>1</xdr:row>
      <xdr:rowOff>15875</xdr:rowOff>
    </xdr:from>
    <xdr:to>
      <xdr:col>11</xdr:col>
      <xdr:colOff>805750</xdr:colOff>
      <xdr:row>1</xdr:row>
      <xdr:rowOff>789875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813CB1F8-E95F-D64F-B7D8-002A94347BA2}"/>
            </a:ext>
            <a:ext uri="{147F2762-F138-4A5C-976F-8EAC2B608ADB}">
              <a16:predDERef xmlns:a16="http://schemas.microsoft.com/office/drawing/2014/main" pred="{D37A9837-8EA7-4E26-9E87-B728BBF78F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15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1</xdr:row>
      <xdr:rowOff>15875</xdr:rowOff>
    </xdr:from>
    <xdr:to>
      <xdr:col>12</xdr:col>
      <xdr:colOff>805750</xdr:colOff>
      <xdr:row>1</xdr:row>
      <xdr:rowOff>789875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C396E8E1-11C1-6649-8466-84D0EA283EB5}"/>
            </a:ext>
            <a:ext uri="{147F2762-F138-4A5C-976F-8EAC2B608ADB}">
              <a16:predDERef xmlns:a16="http://schemas.microsoft.com/office/drawing/2014/main" pred="{026E153A-B7B0-49D2-B0B3-6F0302AF4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187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1</xdr:row>
      <xdr:rowOff>15875</xdr:rowOff>
    </xdr:from>
    <xdr:to>
      <xdr:col>22</xdr:col>
      <xdr:colOff>805750</xdr:colOff>
      <xdr:row>1</xdr:row>
      <xdr:rowOff>789875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4E7237A-9DBA-1E4F-910C-7E3C87B0B56C}"/>
            </a:ext>
            <a:ext uri="{147F2762-F138-4A5C-976F-8EAC2B608ADB}">
              <a16:predDERef xmlns:a16="http://schemas.microsoft.com/office/drawing/2014/main" pred="{CEB694F4-656E-430E-A3FD-ED6A365ED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8912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1</xdr:row>
      <xdr:rowOff>15875</xdr:rowOff>
    </xdr:from>
    <xdr:to>
      <xdr:col>21</xdr:col>
      <xdr:colOff>805750</xdr:colOff>
      <xdr:row>1</xdr:row>
      <xdr:rowOff>789875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4988497B-51E9-1145-9CD1-8467D87D3228}"/>
            </a:ext>
            <a:ext uri="{147F2762-F138-4A5C-976F-8EAC2B608ADB}">
              <a16:predDERef xmlns:a16="http://schemas.microsoft.com/office/drawing/2014/main" pred="{37AF3470-E9DE-432F-8DA5-14CFB19EDC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340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1</xdr:row>
      <xdr:rowOff>15875</xdr:rowOff>
    </xdr:from>
    <xdr:to>
      <xdr:col>20</xdr:col>
      <xdr:colOff>805750</xdr:colOff>
      <xdr:row>1</xdr:row>
      <xdr:rowOff>789875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6E9FF2CF-751D-1B4C-9E14-9CFF27C55EA8}"/>
            </a:ext>
            <a:ext uri="{147F2762-F138-4A5C-976F-8EAC2B608ADB}">
              <a16:predDERef xmlns:a16="http://schemas.microsoft.com/office/drawing/2014/main" pred="{CB553593-969F-4D51-A68D-CD94E11F25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67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1</xdr:row>
      <xdr:rowOff>15875</xdr:rowOff>
    </xdr:from>
    <xdr:to>
      <xdr:col>19</xdr:col>
      <xdr:colOff>805750</xdr:colOff>
      <xdr:row>1</xdr:row>
      <xdr:rowOff>789875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89B2F4E8-14AB-E849-9165-CE9E0BFA42A1}"/>
            </a:ext>
            <a:ext uri="{147F2762-F138-4A5C-976F-8EAC2B608ADB}">
              <a16:predDERef xmlns:a16="http://schemas.microsoft.com/office/drawing/2014/main" pred="{8548896E-FCE1-4AF3-BC9D-4BDBEEEB90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195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1</xdr:row>
      <xdr:rowOff>15875</xdr:rowOff>
    </xdr:from>
    <xdr:to>
      <xdr:col>18</xdr:col>
      <xdr:colOff>805750</xdr:colOff>
      <xdr:row>1</xdr:row>
      <xdr:rowOff>789875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F02B12F4-1650-1D48-9722-F0ED248A1CB7}"/>
            </a:ext>
            <a:ext uri="{147F2762-F138-4A5C-976F-8EAC2B608ADB}">
              <a16:predDERef xmlns:a16="http://schemas.microsoft.com/office/drawing/2014/main" pred="{19883466-5F6E-479F-9915-D80C21487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622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1</xdr:row>
      <xdr:rowOff>15875</xdr:rowOff>
    </xdr:from>
    <xdr:to>
      <xdr:col>17</xdr:col>
      <xdr:colOff>805750</xdr:colOff>
      <xdr:row>1</xdr:row>
      <xdr:rowOff>789875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B63E98E6-7211-2C4B-BA14-55740EEE384B}"/>
            </a:ext>
            <a:ext uri="{147F2762-F138-4A5C-976F-8EAC2B608ADB}">
              <a16:predDERef xmlns:a16="http://schemas.microsoft.com/office/drawing/2014/main" pred="{C9D68176-E681-4E39-ABCD-2F400F6D3F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050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1</xdr:row>
      <xdr:rowOff>15875</xdr:rowOff>
    </xdr:from>
    <xdr:to>
      <xdr:col>16</xdr:col>
      <xdr:colOff>805750</xdr:colOff>
      <xdr:row>1</xdr:row>
      <xdr:rowOff>789875</xdr:rowOff>
    </xdr:to>
    <xdr:pic>
      <xdr:nvPicPr>
        <xdr:cNvPr id="175" name="Picture 174" descr=" 1, 1, 2, 2,">
          <a:extLst>
            <a:ext uri="{FF2B5EF4-FFF2-40B4-BE49-F238E27FC236}">
              <a16:creationId xmlns:a16="http://schemas.microsoft.com/office/drawing/2014/main" id="{13A8339F-B805-9048-8B10-E78BC19C37B4}"/>
            </a:ext>
            <a:ext uri="{147F2762-F138-4A5C-976F-8EAC2B608ADB}">
              <a16:predDERef xmlns:a16="http://schemas.microsoft.com/office/drawing/2014/main" pred="{DEC4AEB2-222B-42F7-97A3-E768B3D4BC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1</xdr:row>
      <xdr:rowOff>15875</xdr:rowOff>
    </xdr:from>
    <xdr:to>
      <xdr:col>15</xdr:col>
      <xdr:colOff>805750</xdr:colOff>
      <xdr:row>1</xdr:row>
      <xdr:rowOff>789875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18F0D3B3-F363-E44D-87D2-88D46E179BED}"/>
            </a:ext>
            <a:ext uri="{147F2762-F138-4A5C-976F-8EAC2B608ADB}">
              <a16:predDERef xmlns:a16="http://schemas.microsoft.com/office/drawing/2014/main" pred="{EEBF4224-68CB-409F-80FE-FD16D80CD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05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1</xdr:row>
      <xdr:rowOff>15875</xdr:rowOff>
    </xdr:from>
    <xdr:to>
      <xdr:col>14</xdr:col>
      <xdr:colOff>805750</xdr:colOff>
      <xdr:row>1</xdr:row>
      <xdr:rowOff>789875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BC490436-0F15-9B4C-A03C-D0348F3CEE73}"/>
            </a:ext>
            <a:ext uri="{147F2762-F138-4A5C-976F-8EAC2B608ADB}">
              <a16:predDERef xmlns:a16="http://schemas.microsoft.com/office/drawing/2014/main" pred="{0473A795-A061-44C7-ACC0-7DF18C223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325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1</xdr:row>
      <xdr:rowOff>15875</xdr:rowOff>
    </xdr:from>
    <xdr:to>
      <xdr:col>13</xdr:col>
      <xdr:colOff>805750</xdr:colOff>
      <xdr:row>1</xdr:row>
      <xdr:rowOff>789875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1BFC7334-A14D-7045-A10C-A8A01AC96B6B}"/>
            </a:ext>
            <a:ext uri="{147F2762-F138-4A5C-976F-8EAC2B608ADB}">
              <a16:predDERef xmlns:a16="http://schemas.microsoft.com/office/drawing/2014/main" pred="{5114459E-A96D-484F-B8CB-2538C0269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6000" y="873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2</xdr:row>
      <xdr:rowOff>15875</xdr:rowOff>
    </xdr:from>
    <xdr:to>
      <xdr:col>22</xdr:col>
      <xdr:colOff>805750</xdr:colOff>
      <xdr:row>2</xdr:row>
      <xdr:rowOff>789875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04D0F388-51B1-BF4E-87A2-97A0105073DA}"/>
            </a:ext>
            <a:ext uri="{147F2762-F138-4A5C-976F-8EAC2B608ADB}">
              <a16:predDERef xmlns:a16="http://schemas.microsoft.com/office/drawing/2014/main" pred="{3E0E7312-3627-4BF9-9596-57C63CC55B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8891250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2</xdr:row>
      <xdr:rowOff>15875</xdr:rowOff>
    </xdr:from>
    <xdr:to>
      <xdr:col>15</xdr:col>
      <xdr:colOff>805750</xdr:colOff>
      <xdr:row>2</xdr:row>
      <xdr:rowOff>789875</xdr:rowOff>
    </xdr:to>
    <xdr:pic>
      <xdr:nvPicPr>
        <xdr:cNvPr id="180" name="Picture 179" descr="33,33,31,31,">
          <a:extLst>
            <a:ext uri="{FF2B5EF4-FFF2-40B4-BE49-F238E27FC236}">
              <a16:creationId xmlns:a16="http://schemas.microsoft.com/office/drawing/2014/main" id="{AE8F115B-9439-444B-B0E1-B69F235B9192}"/>
            </a:ext>
            <a:ext uri="{147F2762-F138-4A5C-976F-8EAC2B608ADB}">
              <a16:predDERef xmlns:a16="http://schemas.microsoft.com/office/drawing/2014/main" pred="{20388FDB-6E4A-4359-B405-82A17D6417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2890500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3</xdr:row>
      <xdr:rowOff>15875</xdr:rowOff>
    </xdr:from>
    <xdr:to>
      <xdr:col>22</xdr:col>
      <xdr:colOff>805750</xdr:colOff>
      <xdr:row>3</xdr:row>
      <xdr:rowOff>789875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32C66D14-3196-884C-B944-80BDF2E30831}"/>
            </a:ext>
            <a:ext uri="{147F2762-F138-4A5C-976F-8EAC2B608ADB}">
              <a16:predDERef xmlns:a16="http://schemas.microsoft.com/office/drawing/2014/main" pred="{D49CEF5E-1D30-46E5-8F80-F537518E8D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89125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4</xdr:row>
      <xdr:rowOff>15875</xdr:rowOff>
    </xdr:from>
    <xdr:to>
      <xdr:col>22</xdr:col>
      <xdr:colOff>805750</xdr:colOff>
      <xdr:row>4</xdr:row>
      <xdr:rowOff>789875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677E7EC-7905-4B45-BF54-33BD57204A77}"/>
            </a:ext>
            <a:ext uri="{147F2762-F138-4A5C-976F-8EAC2B608ADB}">
              <a16:predDERef xmlns:a16="http://schemas.microsoft.com/office/drawing/2014/main" pred="{B62B1CA1-7A80-4069-94F6-0BEAEBDB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889125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15875</xdr:rowOff>
    </xdr:from>
    <xdr:to>
      <xdr:col>15</xdr:col>
      <xdr:colOff>805750</xdr:colOff>
      <xdr:row>3</xdr:row>
      <xdr:rowOff>789875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073DB605-2BF5-154B-8D7D-FF6DBCC37BD1}"/>
            </a:ext>
            <a:ext uri="{147F2762-F138-4A5C-976F-8EAC2B608ADB}">
              <a16:predDERef xmlns:a16="http://schemas.microsoft.com/office/drawing/2014/main" pred="{67982683-A10C-477C-88C5-73F8895E1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0500" y="2587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4</xdr:row>
      <xdr:rowOff>15875</xdr:rowOff>
    </xdr:from>
    <xdr:to>
      <xdr:col>15</xdr:col>
      <xdr:colOff>805750</xdr:colOff>
      <xdr:row>4</xdr:row>
      <xdr:rowOff>789875</xdr:rowOff>
    </xdr:to>
    <xdr:pic>
      <xdr:nvPicPr>
        <xdr:cNvPr id="184" name="Picture 183" descr="31,31,31,31,">
          <a:extLst>
            <a:ext uri="{FF2B5EF4-FFF2-40B4-BE49-F238E27FC236}">
              <a16:creationId xmlns:a16="http://schemas.microsoft.com/office/drawing/2014/main" id="{D1A44592-42E9-754E-B0CF-9A6CDBE410A4}"/>
            </a:ext>
            <a:ext uri="{147F2762-F138-4A5C-976F-8EAC2B608ADB}">
              <a16:predDERef xmlns:a16="http://schemas.microsoft.com/office/drawing/2014/main" pred="{EFEA8929-4FD7-4B54-ADB1-BA1FBCCF92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2890500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31750</xdr:colOff>
      <xdr:row>3</xdr:row>
      <xdr:rowOff>15875</xdr:rowOff>
    </xdr:from>
    <xdr:to>
      <xdr:col>7</xdr:col>
      <xdr:colOff>825500</xdr:colOff>
      <xdr:row>3</xdr:row>
      <xdr:rowOff>801688</xdr:rowOff>
    </xdr:to>
    <xdr:pic>
      <xdr:nvPicPr>
        <xdr:cNvPr id="185" name="Picture 184" descr="Item:Key1,Pos:1">
          <a:extLst>
            <a:ext uri="{FF2B5EF4-FFF2-40B4-BE49-F238E27FC236}">
              <a16:creationId xmlns:a16="http://schemas.microsoft.com/office/drawing/2014/main" id="{D0965925-E55C-6B48-AB0D-5F3B4CB8B728}"/>
            </a:ext>
            <a:ext uri="{147F2762-F138-4A5C-976F-8EAC2B608ADB}">
              <a16:predDERef xmlns:a16="http://schemas.microsoft.com/office/drawing/2014/main" pred="{DB861C54-5E47-44C1-96E3-67BF6A076B0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6032500" y="2587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24</xdr:col>
      <xdr:colOff>63500</xdr:colOff>
      <xdr:row>7</xdr:row>
      <xdr:rowOff>47626</xdr:rowOff>
    </xdr:from>
    <xdr:to>
      <xdr:col>24</xdr:col>
      <xdr:colOff>832322</xdr:colOff>
      <xdr:row>7</xdr:row>
      <xdr:rowOff>809626</xdr:rowOff>
    </xdr:to>
    <xdr:pic>
      <xdr:nvPicPr>
        <xdr:cNvPr id="186" name="Picture 185" descr="Item:LockedDoor,Pos:1">
          <a:extLst>
            <a:ext uri="{FF2B5EF4-FFF2-40B4-BE49-F238E27FC236}">
              <a16:creationId xmlns:a16="http://schemas.microsoft.com/office/drawing/2014/main" id="{3BA1E0D6-DFA1-C044-81DD-7F3ECEB9290F}"/>
            </a:ext>
            <a:ext uri="{147F2762-F138-4A5C-976F-8EAC2B608ADB}">
              <a16:predDERef xmlns:a16="http://schemas.microsoft.com/office/drawing/2014/main" pred="{80372521-50E1-407D-9BF2-9F56F45A1A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20637500" y="6048376"/>
          <a:ext cx="768822" cy="762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839933</xdr:colOff>
      <xdr:row>7</xdr:row>
      <xdr:rowOff>812513</xdr:rowOff>
    </xdr:to>
    <xdr:pic>
      <xdr:nvPicPr>
        <xdr:cNvPr id="187" name="Picture 186" descr="Item:Chakana,Pos:1">
          <a:extLst>
            <a:ext uri="{FF2B5EF4-FFF2-40B4-BE49-F238E27FC236}">
              <a16:creationId xmlns:a16="http://schemas.microsoft.com/office/drawing/2014/main" id="{E30D4B8E-F2C4-CF42-B4A5-92AEA5284BAD}"/>
            </a:ext>
            <a:ext uri="{147F2762-F138-4A5C-976F-8EAC2B608ADB}">
              <a16:predDERef xmlns:a16="http://schemas.microsoft.com/office/drawing/2014/main" pred="{469C3470-A5E5-4C75-9049-D6639B6996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2320250" y="601662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9</xdr:col>
      <xdr:colOff>31750</xdr:colOff>
      <xdr:row>2</xdr:row>
      <xdr:rowOff>15875</xdr:rowOff>
    </xdr:from>
    <xdr:to>
      <xdr:col>11</xdr:col>
      <xdr:colOff>793749</xdr:colOff>
      <xdr:row>3</xdr:row>
      <xdr:rowOff>808690</xdr:rowOff>
    </xdr:to>
    <xdr:pic>
      <xdr:nvPicPr>
        <xdr:cNvPr id="188" name="Picture 187" descr="Item:SwingingVine">
          <a:extLst>
            <a:ext uri="{FF2B5EF4-FFF2-40B4-BE49-F238E27FC236}">
              <a16:creationId xmlns:a16="http://schemas.microsoft.com/office/drawing/2014/main" id="{2B2C294C-725E-B540-9384-DCCEB79D5457}"/>
            </a:ext>
            <a:ext uri="{147F2762-F138-4A5C-976F-8EAC2B608ADB}">
              <a16:predDERef xmlns:a16="http://schemas.microsoft.com/office/drawing/2014/main" pred="{0B5BA58B-D029-49AB-AC26-61025F2E3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7747000" y="1730375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5</xdr:row>
      <xdr:rowOff>15875</xdr:rowOff>
    </xdr:from>
    <xdr:to>
      <xdr:col>15</xdr:col>
      <xdr:colOff>796225</xdr:colOff>
      <xdr:row>5</xdr:row>
      <xdr:rowOff>789875</xdr:rowOff>
    </xdr:to>
    <xdr:pic>
      <xdr:nvPicPr>
        <xdr:cNvPr id="192" name="Picture 191" descr="31,31,32,32,">
          <a:extLst>
            <a:ext uri="{FF2B5EF4-FFF2-40B4-BE49-F238E27FC236}">
              <a16:creationId xmlns:a16="http://schemas.microsoft.com/office/drawing/2014/main" id="{93A55BB1-77C0-BC48-A528-19A5F345B6EB}"/>
            </a:ext>
            <a:ext uri="{147F2762-F138-4A5C-976F-8EAC2B608ADB}">
              <a16:predDERef xmlns:a16="http://schemas.microsoft.com/office/drawing/2014/main" pred="{3B91FE05-2101-47C1-BB1C-BBBF93D7A5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2890500" y="43021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15875</xdr:rowOff>
    </xdr:from>
    <xdr:to>
      <xdr:col>22</xdr:col>
      <xdr:colOff>796225</xdr:colOff>
      <xdr:row>5</xdr:row>
      <xdr:rowOff>789875</xdr:rowOff>
    </xdr:to>
    <xdr:pic>
      <xdr:nvPicPr>
        <xdr:cNvPr id="193" name="Picture 192" descr="31,31,32,32,">
          <a:extLst>
            <a:ext uri="{FF2B5EF4-FFF2-40B4-BE49-F238E27FC236}">
              <a16:creationId xmlns:a16="http://schemas.microsoft.com/office/drawing/2014/main" id="{DAC1F47C-B5AE-8B43-B6EE-2E8F9E038F2C}"/>
            </a:ext>
            <a:ext uri="{147F2762-F138-4A5C-976F-8EAC2B608ADB}">
              <a16:predDERef xmlns:a16="http://schemas.microsoft.com/office/drawing/2014/main" pred="{3FF28F8B-CDA1-488B-8CEB-07D47A4DBC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8891250" y="4302125"/>
          <a:ext cx="764475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41275</xdr:colOff>
      <xdr:row>8</xdr:row>
      <xdr:rowOff>25400</xdr:rowOff>
    </xdr:from>
    <xdr:to>
      <xdr:col>26</xdr:col>
      <xdr:colOff>815275</xdr:colOff>
      <xdr:row>8</xdr:row>
      <xdr:rowOff>799400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116603-81B3-A346-B98C-20128AFDF638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29775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195" name="Picture 194" descr=" 0, 5, 6, 2, ">
          <a:extLst>
            <a:ext uri="{FF2B5EF4-FFF2-40B4-BE49-F238E27FC236}">
              <a16:creationId xmlns:a16="http://schemas.microsoft.com/office/drawing/2014/main" id="{DA0BD2DD-44C2-B3ED-EE67-8E0460AB8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199" name="Picture 198" descr=" 9, 0, 2,11, ">
          <a:extLst>
            <a:ext uri="{FF2B5EF4-FFF2-40B4-BE49-F238E27FC236}">
              <a16:creationId xmlns:a16="http://schemas.microsoft.com/office/drawing/2014/main" id="{EEB506ED-2D1B-9643-9F27-6677733AA3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15875</xdr:rowOff>
    </xdr:from>
    <xdr:to>
      <xdr:col>10</xdr:col>
      <xdr:colOff>825501</xdr:colOff>
      <xdr:row>8</xdr:row>
      <xdr:rowOff>793751</xdr:rowOff>
    </xdr:to>
    <xdr:pic>
      <xdr:nvPicPr>
        <xdr:cNvPr id="208" name="Picture 207" descr=" 0, 5, 6, 2, ">
          <a:extLst>
            <a:ext uri="{FF2B5EF4-FFF2-40B4-BE49-F238E27FC236}">
              <a16:creationId xmlns:a16="http://schemas.microsoft.com/office/drawing/2014/main" id="{4832225A-F138-DB40-85F8-1C2F14BA1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8620125" y="68738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7</xdr:row>
      <xdr:rowOff>47625</xdr:rowOff>
    </xdr:from>
    <xdr:to>
      <xdr:col>12</xdr:col>
      <xdr:colOff>809626</xdr:colOff>
      <xdr:row>7</xdr:row>
      <xdr:rowOff>825501</xdr:rowOff>
    </xdr:to>
    <xdr:pic>
      <xdr:nvPicPr>
        <xdr:cNvPr id="209" name="Picture 208" descr=" 0, 5, 6, 2, ">
          <a:extLst>
            <a:ext uri="{FF2B5EF4-FFF2-40B4-BE49-F238E27FC236}">
              <a16:creationId xmlns:a16="http://schemas.microsoft.com/office/drawing/2014/main" id="{DFB164FA-C049-7C47-A5FC-92B71E21B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0318750" y="6048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63500</xdr:colOff>
      <xdr:row>6</xdr:row>
      <xdr:rowOff>15875</xdr:rowOff>
    </xdr:from>
    <xdr:to>
      <xdr:col>14</xdr:col>
      <xdr:colOff>841376</xdr:colOff>
      <xdr:row>6</xdr:row>
      <xdr:rowOff>793751</xdr:rowOff>
    </xdr:to>
    <xdr:pic>
      <xdr:nvPicPr>
        <xdr:cNvPr id="210" name="Picture 209" descr=" 0, 5, 6, 2, ">
          <a:extLst>
            <a:ext uri="{FF2B5EF4-FFF2-40B4-BE49-F238E27FC236}">
              <a16:creationId xmlns:a16="http://schemas.microsoft.com/office/drawing/2014/main" id="{1FA8CAF9-8A03-5341-9E6B-DE3F09831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2065000" y="515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6</xdr:row>
      <xdr:rowOff>31750</xdr:rowOff>
    </xdr:from>
    <xdr:to>
      <xdr:col>16</xdr:col>
      <xdr:colOff>809625</xdr:colOff>
      <xdr:row>6</xdr:row>
      <xdr:rowOff>793750</xdr:rowOff>
    </xdr:to>
    <xdr:pic>
      <xdr:nvPicPr>
        <xdr:cNvPr id="211" name="Picture 210" descr=" 9, 0, 2,11, ">
          <a:extLst>
            <a:ext uri="{FF2B5EF4-FFF2-40B4-BE49-F238E27FC236}">
              <a16:creationId xmlns:a16="http://schemas.microsoft.com/office/drawing/2014/main" id="{7C1BB7E0-5C2E-4945-8C7D-685673709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3763625" y="51752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7</xdr:row>
      <xdr:rowOff>47625</xdr:rowOff>
    </xdr:from>
    <xdr:to>
      <xdr:col>18</xdr:col>
      <xdr:colOff>809625</xdr:colOff>
      <xdr:row>7</xdr:row>
      <xdr:rowOff>809625</xdr:rowOff>
    </xdr:to>
    <xdr:pic>
      <xdr:nvPicPr>
        <xdr:cNvPr id="212" name="Picture 211" descr=" 9, 0, 2,11, ">
          <a:extLst>
            <a:ext uri="{FF2B5EF4-FFF2-40B4-BE49-F238E27FC236}">
              <a16:creationId xmlns:a16="http://schemas.microsoft.com/office/drawing/2014/main" id="{E6A77342-5277-0545-8994-6211EEDA11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5478125" y="6048375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8</xdr:row>
      <xdr:rowOff>25400</xdr:rowOff>
    </xdr:from>
    <xdr:to>
      <xdr:col>20</xdr:col>
      <xdr:colOff>819150</xdr:colOff>
      <xdr:row>8</xdr:row>
      <xdr:rowOff>787400</xdr:rowOff>
    </xdr:to>
    <xdr:pic>
      <xdr:nvPicPr>
        <xdr:cNvPr id="213" name="Picture 212" descr=" 9, 0, 2,11, ">
          <a:extLst>
            <a:ext uri="{FF2B5EF4-FFF2-40B4-BE49-F238E27FC236}">
              <a16:creationId xmlns:a16="http://schemas.microsoft.com/office/drawing/2014/main" id="{4A59B0D6-7E69-1B4E-B8EA-61DF7E3B9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202150" y="688340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5</xdr:col>
      <xdr:colOff>31750</xdr:colOff>
      <xdr:row>8</xdr:row>
      <xdr:rowOff>31750</xdr:rowOff>
    </xdr:from>
    <xdr:to>
      <xdr:col>5</xdr:col>
      <xdr:colOff>805750</xdr:colOff>
      <xdr:row>8</xdr:row>
      <xdr:rowOff>805750</xdr:rowOff>
    </xdr:to>
    <xdr:pic>
      <xdr:nvPicPr>
        <xdr:cNvPr id="214" name="Picture 213" descr=" 0, 0, 1, 1">
          <a:extLst>
            <a:ext uri="{FF2B5EF4-FFF2-40B4-BE49-F238E27FC236}">
              <a16:creationId xmlns:a16="http://schemas.microsoft.com/office/drawing/2014/main" id="{90097E78-1345-FF4E-A577-E853485ECF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318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31750</xdr:colOff>
      <xdr:row>8</xdr:row>
      <xdr:rowOff>31750</xdr:rowOff>
    </xdr:from>
    <xdr:to>
      <xdr:col>6</xdr:col>
      <xdr:colOff>805750</xdr:colOff>
      <xdr:row>8</xdr:row>
      <xdr:rowOff>805750</xdr:rowOff>
    </xdr:to>
    <xdr:pic>
      <xdr:nvPicPr>
        <xdr:cNvPr id="215" name="Picture 214" descr=" 1, 1, 2, 2,">
          <a:extLst>
            <a:ext uri="{FF2B5EF4-FFF2-40B4-BE49-F238E27FC236}">
              <a16:creationId xmlns:a16="http://schemas.microsoft.com/office/drawing/2014/main" id="{B692A387-7413-4E4E-8497-174C8ACA42A5}"/>
            </a:ext>
            <a:ext uri="{147F2762-F138-4A5C-976F-8EAC2B608ADB}">
              <a16:predDERef xmlns:a16="http://schemas.microsoft.com/office/drawing/2014/main" pred="{48007178-37D5-4CF1-8DAF-76FF887264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752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837847</xdr:colOff>
      <xdr:row>7</xdr:row>
      <xdr:rowOff>821972</xdr:rowOff>
    </xdr:to>
    <xdr:pic>
      <xdr:nvPicPr>
        <xdr:cNvPr id="216" name="Picture 215" descr="Item:Chakana_Small,Pos:1,Data:5">
          <a:extLst>
            <a:ext uri="{FF2B5EF4-FFF2-40B4-BE49-F238E27FC236}">
              <a16:creationId xmlns:a16="http://schemas.microsoft.com/office/drawing/2014/main" id="{9F4F58FC-9C84-4845-B361-F23FD008E3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5191125" y="6032500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7</xdr:col>
      <xdr:colOff>63500</xdr:colOff>
      <xdr:row>8</xdr:row>
      <xdr:rowOff>15875</xdr:rowOff>
    </xdr:from>
    <xdr:to>
      <xdr:col>7</xdr:col>
      <xdr:colOff>837500</xdr:colOff>
      <xdr:row>8</xdr:row>
      <xdr:rowOff>789875</xdr:rowOff>
    </xdr:to>
    <xdr:pic>
      <xdr:nvPicPr>
        <xdr:cNvPr id="217" name="Picture 216" descr=" 0, 0, 1, 1">
          <a:extLst>
            <a:ext uri="{FF2B5EF4-FFF2-40B4-BE49-F238E27FC236}">
              <a16:creationId xmlns:a16="http://schemas.microsoft.com/office/drawing/2014/main" id="{2C3CF7E5-D1C0-1544-972F-54A8EFE2E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4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8</xdr:row>
      <xdr:rowOff>41275</xdr:rowOff>
    </xdr:from>
    <xdr:to>
      <xdr:col>23</xdr:col>
      <xdr:colOff>835026</xdr:colOff>
      <xdr:row>8</xdr:row>
      <xdr:rowOff>819151</xdr:rowOff>
    </xdr:to>
    <xdr:pic>
      <xdr:nvPicPr>
        <xdr:cNvPr id="218" name="Picture 217" descr=" 0, 5, 6, 2, ">
          <a:extLst>
            <a:ext uri="{FF2B5EF4-FFF2-40B4-BE49-F238E27FC236}">
              <a16:creationId xmlns:a16="http://schemas.microsoft.com/office/drawing/2014/main" id="{78F9246D-D7B4-C844-8385-C7900BFD9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9773900" y="68992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24</xdr:col>
      <xdr:colOff>57150</xdr:colOff>
      <xdr:row>8</xdr:row>
      <xdr:rowOff>25400</xdr:rowOff>
    </xdr:from>
    <xdr:to>
      <xdr:col>24</xdr:col>
      <xdr:colOff>831150</xdr:colOff>
      <xdr:row>8</xdr:row>
      <xdr:rowOff>799400</xdr:rowOff>
    </xdr:to>
    <xdr:pic>
      <xdr:nvPicPr>
        <xdr:cNvPr id="219" name="Picture 218" descr=" 1, 1, 2, 2,">
          <a:extLst>
            <a:ext uri="{FF2B5EF4-FFF2-40B4-BE49-F238E27FC236}">
              <a16:creationId xmlns:a16="http://schemas.microsoft.com/office/drawing/2014/main" id="{C37CB688-3FBB-BB48-9DFB-F25616683B4E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115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47625</xdr:colOff>
      <xdr:row>6</xdr:row>
      <xdr:rowOff>47625</xdr:rowOff>
    </xdr:from>
    <xdr:to>
      <xdr:col>24</xdr:col>
      <xdr:colOff>821625</xdr:colOff>
      <xdr:row>6</xdr:row>
      <xdr:rowOff>821625</xdr:rowOff>
    </xdr:to>
    <xdr:pic>
      <xdr:nvPicPr>
        <xdr:cNvPr id="220" name="Picture 219" descr=" 1, 1, 2, 2,">
          <a:extLst>
            <a:ext uri="{FF2B5EF4-FFF2-40B4-BE49-F238E27FC236}">
              <a16:creationId xmlns:a16="http://schemas.microsoft.com/office/drawing/2014/main" id="{423B94CF-25D7-DB4A-89E7-3733C7898C2C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1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25400</xdr:colOff>
      <xdr:row>6</xdr:row>
      <xdr:rowOff>57150</xdr:rowOff>
    </xdr:from>
    <xdr:to>
      <xdr:col>25</xdr:col>
      <xdr:colOff>799400</xdr:colOff>
      <xdr:row>6</xdr:row>
      <xdr:rowOff>831150</xdr:rowOff>
    </xdr:to>
    <xdr:pic>
      <xdr:nvPicPr>
        <xdr:cNvPr id="221" name="Picture 220" descr=" 1, 1, 2, 2,">
          <a:extLst>
            <a:ext uri="{FF2B5EF4-FFF2-40B4-BE49-F238E27FC236}">
              <a16:creationId xmlns:a16="http://schemas.microsoft.com/office/drawing/2014/main" id="{5447B44D-73DD-574B-8409-02B4FF3E38E1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5665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19050</xdr:colOff>
      <xdr:row>6</xdr:row>
      <xdr:rowOff>50800</xdr:rowOff>
    </xdr:from>
    <xdr:to>
      <xdr:col>26</xdr:col>
      <xdr:colOff>793050</xdr:colOff>
      <xdr:row>6</xdr:row>
      <xdr:rowOff>824800</xdr:rowOff>
    </xdr:to>
    <xdr:pic>
      <xdr:nvPicPr>
        <xdr:cNvPr id="222" name="Picture 221" descr=" 1, 1, 2, 2,">
          <a:extLst>
            <a:ext uri="{FF2B5EF4-FFF2-40B4-BE49-F238E27FC236}">
              <a16:creationId xmlns:a16="http://schemas.microsoft.com/office/drawing/2014/main" id="{3226191B-80BD-F645-A6D0-D86EBDF78796}"/>
            </a:ext>
            <a:ext uri="{147F2762-F138-4A5C-976F-8EAC2B608ADB}">
              <a16:predDERef xmlns:a16="http://schemas.microsoft.com/office/drawing/2014/main" pred="{86C882B6-39B1-4ED8-9B5E-1FEA9BF03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0755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25400</xdr:colOff>
      <xdr:row>1</xdr:row>
      <xdr:rowOff>41275</xdr:rowOff>
    </xdr:from>
    <xdr:to>
      <xdr:col>23</xdr:col>
      <xdr:colOff>819150</xdr:colOff>
      <xdr:row>1</xdr:row>
      <xdr:rowOff>835025</xdr:rowOff>
    </xdr:to>
    <xdr:pic>
      <xdr:nvPicPr>
        <xdr:cNvPr id="27" name="Picture 26" descr="42,42,42,42, ">
          <a:extLst>
            <a:ext uri="{FF2B5EF4-FFF2-40B4-BE49-F238E27FC236}">
              <a16:creationId xmlns:a16="http://schemas.microsoft.com/office/drawing/2014/main" id="{B1654C56-4BE1-8A41-87C5-64DEE0F81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9742150" y="8985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9</xdr:col>
      <xdr:colOff>57149</xdr:colOff>
      <xdr:row>1</xdr:row>
      <xdr:rowOff>25399</xdr:rowOff>
    </xdr:from>
    <xdr:to>
      <xdr:col>10</xdr:col>
      <xdr:colOff>9524</xdr:colOff>
      <xdr:row>1</xdr:row>
      <xdr:rowOff>835024</xdr:rowOff>
    </xdr:to>
    <xdr:pic>
      <xdr:nvPicPr>
        <xdr:cNvPr id="29" name="Picture 28" descr="43,43,43,43, ">
          <a:extLst>
            <a:ext uri="{FF2B5EF4-FFF2-40B4-BE49-F238E27FC236}">
              <a16:creationId xmlns:a16="http://schemas.microsoft.com/office/drawing/2014/main" id="{D81E5B80-80E9-BC41-9A95-B55996871D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7772399" y="882649"/>
          <a:ext cx="809625" cy="8096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B6A6F32-E759-C54E-AB2C-4A27984A7B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5EA1ECFB-7B73-5D4C-B73B-4AB4A8CA253D}"/>
            </a:ext>
            <a:ext uri="{147F2762-F138-4A5C-976F-8EAC2B608ADB}">
              <a16:predDERef xmlns:a16="http://schemas.microsoft.com/office/drawing/2014/main" pred="{41E1E706-085D-4D8A-AF08-59B5A33703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9698414-7F2E-C843-8AF2-03D47980195F}"/>
            </a:ext>
            <a:ext uri="{147F2762-F138-4A5C-976F-8EAC2B608ADB}">
              <a16:predDERef xmlns:a16="http://schemas.microsoft.com/office/drawing/2014/main" pred="{4B6B1790-BDB2-4827-8AC3-E69D4C4D5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D1FA9AA-8D29-3744-B89A-FEFE75601579}"/>
            </a:ext>
            <a:ext uri="{147F2762-F138-4A5C-976F-8EAC2B608ADB}">
              <a16:predDERef xmlns:a16="http://schemas.microsoft.com/office/drawing/2014/main" pred="{7AB863CA-496B-412A-9EF9-82DE482B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00BB8A-EE0A-AD49-91DC-C0DC4873C2F6}"/>
            </a:ext>
            <a:ext uri="{147F2762-F138-4A5C-976F-8EAC2B608ADB}">
              <a16:predDERef xmlns:a16="http://schemas.microsoft.com/office/drawing/2014/main" pred="{2804952C-49C3-43E0-BA95-D6A105060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1AFB2205-3B48-CE46-B96F-124AC77CF09B}"/>
            </a:ext>
            <a:ext uri="{147F2762-F138-4A5C-976F-8EAC2B608ADB}">
              <a16:predDERef xmlns:a16="http://schemas.microsoft.com/office/drawing/2014/main" pred="{D71475DE-491A-444E-9A8D-B93038779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6479C118-C02A-2544-A866-487742016D3C}"/>
            </a:ext>
            <a:ext uri="{147F2762-F138-4A5C-976F-8EAC2B608ADB}">
              <a16:predDERef xmlns:a16="http://schemas.microsoft.com/office/drawing/2014/main" pred="{E0351DFD-E853-4D63-881D-F583818F46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6B3C6A5-2DFC-854E-A93D-D3A540EB7E0C}"/>
            </a:ext>
            <a:ext uri="{147F2762-F138-4A5C-976F-8EAC2B608ADB}">
              <a16:predDERef xmlns:a16="http://schemas.microsoft.com/office/drawing/2014/main" pred="{E6FF87B0-7A37-4DC0-BBC0-14A597F047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F10F3373-9844-534C-84C6-0C927D052E46}"/>
            </a:ext>
            <a:ext uri="{147F2762-F138-4A5C-976F-8EAC2B608ADB}">
              <a16:predDERef xmlns:a16="http://schemas.microsoft.com/office/drawing/2014/main" pred="{C69143A5-7666-47D0-AE38-5DEA4B32A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BA8D39F-16B0-7C46-A13A-5AB7F733A988}"/>
            </a:ext>
            <a:ext uri="{147F2762-F138-4A5C-976F-8EAC2B608ADB}">
              <a16:predDERef xmlns:a16="http://schemas.microsoft.com/office/drawing/2014/main" pred="{C82F3A8E-3C6B-409D-ADE0-F2F54099BC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5CBA8ED4-2BB1-644A-A3F4-923E46839073}"/>
            </a:ext>
            <a:ext uri="{147F2762-F138-4A5C-976F-8EAC2B608ADB}">
              <a16:predDERef xmlns:a16="http://schemas.microsoft.com/office/drawing/2014/main" pred="{0F8C018D-AA7B-4154-9805-971B52A359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0EDC8F74-7259-0E49-B3AC-50ADFC2EC853}"/>
            </a:ext>
            <a:ext uri="{147F2762-F138-4A5C-976F-8EAC2B608ADB}">
              <a16:predDERef xmlns:a16="http://schemas.microsoft.com/office/drawing/2014/main" pred="{281AEC3B-4631-44A2-BCC0-2026025CCD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33D91D28-5DB8-A044-A883-005085D30159}"/>
            </a:ext>
            <a:ext uri="{147F2762-F138-4A5C-976F-8EAC2B608ADB}">
              <a16:predDERef xmlns:a16="http://schemas.microsoft.com/office/drawing/2014/main" pred="{336D6D00-08DD-4C53-8E1F-4ADEC48E0A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25661FA-77C4-114B-8C3E-F5E6E35132C9}"/>
            </a:ext>
            <a:ext uri="{147F2762-F138-4A5C-976F-8EAC2B608ADB}">
              <a16:predDERef xmlns:a16="http://schemas.microsoft.com/office/drawing/2014/main" pred="{ACA60BF0-5012-497B-93D9-4240C87128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597EB1E1-C127-3D4F-A5E4-098F904AAD05}"/>
            </a:ext>
            <a:ext uri="{147F2762-F138-4A5C-976F-8EAC2B608ADB}">
              <a16:predDERef xmlns:a16="http://schemas.microsoft.com/office/drawing/2014/main" pred="{C5759795-C4D6-412F-A580-A572570D34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CC074ED9-8AFF-5E43-B320-F1C93755285D}"/>
            </a:ext>
            <a:ext uri="{147F2762-F138-4A5C-976F-8EAC2B608ADB}">
              <a16:predDERef xmlns:a16="http://schemas.microsoft.com/office/drawing/2014/main" pred="{FB4B8780-5AD1-44AF-9DF4-03EB3F429F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491865D7-6DC9-F843-A9D4-C23BF74FD6E4}"/>
            </a:ext>
            <a:ext uri="{147F2762-F138-4A5C-976F-8EAC2B608ADB}">
              <a16:predDERef xmlns:a16="http://schemas.microsoft.com/office/drawing/2014/main" pred="{ADC5290A-242D-49C0-882A-EDDB1F0381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E75C129-1D03-E142-AB2C-79FA934D8F80}"/>
            </a:ext>
            <a:ext uri="{147F2762-F138-4A5C-976F-8EAC2B608ADB}">
              <a16:predDERef xmlns:a16="http://schemas.microsoft.com/office/drawing/2014/main" pred="{62209AEF-A24E-4C54-BF81-40BBE78E8E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2EED3275-EC9F-D840-935D-A01424ACDD77}"/>
            </a:ext>
            <a:ext uri="{147F2762-F138-4A5C-976F-8EAC2B608ADB}">
              <a16:predDERef xmlns:a16="http://schemas.microsoft.com/office/drawing/2014/main" pred="{1F9F15D8-B130-4C36-B6A2-5E9165E5EF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A9E4D33D-6932-EB45-A8F3-8AD4D1AC8877}"/>
            </a:ext>
            <a:ext uri="{147F2762-F138-4A5C-976F-8EAC2B608ADB}">
              <a16:predDERef xmlns:a16="http://schemas.microsoft.com/office/drawing/2014/main" pred="{91132CF8-BECF-4773-8353-C3846EA2DE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86787FC7-577B-E945-B703-6BC205B5D0B5}"/>
            </a:ext>
            <a:ext uri="{147F2762-F138-4A5C-976F-8EAC2B608ADB}">
              <a16:predDERef xmlns:a16="http://schemas.microsoft.com/office/drawing/2014/main" pred="{AFECFCE4-7DB3-4446-9D22-503F29A11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21DACD4-2FC5-514B-9903-7B33CA97783E}"/>
            </a:ext>
            <a:ext uri="{147F2762-F138-4A5C-976F-8EAC2B608ADB}">
              <a16:predDERef xmlns:a16="http://schemas.microsoft.com/office/drawing/2014/main" pred="{D55EA3DF-40EA-495D-A42A-9833EAC653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C658296E-BE66-304F-B273-CE296BA89F2C}"/>
            </a:ext>
            <a:ext uri="{147F2762-F138-4A5C-976F-8EAC2B608ADB}">
              <a16:predDERef xmlns:a16="http://schemas.microsoft.com/office/drawing/2014/main" pred="{652D752E-1B66-4D02-B666-C5DB44206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DFAAD1F9-1C07-FB45-91ED-D7588EE7F907}"/>
            </a:ext>
            <a:ext uri="{147F2762-F138-4A5C-976F-8EAC2B608ADB}">
              <a16:predDERef xmlns:a16="http://schemas.microsoft.com/office/drawing/2014/main" pred="{BEE32143-7BD6-4238-8C24-5E503A9B8F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9634F2A9-CB60-9C40-9C03-18D51AC38981}"/>
            </a:ext>
            <a:ext uri="{147F2762-F138-4A5C-976F-8EAC2B608ADB}">
              <a16:predDERef xmlns:a16="http://schemas.microsoft.com/office/drawing/2014/main" pred="{669757C9-B858-44E5-AA12-D0389A5515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601295C6-8775-E349-8EBB-F53226285C85}"/>
            </a:ext>
            <a:ext uri="{147F2762-F138-4A5C-976F-8EAC2B608ADB}">
              <a16:predDERef xmlns:a16="http://schemas.microsoft.com/office/drawing/2014/main" pred="{C2B9DA37-609F-416A-BFBB-1E4F42CB99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C83A950-98AC-0D48-9B04-48B6772A6921}"/>
            </a:ext>
            <a:ext uri="{147F2762-F138-4A5C-976F-8EAC2B608ADB}">
              <a16:predDERef xmlns:a16="http://schemas.microsoft.com/office/drawing/2014/main" pred="{19957FE9-01B3-4696-8401-23BBAB940C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40D0AA2-F301-C744-89F5-4F959B0BA332}"/>
            </a:ext>
            <a:ext uri="{147F2762-F138-4A5C-976F-8EAC2B608ADB}">
              <a16:predDERef xmlns:a16="http://schemas.microsoft.com/office/drawing/2014/main" pred="{CB35E428-9B08-4D80-BEF6-EE180A4F88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7AB2CBC-17F0-E74B-BA77-2622DA9CC97F}"/>
            </a:ext>
            <a:ext uri="{147F2762-F138-4A5C-976F-8EAC2B608ADB}">
              <a16:predDERef xmlns:a16="http://schemas.microsoft.com/office/drawing/2014/main" pred="{DF56DB9A-5883-4BE4-ABA3-B9BC3ACFB2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09D2F68-C358-AD42-BF4A-A58172880E41}"/>
            </a:ext>
            <a:ext uri="{147F2762-F138-4A5C-976F-8EAC2B608ADB}">
              <a16:predDERef xmlns:a16="http://schemas.microsoft.com/office/drawing/2014/main" pred="{87ADCB13-C15E-429C-BECD-37DEA7D976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C843B136-51B4-5A40-8991-428763FB5179}"/>
            </a:ext>
            <a:ext uri="{147F2762-F138-4A5C-976F-8EAC2B608ADB}">
              <a16:predDERef xmlns:a16="http://schemas.microsoft.com/office/drawing/2014/main" pred="{C1AB53A5-7947-4156-9E2D-C60457C65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E5679436-A457-6745-AF2F-DF6B3BAFF68E}"/>
            </a:ext>
            <a:ext uri="{147F2762-F138-4A5C-976F-8EAC2B608ADB}">
              <a16:predDERef xmlns:a16="http://schemas.microsoft.com/office/drawing/2014/main" pred="{188ADAF6-5C83-4176-AD90-B9BCF79289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A42D8540-7059-F146-BA4A-EFC2DD161D21}"/>
            </a:ext>
            <a:ext uri="{147F2762-F138-4A5C-976F-8EAC2B608ADB}">
              <a16:predDERef xmlns:a16="http://schemas.microsoft.com/office/drawing/2014/main" pred="{DB5983D7-08B1-43A8-9089-EAEABCF7C6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829AB484-B248-7648-8A41-C0FE3F8D9D00}"/>
            </a:ext>
            <a:ext uri="{147F2762-F138-4A5C-976F-8EAC2B608ADB}">
              <a16:predDERef xmlns:a16="http://schemas.microsoft.com/office/drawing/2014/main" pred="{CD35D2BC-8617-440C-BE22-19FCAC298E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9862FC7-F772-B748-8585-1F2A04B2AAD5}"/>
            </a:ext>
            <a:ext uri="{147F2762-F138-4A5C-976F-8EAC2B608ADB}">
              <a16:predDERef xmlns:a16="http://schemas.microsoft.com/office/drawing/2014/main" pred="{17225ABF-DF5B-4A3F-8AEF-53550DCD5A8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3775696B-2C45-A94A-8E08-4738782F2506}"/>
            </a:ext>
            <a:ext uri="{147F2762-F138-4A5C-976F-8EAC2B608ADB}">
              <a16:predDERef xmlns:a16="http://schemas.microsoft.com/office/drawing/2014/main" pred="{E258C211-C69C-4ED3-B601-8A4146BFD0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00F1750-D79E-7742-AC91-A38038DD5604}"/>
            </a:ext>
            <a:ext uri="{147F2762-F138-4A5C-976F-8EAC2B608ADB}">
              <a16:predDERef xmlns:a16="http://schemas.microsoft.com/office/drawing/2014/main" pred="{59D1CE1D-11ED-49B0-959D-2A9700B82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03AB6F2E-01EB-EA44-838D-8F65BD1BCF9D}"/>
            </a:ext>
            <a:ext uri="{147F2762-F138-4A5C-976F-8EAC2B608ADB}">
              <a16:predDERef xmlns:a16="http://schemas.microsoft.com/office/drawing/2014/main" pred="{E5ED9549-45A4-4860-B623-32FFE762DA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B8601082-938A-E54A-ABE4-7F222A70AA3E}"/>
            </a:ext>
            <a:ext uri="{147F2762-F138-4A5C-976F-8EAC2B608ADB}">
              <a16:predDERef xmlns:a16="http://schemas.microsoft.com/office/drawing/2014/main" pred="{3614DC43-5CBC-4C93-AB09-E42589E27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1E07285-ECC9-F64B-AC4D-941AE9CDE997}"/>
            </a:ext>
            <a:ext uri="{147F2762-F138-4A5C-976F-8EAC2B608ADB}">
              <a16:predDERef xmlns:a16="http://schemas.microsoft.com/office/drawing/2014/main" pred="{ABCBB826-2ECC-4A7C-8147-6F73A361B6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3EFAB48-2028-E947-8C30-384A0CB6CC03}"/>
            </a:ext>
            <a:ext uri="{147F2762-F138-4A5C-976F-8EAC2B608ADB}">
              <a16:predDERef xmlns:a16="http://schemas.microsoft.com/office/drawing/2014/main" pred="{130E14F6-9316-4F04-AB90-CC027B5594D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7692F3D-9EAE-F24D-A66B-C29C836AFC35}"/>
            </a:ext>
            <a:ext uri="{147F2762-F138-4A5C-976F-8EAC2B608ADB}">
              <a16:predDERef xmlns:a16="http://schemas.microsoft.com/office/drawing/2014/main" pred="{6F80FC57-5E7E-4995-B4BF-0B04D317B2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F87F41DC-8814-4344-81C2-44CC827721C8}"/>
            </a:ext>
            <a:ext uri="{147F2762-F138-4A5C-976F-8EAC2B608ADB}">
              <a16:predDERef xmlns:a16="http://schemas.microsoft.com/office/drawing/2014/main" pred="{B0091681-EF90-4E40-A474-5C9EDCD135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D77DF053-91FD-1C47-908B-457DD5BDD2A0}"/>
            </a:ext>
            <a:ext uri="{147F2762-F138-4A5C-976F-8EAC2B608ADB}">
              <a16:predDERef xmlns:a16="http://schemas.microsoft.com/office/drawing/2014/main" pred="{F9706BF4-D938-4599-AB33-20A1D667F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F465DD6C-7C12-0F4E-8045-7F560D5266DE}"/>
            </a:ext>
            <a:ext uri="{147F2762-F138-4A5C-976F-8EAC2B608ADB}">
              <a16:predDERef xmlns:a16="http://schemas.microsoft.com/office/drawing/2014/main" pred="{9AD630C0-1421-4FEF-828D-F44D342C9F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898EC996-4836-EA46-8372-48360AB630F0}"/>
            </a:ext>
            <a:ext uri="{147F2762-F138-4A5C-976F-8EAC2B608ADB}">
              <a16:predDERef xmlns:a16="http://schemas.microsoft.com/office/drawing/2014/main" pred="{93E029EB-B514-4FB4-9857-365447F69A9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185BD49-5E5B-0A4D-B3EF-9873D97C6314}"/>
            </a:ext>
            <a:ext uri="{147F2762-F138-4A5C-976F-8EAC2B608ADB}">
              <a16:predDERef xmlns:a16="http://schemas.microsoft.com/office/drawing/2014/main" pred="{AA5486B4-5A7D-49DB-AB9B-5DBA53E705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0BE97A6-EDD3-4A4D-97BE-F9EE67880A87}"/>
            </a:ext>
            <a:ext uri="{147F2762-F138-4A5C-976F-8EAC2B608ADB}">
              <a16:predDERef xmlns:a16="http://schemas.microsoft.com/office/drawing/2014/main" pred="{C132E26D-AE1A-4F06-86FB-08E84B042C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D396A8F2-B5F9-CE42-A11A-B73298FCFF4C}"/>
            </a:ext>
            <a:ext uri="{147F2762-F138-4A5C-976F-8EAC2B608ADB}">
              <a16:predDERef xmlns:a16="http://schemas.microsoft.com/office/drawing/2014/main" pred="{06C1B53D-CFC4-4FD5-A078-21E356D7E6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62701C2-4858-1143-A0B8-AA437D9269A7}"/>
            </a:ext>
            <a:ext uri="{147F2762-F138-4A5C-976F-8EAC2B608ADB}">
              <a16:predDERef xmlns:a16="http://schemas.microsoft.com/office/drawing/2014/main" pred="{5CEF3B92-E5F1-4046-B412-42D543DCA34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5A904A5-E871-8444-BE62-39D2E76B79B3}"/>
            </a:ext>
            <a:ext uri="{147F2762-F138-4A5C-976F-8EAC2B608ADB}">
              <a16:predDERef xmlns:a16="http://schemas.microsoft.com/office/drawing/2014/main" pred="{08A730C9-7626-444D-BED9-F8BD8CE1A4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004ED1E0-016D-B545-88D9-5E2F2B0E7A7A}"/>
            </a:ext>
            <a:ext uri="{147F2762-F138-4A5C-976F-8EAC2B608ADB}">
              <a16:predDERef xmlns:a16="http://schemas.microsoft.com/office/drawing/2014/main" pred="{ADF47B50-A77D-449C-958C-6D160BA36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2F4337B1-5230-F445-ADC4-CE87BA3A2531}"/>
            </a:ext>
            <a:ext uri="{147F2762-F138-4A5C-976F-8EAC2B608ADB}">
              <a16:predDERef xmlns:a16="http://schemas.microsoft.com/office/drawing/2014/main" pred="{DAC220A9-2E7E-4365-A450-8EAABE25FF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4F4FFA4-1499-2C43-B1A0-750FB08E0FD7}"/>
            </a:ext>
            <a:ext uri="{147F2762-F138-4A5C-976F-8EAC2B608ADB}">
              <a16:predDERef xmlns:a16="http://schemas.microsoft.com/office/drawing/2014/main" pred="{577B3909-75BE-488B-BD23-10612A1AFC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ACE1172-7E73-494B-B067-FD7498D3092E}"/>
            </a:ext>
            <a:ext uri="{147F2762-F138-4A5C-976F-8EAC2B608ADB}">
              <a16:predDERef xmlns:a16="http://schemas.microsoft.com/office/drawing/2014/main" pred="{8B8F7C22-46A7-4681-801A-620253D7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E53AF332-EA62-1E4A-A9B1-9C03FAFBF874}"/>
            </a:ext>
            <a:ext uri="{147F2762-F138-4A5C-976F-8EAC2B608ADB}">
              <a16:predDERef xmlns:a16="http://schemas.microsoft.com/office/drawing/2014/main" pred="{C7D6C501-D879-487B-919D-AC29B655D3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61E295A5-9846-8D4E-BF46-E73DD13154CB}"/>
            </a:ext>
            <a:ext uri="{147F2762-F138-4A5C-976F-8EAC2B608ADB}">
              <a16:predDERef xmlns:a16="http://schemas.microsoft.com/office/drawing/2014/main" pred="{2038240A-2DB1-436D-8730-B5C268C104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EFDC14F8-8FF2-9C45-B0F3-7002425E6A0C}"/>
            </a:ext>
            <a:ext uri="{147F2762-F138-4A5C-976F-8EAC2B608ADB}">
              <a16:predDERef xmlns:a16="http://schemas.microsoft.com/office/drawing/2014/main" pred="{1DA6EBE5-44B0-4D84-9835-913C57D48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7056F1D4-AC0B-3441-AF3C-BDE6D211E245}"/>
            </a:ext>
            <a:ext uri="{147F2762-F138-4A5C-976F-8EAC2B608ADB}">
              <a16:predDERef xmlns:a16="http://schemas.microsoft.com/office/drawing/2014/main" pred="{594C0011-88E9-4CFC-AF8B-08BF608E0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8CB73255-80A0-9F45-8FF2-99BE2DDB4207}"/>
            </a:ext>
            <a:ext uri="{147F2762-F138-4A5C-976F-8EAC2B608ADB}">
              <a16:predDERef xmlns:a16="http://schemas.microsoft.com/office/drawing/2014/main" pred="{B6B667B3-52B8-4FAF-BF2C-2DE07B2310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BCE885D-CA32-E944-907A-0E0C03DDB23D}"/>
            </a:ext>
            <a:ext uri="{147F2762-F138-4A5C-976F-8EAC2B608ADB}">
              <a16:predDERef xmlns:a16="http://schemas.microsoft.com/office/drawing/2014/main" pred="{E232380F-9AE0-4904-822D-F5031C1BA1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30D63F-0B3F-DB42-A085-38313466C7CF}"/>
            </a:ext>
            <a:ext uri="{147F2762-F138-4A5C-976F-8EAC2B608ADB}">
              <a16:predDERef xmlns:a16="http://schemas.microsoft.com/office/drawing/2014/main" pred="{01B50075-9F50-403B-9EFC-9523F27CF6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A7E19AEE-2E1F-2149-A557-65E33D9D2291}"/>
            </a:ext>
            <a:ext uri="{147F2762-F138-4A5C-976F-8EAC2B608ADB}">
              <a16:predDERef xmlns:a16="http://schemas.microsoft.com/office/drawing/2014/main" pred="{F0768CC6-0AE9-4833-9AD9-2EB02BFC0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855C0FBD-C46E-5A4B-B557-A04AD839B2B0}"/>
            </a:ext>
            <a:ext uri="{147F2762-F138-4A5C-976F-8EAC2B608ADB}">
              <a16:predDERef xmlns:a16="http://schemas.microsoft.com/office/drawing/2014/main" pred="{49BAC159-46F8-479D-AC4E-B761562F75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DF3AABC2-8C8C-B549-A906-74DC799D87B1}"/>
            </a:ext>
            <a:ext uri="{147F2762-F138-4A5C-976F-8EAC2B608ADB}">
              <a16:predDERef xmlns:a16="http://schemas.microsoft.com/office/drawing/2014/main" pred="{068A1D7C-5262-4A0F-9479-07FF48AD82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A58E0109-873D-9642-B1D8-0A4489AAF9A9}"/>
            </a:ext>
            <a:ext uri="{147F2762-F138-4A5C-976F-8EAC2B608ADB}">
              <a16:predDERef xmlns:a16="http://schemas.microsoft.com/office/drawing/2014/main" pred="{FB46AE67-6D26-4932-9635-C547BEC341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441279B-D6E2-9144-8010-70C2D739D1DC}"/>
            </a:ext>
            <a:ext uri="{147F2762-F138-4A5C-976F-8EAC2B608ADB}">
              <a16:predDERef xmlns:a16="http://schemas.microsoft.com/office/drawing/2014/main" pred="{13AFE3D9-A7FC-4748-B552-A6196140B1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C521B01F-C0C4-664B-A89F-57D1D7325E3E}"/>
            </a:ext>
            <a:ext uri="{147F2762-F138-4A5C-976F-8EAC2B608ADB}">
              <a16:predDERef xmlns:a16="http://schemas.microsoft.com/office/drawing/2014/main" pred="{EE3FE18B-32CF-43DF-BB4A-177F40854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614F0A9E-041C-8A42-B7DC-8338FB33EE9E}"/>
            </a:ext>
            <a:ext uri="{147F2762-F138-4A5C-976F-8EAC2B608ADB}">
              <a16:predDERef xmlns:a16="http://schemas.microsoft.com/office/drawing/2014/main" pred="{D0DEBBA6-357C-44E5-8CB7-669696F0F2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1A9B0B26-E5CC-5D40-A907-B6D463F1B6F8}"/>
            </a:ext>
            <a:ext uri="{147F2762-F138-4A5C-976F-8EAC2B608ADB}">
              <a16:predDERef xmlns:a16="http://schemas.microsoft.com/office/drawing/2014/main" pred="{08066537-D20B-40FA-B638-B51B2A244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7482B6F2-310D-1A40-8789-C7E727F0B9FB}"/>
            </a:ext>
            <a:ext uri="{147F2762-F138-4A5C-976F-8EAC2B608ADB}">
              <a16:predDERef xmlns:a16="http://schemas.microsoft.com/office/drawing/2014/main" pred="{C8498F8B-3267-42DC-8FB5-98B88AB8AA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31750</xdr:rowOff>
    </xdr:from>
    <xdr:ext cx="787401" cy="777876"/>
    <xdr:pic>
      <xdr:nvPicPr>
        <xdr:cNvPr id="73" name="Picture 72" descr=" 2, 2, 3, 3,">
          <a:extLst>
            <a:ext uri="{FF2B5EF4-FFF2-40B4-BE49-F238E27FC236}">
              <a16:creationId xmlns:a16="http://schemas.microsoft.com/office/drawing/2014/main" id="{2513F5BF-C207-0442-8B7C-9C910C38A108}"/>
            </a:ext>
            <a:ext uri="{147F2762-F138-4A5C-976F-8EAC2B608ADB}">
              <a16:predDERef xmlns:a16="http://schemas.microsoft.com/office/drawing/2014/main" pred="{4F03CFA9-3F97-41CE-A993-70BA2ACAA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658100" y="844550"/>
          <a:ext cx="787401" cy="777876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4</xdr:row>
      <xdr:rowOff>31750</xdr:rowOff>
    </xdr:from>
    <xdr:ext cx="774000" cy="774000"/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37A3201A-01D8-6D40-859F-D76792017F54}"/>
            </a:ext>
            <a:ext uri="{147F2762-F138-4A5C-976F-8EAC2B608ADB}">
              <a16:predDERef xmlns:a16="http://schemas.microsoft.com/office/drawing/2014/main" pred="{238934D2-481C-4B54-A752-4B281FB5E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8445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5</xdr:row>
      <xdr:rowOff>31750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5E85F994-1C73-C748-8C5D-2C9AA0D1052D}"/>
            </a:ext>
            <a:ext uri="{147F2762-F138-4A5C-976F-8EAC2B608ADB}">
              <a16:predDERef xmlns:a16="http://schemas.microsoft.com/office/drawing/2014/main" pred="{22704C2F-55AC-4B42-8566-BEF4C4300D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10477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6</xdr:row>
      <xdr:rowOff>31750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84D486B8-E3A4-9341-B002-540C6B58655F}"/>
            </a:ext>
            <a:ext uri="{147F2762-F138-4A5C-976F-8EAC2B608ADB}">
              <a16:predDERef xmlns:a16="http://schemas.microsoft.com/office/drawing/2014/main" pred="{6850BB99-2016-48FA-A8F5-82A2BF1991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12509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7</xdr:row>
      <xdr:rowOff>31750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4575F682-90F3-7E43-AED9-FA0DE412FDBA}"/>
            </a:ext>
            <a:ext uri="{147F2762-F138-4A5C-976F-8EAC2B608ADB}">
              <a16:predDERef xmlns:a16="http://schemas.microsoft.com/office/drawing/2014/main" pred="{CCD9E810-8DD2-407A-9D52-9111589BFD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53025" y="14541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4</xdr:row>
      <xdr:rowOff>31750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182DC9E4-086A-2B44-96FE-DE535F3149DC}"/>
            </a:ext>
            <a:ext uri="{147F2762-F138-4A5C-976F-8EAC2B608ADB}">
              <a16:predDERef xmlns:a16="http://schemas.microsoft.com/office/drawing/2014/main" pred="{310FCB97-9E63-48E5-AEED-32FECA8329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84455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47625</xdr:colOff>
      <xdr:row>4</xdr:row>
      <xdr:rowOff>31750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0634E052-BD07-4B42-9B8F-F3AAD9A1DCA9}"/>
            </a:ext>
            <a:ext uri="{147F2762-F138-4A5C-976F-8EAC2B608ADB}">
              <a16:predDERef xmlns:a16="http://schemas.microsoft.com/office/drawing/2014/main" pred="{01A935B2-C196-49E2-8C82-B42D9A401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56625" y="8445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4</xdr:row>
      <xdr:rowOff>31750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7B3C5E7-737C-394A-9469-4047F3635C68}"/>
            </a:ext>
            <a:ext uri="{147F2762-F138-4A5C-976F-8EAC2B608ADB}">
              <a16:predDERef xmlns:a16="http://schemas.microsoft.com/office/drawing/2014/main" pred="{B67BCAB0-770A-4DE6-9074-2D84A4343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8445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5</xdr:row>
      <xdr:rowOff>31750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87453737-5521-8341-AAD4-86CDEF135683}"/>
            </a:ext>
            <a:ext uri="{147F2762-F138-4A5C-976F-8EAC2B608ADB}">
              <a16:predDERef xmlns:a16="http://schemas.microsoft.com/office/drawing/2014/main" pred="{4108E786-C74C-474E-928E-A31E559DB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104775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47625</xdr:colOff>
      <xdr:row>6</xdr:row>
      <xdr:rowOff>31750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39425EC-31B2-1046-9B76-0AA7A5C44FA5}"/>
            </a:ext>
            <a:ext uri="{147F2762-F138-4A5C-976F-8EAC2B608ADB}">
              <a16:predDERef xmlns:a16="http://schemas.microsoft.com/office/drawing/2014/main" pred="{A0D96E2C-9127-4536-8AF1-BDA2002039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07525" y="125095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47625</xdr:colOff>
      <xdr:row>8</xdr:row>
      <xdr:rowOff>31750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4C99B65-5E58-EE46-AA8E-82AFB9E1486E}"/>
            </a:ext>
            <a:ext uri="{147F2762-F138-4A5C-976F-8EAC2B608ADB}">
              <a16:predDERef xmlns:a16="http://schemas.microsoft.com/office/drawing/2014/main" pred="{F5C5CAA8-6464-4108-A376-F9F646EA7D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3925" y="165735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47625</xdr:colOff>
      <xdr:row>8</xdr:row>
      <xdr:rowOff>31750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DE875593-375A-4E4E-A461-5673EB9A6288}"/>
            </a:ext>
            <a:ext uri="{147F2762-F138-4A5C-976F-8EAC2B608ADB}">
              <a16:predDERef xmlns:a16="http://schemas.microsoft.com/office/drawing/2014/main" pred="{E6BFF5E9-9983-4BAC-95E9-A6E5A4699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54825" y="165735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47625</xdr:colOff>
      <xdr:row>8</xdr:row>
      <xdr:rowOff>31750</xdr:rowOff>
    </xdr:from>
    <xdr:ext cx="776112" cy="776112"/>
    <xdr:pic>
      <xdr:nvPicPr>
        <xdr:cNvPr id="85" name="Picture 84" descr="18,18,18,18,">
          <a:extLst>
            <a:ext uri="{FF2B5EF4-FFF2-40B4-BE49-F238E27FC236}">
              <a16:creationId xmlns:a16="http://schemas.microsoft.com/office/drawing/2014/main" id="{1B9934F4-2A45-EB47-894C-4E02A869B305}"/>
            </a:ext>
            <a:ext uri="{147F2762-F138-4A5C-976F-8EAC2B608ADB}">
              <a16:predDERef xmlns:a16="http://schemas.microsoft.com/office/drawing/2014/main" pred="{EF8B3DF7-1B90-4E9B-8913-6B5C9DA21C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5153025" y="1657350"/>
          <a:ext cx="776112" cy="776112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5</xdr:row>
      <xdr:rowOff>31750</xdr:rowOff>
    </xdr:from>
    <xdr:ext cx="774000" cy="774000"/>
    <xdr:pic>
      <xdr:nvPicPr>
        <xdr:cNvPr id="86" name="Picture 85" descr="12,12,12,12,">
          <a:extLst>
            <a:ext uri="{FF2B5EF4-FFF2-40B4-BE49-F238E27FC236}">
              <a16:creationId xmlns:a16="http://schemas.microsoft.com/office/drawing/2014/main" id="{95736D8E-FF93-494F-8EA5-736DD8E14A5B}"/>
            </a:ext>
            <a:ext uri="{147F2762-F138-4A5C-976F-8EAC2B608ADB}">
              <a16:predDERef xmlns:a16="http://schemas.microsoft.com/office/drawing/2014/main" pred="{11B6D711-746F-4827-95D2-5DF4B83200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10477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6</xdr:row>
      <xdr:rowOff>31750</xdr:rowOff>
    </xdr:from>
    <xdr:ext cx="774000" cy="774000"/>
    <xdr:pic>
      <xdr:nvPicPr>
        <xdr:cNvPr id="87" name="Picture 86" descr="12,12,12,12,">
          <a:extLst>
            <a:ext uri="{FF2B5EF4-FFF2-40B4-BE49-F238E27FC236}">
              <a16:creationId xmlns:a16="http://schemas.microsoft.com/office/drawing/2014/main" id="{2FF0CE08-85C5-1445-B167-1BA9871A06C9}"/>
            </a:ext>
            <a:ext uri="{147F2762-F138-4A5C-976F-8EAC2B608ADB}">
              <a16:predDERef xmlns:a16="http://schemas.microsoft.com/office/drawing/2014/main" pred="{0C82CAE3-2196-49D2-B504-820594D23E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12509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7</xdr:row>
      <xdr:rowOff>31750</xdr:rowOff>
    </xdr:from>
    <xdr:ext cx="774000" cy="774000"/>
    <xdr:pic>
      <xdr:nvPicPr>
        <xdr:cNvPr id="88" name="Picture 87" descr="12,12,12,12,">
          <a:extLst>
            <a:ext uri="{FF2B5EF4-FFF2-40B4-BE49-F238E27FC236}">
              <a16:creationId xmlns:a16="http://schemas.microsoft.com/office/drawing/2014/main" id="{A7CB1668-BBE3-1D48-A7B2-B67C10FC6225}"/>
            </a:ext>
            <a:ext uri="{147F2762-F138-4A5C-976F-8EAC2B608ADB}">
              <a16:predDERef xmlns:a16="http://schemas.microsoft.com/office/drawing/2014/main" pred="{69AEC4E4-E564-4DE1-8733-6A936B0A6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302125" y="14541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8</xdr:row>
      <xdr:rowOff>31750</xdr:rowOff>
    </xdr:from>
    <xdr:ext cx="774000" cy="774000"/>
    <xdr:pic>
      <xdr:nvPicPr>
        <xdr:cNvPr id="89" name="Picture 88" descr="12,12, 7, 7,">
          <a:extLst>
            <a:ext uri="{FF2B5EF4-FFF2-40B4-BE49-F238E27FC236}">
              <a16:creationId xmlns:a16="http://schemas.microsoft.com/office/drawing/2014/main" id="{F0385779-76B1-AD45-8C85-96D1204D3E29}"/>
            </a:ext>
            <a:ext uri="{147F2762-F138-4A5C-976F-8EAC2B608ADB}">
              <a16:predDERef xmlns:a16="http://schemas.microsoft.com/office/drawing/2014/main" pred="{DCCBC06F-ACF0-4967-8621-B8E9AC2D0A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302125" y="165735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47625</xdr:colOff>
      <xdr:row>4</xdr:row>
      <xdr:rowOff>31750</xdr:rowOff>
    </xdr:from>
    <xdr:ext cx="786484" cy="774000"/>
    <xdr:pic>
      <xdr:nvPicPr>
        <xdr:cNvPr id="90" name="Picture 89" descr=" 8, 8, 7, 7,">
          <a:extLst>
            <a:ext uri="{FF2B5EF4-FFF2-40B4-BE49-F238E27FC236}">
              <a16:creationId xmlns:a16="http://schemas.microsoft.com/office/drawing/2014/main" id="{EB29F848-9109-0C4A-8A4B-574C99EF8A6D}"/>
            </a:ext>
            <a:ext uri="{147F2762-F138-4A5C-976F-8EAC2B608ADB}">
              <a16:predDERef xmlns:a16="http://schemas.microsoft.com/office/drawing/2014/main" pred="{8809E325-3CDD-4634-906E-D6E16EA88B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4302125" y="844550"/>
          <a:ext cx="786484" cy="774000"/>
        </a:xfrm>
        <a:prstGeom prst="rect">
          <a:avLst/>
        </a:prstGeom>
      </xdr:spPr>
    </xdr:pic>
    <xdr:clientData/>
  </xdr:oneCellAnchor>
  <xdr:oneCellAnchor>
    <xdr:from>
      <xdr:col>12</xdr:col>
      <xdr:colOff>95250</xdr:colOff>
      <xdr:row>1</xdr:row>
      <xdr:rowOff>47625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6CD19223-6497-4346-A523-AFDB3B9ACEAE}"/>
            </a:ext>
            <a:ext uri="{147F2762-F138-4A5C-976F-8EAC2B608ADB}">
              <a16:predDERef xmlns:a16="http://schemas.microsoft.com/office/drawing/2014/main" pred="{99C5CA75-7945-4281-BA9A-FDD1EE6A8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06050" y="2508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8</xdr:row>
      <xdr:rowOff>47625</xdr:rowOff>
    </xdr:from>
    <xdr:ext cx="764475" cy="774000"/>
    <xdr:pic>
      <xdr:nvPicPr>
        <xdr:cNvPr id="92" name="Picture 91" descr="31,31,32,32,">
          <a:extLst>
            <a:ext uri="{FF2B5EF4-FFF2-40B4-BE49-F238E27FC236}">
              <a16:creationId xmlns:a16="http://schemas.microsoft.com/office/drawing/2014/main" id="{06F0F7AD-8B19-FD46-8386-8035CA84F221}"/>
            </a:ext>
            <a:ext uri="{147F2762-F138-4A5C-976F-8EAC2B608ADB}">
              <a16:predDERef xmlns:a16="http://schemas.microsoft.com/office/drawing/2014/main" pred="{3B3B7957-6A88-4A4D-A666-248A73D802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58425" y="1673225"/>
          <a:ext cx="764475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3</xdr:row>
      <xdr:rowOff>41275</xdr:rowOff>
    </xdr:from>
    <xdr:ext cx="774000" cy="774000"/>
    <xdr:pic>
      <xdr:nvPicPr>
        <xdr:cNvPr id="93" name="Picture 92" descr="31,31,31,31,">
          <a:extLst>
            <a:ext uri="{FF2B5EF4-FFF2-40B4-BE49-F238E27FC236}">
              <a16:creationId xmlns:a16="http://schemas.microsoft.com/office/drawing/2014/main" id="{C2E47FF3-E392-B54B-A330-B85B23E011BF}"/>
            </a:ext>
            <a:ext uri="{147F2762-F138-4A5C-976F-8EAC2B608ADB}">
              <a16:predDERef xmlns:a16="http://schemas.microsoft.com/office/drawing/2014/main" pred="{96B420B9-E804-4D93-907C-A3B90EF6A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6508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4</xdr:row>
      <xdr:rowOff>41275</xdr:rowOff>
    </xdr:from>
    <xdr:ext cx="774000" cy="774000"/>
    <xdr:pic>
      <xdr:nvPicPr>
        <xdr:cNvPr id="94" name="Picture 93" descr="31,31,31,31,">
          <a:extLst>
            <a:ext uri="{FF2B5EF4-FFF2-40B4-BE49-F238E27FC236}">
              <a16:creationId xmlns:a16="http://schemas.microsoft.com/office/drawing/2014/main" id="{7F3CAD2E-070A-3448-B54B-697BF4DAFEEE}"/>
            </a:ext>
            <a:ext uri="{147F2762-F138-4A5C-976F-8EAC2B608ADB}">
              <a16:predDERef xmlns:a16="http://schemas.microsoft.com/office/drawing/2014/main" pred="{3F3556F7-EDEF-43AE-8D52-7EAFBD964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8540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5</xdr:row>
      <xdr:rowOff>41275</xdr:rowOff>
    </xdr:from>
    <xdr:ext cx="774000" cy="774000"/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041B765B-AD62-9544-B081-E71F10DC3B8B}"/>
            </a:ext>
            <a:ext uri="{147F2762-F138-4A5C-976F-8EAC2B608ADB}">
              <a16:predDERef xmlns:a16="http://schemas.microsoft.com/office/drawing/2014/main" pred="{508F6A9C-A314-47C8-908F-03BC46C553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83825" y="105727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6</xdr:row>
      <xdr:rowOff>47625</xdr:rowOff>
    </xdr:from>
    <xdr:ext cx="774000" cy="774000"/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04DF9AED-080A-0C4D-A2C1-2F83152654BA}"/>
            </a:ext>
            <a:ext uri="{147F2762-F138-4A5C-976F-8EAC2B608ADB}">
              <a16:predDERef xmlns:a16="http://schemas.microsoft.com/office/drawing/2014/main" pred="{67EC81C6-F8BD-46C3-BA6B-EB5E7FFBD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12668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47625</xdr:colOff>
      <xdr:row>7</xdr:row>
      <xdr:rowOff>47625</xdr:rowOff>
    </xdr:from>
    <xdr:ext cx="774000" cy="774000"/>
    <xdr:pic>
      <xdr:nvPicPr>
        <xdr:cNvPr id="97" name="Picture 96" descr="31,31,31,31,">
          <a:extLst>
            <a:ext uri="{FF2B5EF4-FFF2-40B4-BE49-F238E27FC236}">
              <a16:creationId xmlns:a16="http://schemas.microsoft.com/office/drawing/2014/main" id="{8EE38A37-5F20-4043-A65C-390B6893C880}"/>
            </a:ext>
            <a:ext uri="{147F2762-F138-4A5C-976F-8EAC2B608ADB}">
              <a16:predDERef xmlns:a16="http://schemas.microsoft.com/office/drawing/2014/main" pred="{CDC4DE59-C712-437C-A8CE-3872305AF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0258425" y="14700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73025</xdr:colOff>
      <xdr:row>2</xdr:row>
      <xdr:rowOff>41275</xdr:rowOff>
    </xdr:from>
    <xdr:ext cx="774000" cy="774000"/>
    <xdr:pic>
      <xdr:nvPicPr>
        <xdr:cNvPr id="98" name="Picture 97" descr="33,33,31,31,">
          <a:extLst>
            <a:ext uri="{FF2B5EF4-FFF2-40B4-BE49-F238E27FC236}">
              <a16:creationId xmlns:a16="http://schemas.microsoft.com/office/drawing/2014/main" id="{7074BE65-AD1F-6F4B-8CDE-6BCEE0F6B6D4}"/>
            </a:ext>
            <a:ext uri="{147F2762-F138-4A5C-976F-8EAC2B608ADB}">
              <a16:predDERef xmlns:a16="http://schemas.microsoft.com/office/drawing/2014/main" pred="{FD336DE4-E29D-435E-B02A-B90D96EEC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0283825" y="447675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47625</xdr:colOff>
      <xdr:row>6</xdr:row>
      <xdr:rowOff>47625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381DD73-17E1-884B-8774-0E46A541462B}"/>
            </a:ext>
            <a:ext uri="{147F2762-F138-4A5C-976F-8EAC2B608ADB}">
              <a16:predDERef xmlns:a16="http://schemas.microsoft.com/office/drawing/2014/main" pred="{DD8BC432-FCEF-4944-ACFC-DD59541F34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09325" y="12668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3</xdr:row>
      <xdr:rowOff>41275</xdr:rowOff>
    </xdr:from>
    <xdr:ext cx="774000" cy="774000"/>
    <xdr:pic>
      <xdr:nvPicPr>
        <xdr:cNvPr id="100" name="Picture 99" descr="20, 0, 2,20,">
          <a:extLst>
            <a:ext uri="{FF2B5EF4-FFF2-40B4-BE49-F238E27FC236}">
              <a16:creationId xmlns:a16="http://schemas.microsoft.com/office/drawing/2014/main" id="{A9A7C30A-F648-464E-B9FF-AACB4B05668C}"/>
            </a:ext>
            <a:ext uri="{147F2762-F138-4A5C-976F-8EAC2B608ADB}">
              <a16:predDERef xmlns:a16="http://schemas.microsoft.com/office/drawing/2014/main" pred="{1235BC67-5B7C-4782-A802-34A6A4D99B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85625" y="65087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15875</xdr:colOff>
      <xdr:row>4</xdr:row>
      <xdr:rowOff>31750</xdr:rowOff>
    </xdr:from>
    <xdr:ext cx="774000" cy="774000"/>
    <xdr:pic>
      <xdr:nvPicPr>
        <xdr:cNvPr id="101" name="Picture 100" descr="20, 0, 2,20,">
          <a:extLst>
            <a:ext uri="{FF2B5EF4-FFF2-40B4-BE49-F238E27FC236}">
              <a16:creationId xmlns:a16="http://schemas.microsoft.com/office/drawing/2014/main" id="{C82CFBC8-F118-DE4E-90DD-EC32CFF44C7E}"/>
            </a:ext>
            <a:ext uri="{147F2762-F138-4A5C-976F-8EAC2B608ADB}">
              <a16:predDERef xmlns:a16="http://schemas.microsoft.com/office/drawing/2014/main" pred="{445E6F41-6C21-4821-B8A7-C95410FB64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779375" y="84455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47625</xdr:colOff>
      <xdr:row>6</xdr:row>
      <xdr:rowOff>47625</xdr:rowOff>
    </xdr:from>
    <xdr:ext cx="774000" cy="774000"/>
    <xdr:pic>
      <xdr:nvPicPr>
        <xdr:cNvPr id="102" name="Picture 101" descr="20, 0, 2,20,">
          <a:extLst>
            <a:ext uri="{FF2B5EF4-FFF2-40B4-BE49-F238E27FC236}">
              <a16:creationId xmlns:a16="http://schemas.microsoft.com/office/drawing/2014/main" id="{F9F21FEF-35F2-FB44-9343-04BA3FF38C3A}"/>
            </a:ext>
            <a:ext uri="{147F2762-F138-4A5C-976F-8EAC2B608ADB}">
              <a16:predDERef xmlns:a16="http://schemas.microsoft.com/office/drawing/2014/main" pred="{D1A8F3C3-EA88-4689-B055-7787173E0C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1960225" y="1266825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47625</xdr:colOff>
      <xdr:row>7</xdr:row>
      <xdr:rowOff>47625</xdr:rowOff>
    </xdr:from>
    <xdr:ext cx="774000" cy="774000"/>
    <xdr:pic>
      <xdr:nvPicPr>
        <xdr:cNvPr id="103" name="Picture 102" descr="20, 0, 2,20,">
          <a:extLst>
            <a:ext uri="{FF2B5EF4-FFF2-40B4-BE49-F238E27FC236}">
              <a16:creationId xmlns:a16="http://schemas.microsoft.com/office/drawing/2014/main" id="{7E219D08-BCA5-2A46-B0F9-1842B1CE0B33}"/>
            </a:ext>
            <a:ext uri="{147F2762-F138-4A5C-976F-8EAC2B608ADB}">
              <a16:predDERef xmlns:a16="http://schemas.microsoft.com/office/drawing/2014/main" pred="{C265EE8A-B007-4928-BA5D-AE219BCCD6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2811125" y="1470025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8</xdr:row>
      <xdr:rowOff>47625</xdr:rowOff>
    </xdr:from>
    <xdr:ext cx="774000" cy="774000"/>
    <xdr:pic>
      <xdr:nvPicPr>
        <xdr:cNvPr id="104" name="Picture 103" descr="20, 0, 2,20,">
          <a:extLst>
            <a:ext uri="{FF2B5EF4-FFF2-40B4-BE49-F238E27FC236}">
              <a16:creationId xmlns:a16="http://schemas.microsoft.com/office/drawing/2014/main" id="{CE823B71-7269-2444-8AC0-1F3CD001EE9F}"/>
            </a:ext>
            <a:ext uri="{147F2762-F138-4A5C-976F-8EAC2B608ADB}">
              <a16:predDERef xmlns:a16="http://schemas.microsoft.com/office/drawing/2014/main" pred="{010E828D-6BE6-4D79-A955-4A268B426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3662025" y="167322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47625</xdr:rowOff>
    </xdr:from>
    <xdr:ext cx="808183" cy="796638"/>
    <xdr:pic>
      <xdr:nvPicPr>
        <xdr:cNvPr id="105" name="Picture 104" descr="Item:Chakana,Pos:1">
          <a:extLst>
            <a:ext uri="{FF2B5EF4-FFF2-40B4-BE49-F238E27FC236}">
              <a16:creationId xmlns:a16="http://schemas.microsoft.com/office/drawing/2014/main" id="{CB007E24-A0C3-6348-ABD4-FFE53F8A6190}"/>
            </a:ext>
            <a:ext uri="{147F2762-F138-4A5C-976F-8EAC2B608ADB}">
              <a16:predDERef xmlns:a16="http://schemas.microsoft.com/office/drawing/2014/main" pred="{F0EEEFC7-302C-4661-A573-DF5835FDC4A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5316200" y="860425"/>
          <a:ext cx="808183" cy="796638"/>
        </a:xfrm>
        <a:prstGeom prst="rect">
          <a:avLst/>
        </a:prstGeom>
      </xdr:spPr>
    </xdr:pic>
    <xdr:clientData/>
  </xdr:oneCellAnchor>
  <xdr:oneCellAnchor>
    <xdr:from>
      <xdr:col>16</xdr:col>
      <xdr:colOff>15875</xdr:colOff>
      <xdr:row>4</xdr:row>
      <xdr:rowOff>31750</xdr:rowOff>
    </xdr:from>
    <xdr:ext cx="785091" cy="808183"/>
    <xdr:pic>
      <xdr:nvPicPr>
        <xdr:cNvPr id="106" name="Picture 105" descr="Item:Flame,Pos:1">
          <a:extLst>
            <a:ext uri="{FF2B5EF4-FFF2-40B4-BE49-F238E27FC236}">
              <a16:creationId xmlns:a16="http://schemas.microsoft.com/office/drawing/2014/main" id="{39DD9979-F4B9-FA46-836F-CF6C54861E15}"/>
            </a:ext>
            <a:ext uri="{147F2762-F138-4A5C-976F-8EAC2B608ADB}">
              <a16:predDERef xmlns:a16="http://schemas.microsoft.com/office/drawing/2014/main" pred="{F0577709-F1C6-4F11-A7D3-FC4DE790D9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3630275" y="844550"/>
          <a:ext cx="785091" cy="808183"/>
        </a:xfrm>
        <a:prstGeom prst="rect">
          <a:avLst/>
        </a:prstGeom>
      </xdr:spPr>
    </xdr:pic>
    <xdr:clientData/>
  </xdr:oneCellAnchor>
  <xdr:oneCellAnchor>
    <xdr:from>
      <xdr:col>16</xdr:col>
      <xdr:colOff>47625</xdr:colOff>
      <xdr:row>5</xdr:row>
      <xdr:rowOff>31750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CDFE2420-F04C-CB48-BDF9-F638EA2ADBCC}"/>
            </a:ext>
            <a:ext uri="{147F2762-F138-4A5C-976F-8EAC2B608ADB}">
              <a16:predDERef xmlns:a16="http://schemas.microsoft.com/office/drawing/2014/main" pred="{010B8B8E-DF00-4CC1-A434-17B2D30426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62025" y="10477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15875</xdr:colOff>
      <xdr:row>4</xdr:row>
      <xdr:rowOff>31750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C1CB778F-312D-8542-8A15-4631323CC19F}"/>
            </a:ext>
            <a:ext uri="{147F2762-F138-4A5C-976F-8EAC2B608ADB}">
              <a16:predDERef xmlns:a16="http://schemas.microsoft.com/office/drawing/2014/main" pred="{EF42D146-05D2-46AB-AC59-0D7287E30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81175" y="84455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73025</xdr:colOff>
      <xdr:row>5</xdr:row>
      <xdr:rowOff>41275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1285DF3A-899C-5046-866B-056C3AD71FB3}"/>
            </a:ext>
            <a:ext uri="{147F2762-F138-4A5C-976F-8EAC2B608ADB}">
              <a16:predDERef xmlns:a16="http://schemas.microsoft.com/office/drawing/2014/main" pred="{92EA416D-BA1D-4430-A143-1DE1DD253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38325" y="1057275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31750</xdr:colOff>
      <xdr:row>5</xdr:row>
      <xdr:rowOff>47625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29FF7161-1852-9A42-875A-4DAF779535F5}"/>
            </a:ext>
            <a:ext uri="{147F2762-F138-4A5C-976F-8EAC2B608ADB}">
              <a16:predDERef xmlns:a16="http://schemas.microsoft.com/office/drawing/2014/main" pred="{8DFE19F7-0FAC-45D8-9F79-DE5E027D08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1063625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3</xdr:row>
      <xdr:rowOff>31750</xdr:rowOff>
    </xdr:from>
    <xdr:ext cx="774000" cy="774000"/>
    <xdr:pic>
      <xdr:nvPicPr>
        <xdr:cNvPr id="111" name="Picture 110" descr="31,31,31,31,">
          <a:extLst>
            <a:ext uri="{FF2B5EF4-FFF2-40B4-BE49-F238E27FC236}">
              <a16:creationId xmlns:a16="http://schemas.microsoft.com/office/drawing/2014/main" id="{784156E2-9A64-414F-BA0C-389EC4FE6AFD}"/>
            </a:ext>
            <a:ext uri="{147F2762-F138-4A5C-976F-8EAC2B608ADB}">
              <a16:predDERef xmlns:a16="http://schemas.microsoft.com/office/drawing/2014/main" pred="{EA2F07C0-09A8-418E-897E-3C87BFCCB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6413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4</xdr:row>
      <xdr:rowOff>31750</xdr:rowOff>
    </xdr:from>
    <xdr:ext cx="774000" cy="774000"/>
    <xdr:pic>
      <xdr:nvPicPr>
        <xdr:cNvPr id="112" name="Picture 111" descr="31,31,31,31,">
          <a:extLst>
            <a:ext uri="{FF2B5EF4-FFF2-40B4-BE49-F238E27FC236}">
              <a16:creationId xmlns:a16="http://schemas.microsoft.com/office/drawing/2014/main" id="{77296B6B-2359-484F-83B8-8439A986D8E4}"/>
            </a:ext>
            <a:ext uri="{147F2762-F138-4A5C-976F-8EAC2B608ADB}">
              <a16:predDERef xmlns:a16="http://schemas.microsoft.com/office/drawing/2014/main" pred="{FB204D7B-E7AC-42E3-8E07-50E3A4424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8445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5</xdr:row>
      <xdr:rowOff>31750</xdr:rowOff>
    </xdr:from>
    <xdr:ext cx="774000" cy="774000"/>
    <xdr:pic>
      <xdr:nvPicPr>
        <xdr:cNvPr id="113" name="Picture 112" descr="31,31,31,31,">
          <a:extLst>
            <a:ext uri="{FF2B5EF4-FFF2-40B4-BE49-F238E27FC236}">
              <a16:creationId xmlns:a16="http://schemas.microsoft.com/office/drawing/2014/main" id="{576DE7D0-504D-D74A-AA6B-971915BB8877}"/>
            </a:ext>
            <a:ext uri="{147F2762-F138-4A5C-976F-8EAC2B608ADB}">
              <a16:predDERef xmlns:a16="http://schemas.microsoft.com/office/drawing/2014/main" pred="{0A178883-0B20-4BFF-B9D8-96665C56A0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9634200" y="1047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2</xdr:row>
      <xdr:rowOff>31750</xdr:rowOff>
    </xdr:from>
    <xdr:ext cx="774000" cy="774000"/>
    <xdr:pic>
      <xdr:nvPicPr>
        <xdr:cNvPr id="114" name="Picture 113" descr="33,33,31,31,">
          <a:extLst>
            <a:ext uri="{FF2B5EF4-FFF2-40B4-BE49-F238E27FC236}">
              <a16:creationId xmlns:a16="http://schemas.microsoft.com/office/drawing/2014/main" id="{44432A3E-1534-6243-B669-C9A5966E40F3}"/>
            </a:ext>
            <a:ext uri="{147F2762-F138-4A5C-976F-8EAC2B608ADB}">
              <a16:predDERef xmlns:a16="http://schemas.microsoft.com/office/drawing/2014/main" pred="{4DD2ECF1-E2AA-45AC-B18D-D9F886540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9634200" y="43815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63500</xdr:colOff>
      <xdr:row>5</xdr:row>
      <xdr:rowOff>31750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2FEBFFDA-4674-9343-92A4-95F792208C2C}"/>
            </a:ext>
            <a:ext uri="{147F2762-F138-4A5C-976F-8EAC2B608ADB}">
              <a16:predDERef xmlns:a16="http://schemas.microsoft.com/office/drawing/2014/main" pred="{7764A858-DC02-4E87-82CC-BD37A865F2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30600" y="10477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1</xdr:row>
      <xdr:rowOff>31750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FDCA6EE3-6865-7349-B110-02776A1823B3}"/>
            </a:ext>
            <a:ext uri="{147F2762-F138-4A5C-976F-8EAC2B608ADB}">
              <a16:predDERef xmlns:a16="http://schemas.microsoft.com/office/drawing/2014/main" pred="{C2B7498B-A9B4-43C8-BD49-ED2779A68B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2349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1</xdr:row>
      <xdr:rowOff>31750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0A272839-04C4-F548-B03F-A1FB11CDEA3E}"/>
            </a:ext>
            <a:ext uri="{147F2762-F138-4A5C-976F-8EAC2B608ADB}">
              <a16:predDERef xmlns:a16="http://schemas.microsoft.com/office/drawing/2014/main" pred="{4C80B66B-0341-45C4-955F-D9A2406AC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234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1</xdr:row>
      <xdr:rowOff>31750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B4FBC63-A2A6-1040-8583-91D8C6FF7078}"/>
            </a:ext>
            <a:ext uri="{147F2762-F138-4A5C-976F-8EAC2B608ADB}">
              <a16:predDERef xmlns:a16="http://schemas.microsoft.com/office/drawing/2014/main" pred="{55D23802-E737-420B-A0FB-F03670A545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234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1</xdr:row>
      <xdr:rowOff>31750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01A34D1F-059A-2C4B-9AB3-480E6B5B1AF9}"/>
            </a:ext>
            <a:ext uri="{147F2762-F138-4A5C-976F-8EAC2B608ADB}">
              <a16:predDERef xmlns:a16="http://schemas.microsoft.com/office/drawing/2014/main" pred="{3DD1F062-3DC8-4256-861A-6DDE8D63A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2349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1</xdr:row>
      <xdr:rowOff>31750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8766EC79-5155-5946-809B-ED0349BEFF5A}"/>
            </a:ext>
            <a:ext uri="{147F2762-F138-4A5C-976F-8EAC2B608ADB}">
              <a16:predDERef xmlns:a16="http://schemas.microsoft.com/office/drawing/2014/main" pred="{46A5CA66-2BF7-46E2-9015-8E4EBD326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234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1</xdr:row>
      <xdr:rowOff>31750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B995F164-DFC1-034F-A6F7-CF71F0C7AB4E}"/>
            </a:ext>
            <a:ext uri="{147F2762-F138-4A5C-976F-8EAC2B608ADB}">
              <a16:predDERef xmlns:a16="http://schemas.microsoft.com/office/drawing/2014/main" pred="{9ED43E55-6125-45D8-9D7F-BB61DA1DB7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2349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2</xdr:row>
      <xdr:rowOff>31750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02B8D8BC-5BBE-5648-9ADF-088BBD76A402}"/>
            </a:ext>
            <a:ext uri="{147F2762-F138-4A5C-976F-8EAC2B608ADB}">
              <a16:predDERef xmlns:a16="http://schemas.microsoft.com/office/drawing/2014/main" pred="{F4CE9DAA-865E-44E9-AFBD-620532301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4381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3</xdr:row>
      <xdr:rowOff>31750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4936CC22-789D-EA4B-9185-3EBDADF63BE8}"/>
            </a:ext>
            <a:ext uri="{147F2762-F138-4A5C-976F-8EAC2B608ADB}">
              <a16:predDERef xmlns:a16="http://schemas.microsoft.com/office/drawing/2014/main" pred="{9F4BDFF5-2B41-47B6-9D77-6C4CA62516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6413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4</xdr:row>
      <xdr:rowOff>31750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BD3D7E1B-3ACA-0B40-B8CF-AC932C86A43D}"/>
            </a:ext>
            <a:ext uri="{147F2762-F138-4A5C-976F-8EAC2B608ADB}">
              <a16:predDERef xmlns:a16="http://schemas.microsoft.com/office/drawing/2014/main" pred="{F09F9A42-5B88-46BA-85A6-95B3D5B7DB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8445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5</xdr:row>
      <xdr:rowOff>31750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75BD7CE9-C7FD-7B47-AD1E-8F33F394B7F5}"/>
            </a:ext>
            <a:ext uri="{147F2762-F138-4A5C-976F-8EAC2B608ADB}">
              <a16:predDERef xmlns:a16="http://schemas.microsoft.com/office/drawing/2014/main" pred="{568D6202-A016-4447-9BBD-B17EA409CD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04775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63500</xdr:colOff>
      <xdr:row>6</xdr:row>
      <xdr:rowOff>31750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84FC4D3A-ED8C-CF4F-8DEF-D5784ADAF513}"/>
            </a:ext>
            <a:ext uri="{147F2762-F138-4A5C-976F-8EAC2B608ADB}">
              <a16:predDERef xmlns:a16="http://schemas.microsoft.com/office/drawing/2014/main" pred="{83871F95-5F1F-4D74-86B7-9AE42EA271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125095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63500</xdr:colOff>
      <xdr:row>7</xdr:row>
      <xdr:rowOff>31750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19BDCE24-9B5F-6648-9A90-A33164DAE6DE}"/>
            </a:ext>
            <a:ext uri="{147F2762-F138-4A5C-976F-8EAC2B608ADB}">
              <a16:predDERef xmlns:a16="http://schemas.microsoft.com/office/drawing/2014/main" pred="{32A826FD-E30A-41EF-9448-BCD7BD849B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83300" y="145415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63500</xdr:colOff>
      <xdr:row>7</xdr:row>
      <xdr:rowOff>31750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B8EE8626-9230-3147-B6DA-45636A352001}"/>
            </a:ext>
            <a:ext uri="{147F2762-F138-4A5C-976F-8EAC2B608ADB}">
              <a16:predDERef xmlns:a16="http://schemas.microsoft.com/office/drawing/2014/main" pred="{9DB35B27-88A6-4CF7-A1AE-0258732182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34200" y="145415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63500</xdr:colOff>
      <xdr:row>7</xdr:row>
      <xdr:rowOff>31750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7369EA63-FE7A-C240-8419-AD89E7D46C9F}"/>
            </a:ext>
            <a:ext uri="{147F2762-F138-4A5C-976F-8EAC2B608ADB}">
              <a16:predDERef xmlns:a16="http://schemas.microsoft.com/office/drawing/2014/main" pred="{C1785556-3B4C-4318-9C07-A847FE5830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85100" y="1454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7</xdr:row>
      <xdr:rowOff>31750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171E7273-B129-CC42-9532-377083D4D835}"/>
            </a:ext>
            <a:ext uri="{147F2762-F138-4A5C-976F-8EAC2B608ADB}">
              <a16:predDERef xmlns:a16="http://schemas.microsoft.com/office/drawing/2014/main" pred="{1E512568-13A2-443A-8EB8-826FC3C53C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14541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7</xdr:row>
      <xdr:rowOff>31750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1DE21F90-1525-2A4A-9A2D-8B25A2420F0A}"/>
            </a:ext>
            <a:ext uri="{147F2762-F138-4A5C-976F-8EAC2B608ADB}">
              <a16:predDERef xmlns:a16="http://schemas.microsoft.com/office/drawing/2014/main" pred="{7C5D614F-4146-450F-9219-E3096D8F0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14541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7</xdr:row>
      <xdr:rowOff>31750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3C36CE95-7F16-D140-91E2-AEC9D444234B}"/>
            </a:ext>
            <a:ext uri="{147F2762-F138-4A5C-976F-8EAC2B608ADB}">
              <a16:predDERef xmlns:a16="http://schemas.microsoft.com/office/drawing/2014/main" pred="{5503AFAA-54C5-43A1-B0C3-46DF10654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00" y="14541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6</xdr:row>
      <xdr:rowOff>31750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889B6C20-F1E2-E145-8B65-AEC0827049EF}"/>
            </a:ext>
            <a:ext uri="{147F2762-F138-4A5C-976F-8EAC2B608ADB}">
              <a16:predDERef xmlns:a16="http://schemas.microsoft.com/office/drawing/2014/main" pred="{5AD3193B-429E-42C0-A696-E6935BBEA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37800" y="12509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3</xdr:row>
      <xdr:rowOff>31750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AD48BD7-0770-6D45-8A9C-5972BD87083C}"/>
            </a:ext>
            <a:ext uri="{147F2762-F138-4A5C-976F-8EAC2B608ADB}">
              <a16:predDERef xmlns:a16="http://schemas.microsoft.com/office/drawing/2014/main" pred="{B0865B46-DEE9-4D1E-88F3-151E0042A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64135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2</xdr:row>
      <xdr:rowOff>31750</xdr:rowOff>
    </xdr:from>
    <xdr:ext cx="796637" cy="796638"/>
    <xdr:pic>
      <xdr:nvPicPr>
        <xdr:cNvPr id="135" name="Picture 134" descr="Item:Lever_LH,Pos:1,Data:1">
          <a:extLst>
            <a:ext uri="{FF2B5EF4-FFF2-40B4-BE49-F238E27FC236}">
              <a16:creationId xmlns:a16="http://schemas.microsoft.com/office/drawing/2014/main" id="{50EAE430-7A0F-1A4E-8F86-ECBD96D06C4A}"/>
            </a:ext>
            <a:ext uri="{147F2762-F138-4A5C-976F-8EAC2B608ADB}">
              <a16:predDERef xmlns:a16="http://schemas.microsoft.com/office/drawing/2014/main" pred="{84CF5EF5-F503-4186-9B75-69D37C74CC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2186900" y="438150"/>
          <a:ext cx="796637" cy="796638"/>
        </a:xfrm>
        <a:prstGeom prst="rect">
          <a:avLst/>
        </a:prstGeom>
      </xdr:spPr>
    </xdr:pic>
    <xdr:clientData/>
  </xdr:oneCellAnchor>
  <xdr:oneCellAnchor>
    <xdr:from>
      <xdr:col>26</xdr:col>
      <xdr:colOff>63500</xdr:colOff>
      <xdr:row>6</xdr:row>
      <xdr:rowOff>31750</xdr:rowOff>
    </xdr:from>
    <xdr:ext cx="774000" cy="774000"/>
    <xdr:pic>
      <xdr:nvPicPr>
        <xdr:cNvPr id="136" name="Picture 135" descr=" 0, 0, 1, 1">
          <a:extLst>
            <a:ext uri="{FF2B5EF4-FFF2-40B4-BE49-F238E27FC236}">
              <a16:creationId xmlns:a16="http://schemas.microsoft.com/office/drawing/2014/main" id="{2C546C6C-B8A7-9E4F-BCD6-DF85C335B1E5}"/>
            </a:ext>
            <a:ext uri="{147F2762-F138-4A5C-976F-8EAC2B608ADB}">
              <a16:predDERef xmlns:a16="http://schemas.microsoft.com/office/drawing/2014/main" pred="{CF780472-EB24-46CC-B6DE-CF4B407A5E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2186900" y="125095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63500</xdr:colOff>
      <xdr:row>6</xdr:row>
      <xdr:rowOff>31750</xdr:rowOff>
    </xdr:from>
    <xdr:ext cx="820622" cy="808183"/>
    <xdr:pic>
      <xdr:nvPicPr>
        <xdr:cNvPr id="137" name="Picture 136" descr="Item:MysteryCrate,Pos:1,ItemType:17">
          <a:extLst>
            <a:ext uri="{FF2B5EF4-FFF2-40B4-BE49-F238E27FC236}">
              <a16:creationId xmlns:a16="http://schemas.microsoft.com/office/drawing/2014/main" id="{AB19E3C3-5432-114D-8254-5F98E0FFB84B}"/>
            </a:ext>
            <a:ext uri="{147F2762-F138-4A5C-976F-8EAC2B608ADB}">
              <a16:predDERef xmlns:a16="http://schemas.microsoft.com/office/drawing/2014/main" pred="{3FB857E0-A031-430F-A34E-1F26F57D64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1336000" y="1250950"/>
          <a:ext cx="820622" cy="808183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5</xdr:row>
      <xdr:rowOff>31750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9AE33327-76D5-CC4F-9C51-73E3F83B0530}"/>
            </a:ext>
            <a:ext uri="{147F2762-F138-4A5C-976F-8EAC2B608ADB}">
              <a16:predDERef xmlns:a16="http://schemas.microsoft.com/office/drawing/2014/main" pred="{153B1D78-EBDC-4955-A19A-BFE8A423ED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104775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63500</xdr:colOff>
      <xdr:row>4</xdr:row>
      <xdr:rowOff>31750</xdr:rowOff>
    </xdr:from>
    <xdr:ext cx="774000" cy="774000"/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9BF2BC8C-DA57-6F49-AFB8-A3E0130E2CBE}"/>
            </a:ext>
            <a:ext uri="{147F2762-F138-4A5C-976F-8EAC2B608ADB}">
              <a16:predDERef xmlns:a16="http://schemas.microsoft.com/office/drawing/2014/main" pred="{47024A3D-3497-455F-9D54-CBDF3FE546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81500" y="8445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5</xdr:row>
      <xdr:rowOff>31750</xdr:rowOff>
    </xdr:from>
    <xdr:ext cx="774000" cy="774000"/>
    <xdr:pic>
      <xdr:nvPicPr>
        <xdr:cNvPr id="140" name="Picture 139" descr="12,12, 7, 7,">
          <a:extLst>
            <a:ext uri="{FF2B5EF4-FFF2-40B4-BE49-F238E27FC236}">
              <a16:creationId xmlns:a16="http://schemas.microsoft.com/office/drawing/2014/main" id="{79A8F06E-2CFA-AE40-BFD6-A002304D4BD5}"/>
            </a:ext>
            <a:ext uri="{147F2762-F138-4A5C-976F-8EAC2B608ADB}">
              <a16:predDERef xmlns:a16="http://schemas.microsoft.com/office/drawing/2014/main" pred="{06E7ADFD-59A5-4D0A-966E-8FD4DB4F4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037800" y="10477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63500</xdr:colOff>
      <xdr:row>4</xdr:row>
      <xdr:rowOff>31750</xdr:rowOff>
    </xdr:from>
    <xdr:ext cx="774000" cy="774000"/>
    <xdr:pic>
      <xdr:nvPicPr>
        <xdr:cNvPr id="141" name="Picture 140" descr="12,12,12,12,">
          <a:extLst>
            <a:ext uri="{FF2B5EF4-FFF2-40B4-BE49-F238E27FC236}">
              <a16:creationId xmlns:a16="http://schemas.microsoft.com/office/drawing/2014/main" id="{29B3732F-4619-E349-8D66-7BDA81821562}"/>
            </a:ext>
            <a:ext uri="{147F2762-F138-4A5C-976F-8EAC2B608ADB}">
              <a16:predDERef xmlns:a16="http://schemas.microsoft.com/office/drawing/2014/main" pred="{BE1DC92C-4D91-4E26-9393-8B95BF4A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037800" y="84455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86484" cy="774000"/>
    <xdr:pic>
      <xdr:nvPicPr>
        <xdr:cNvPr id="142" name="Picture 141" descr=" 8, 8, 7, 7,">
          <a:extLst>
            <a:ext uri="{FF2B5EF4-FFF2-40B4-BE49-F238E27FC236}">
              <a16:creationId xmlns:a16="http://schemas.microsoft.com/office/drawing/2014/main" id="{75844EDB-5877-884E-BB48-B926D2F4EE9C}"/>
            </a:ext>
            <a:ext uri="{147F2762-F138-4A5C-976F-8EAC2B608ADB}">
              <a16:predDERef xmlns:a16="http://schemas.microsoft.com/office/drawing/2014/main" pred="{2026AB99-9033-BE4B-B38E-797BE2A90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29743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E39E7707-5489-3349-B6CC-0D9F9D4A2E4B}"/>
            </a:ext>
            <a:ext uri="{147F2762-F138-4A5C-976F-8EAC2B608ADB}">
              <a16:predDERef xmlns:a16="http://schemas.microsoft.com/office/drawing/2014/main" pred="{84468CEF-33B3-4D2F-9783-0CC9BCC506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4</xdr:row>
      <xdr:rowOff>0</xdr:rowOff>
    </xdr:from>
    <xdr:ext cx="777876" cy="777876"/>
    <xdr:pic>
      <xdr:nvPicPr>
        <xdr:cNvPr id="144" name="Picture 143" descr=" 2, 2, 3, 3,">
          <a:extLst>
            <a:ext uri="{FF2B5EF4-FFF2-40B4-BE49-F238E27FC236}">
              <a16:creationId xmlns:a16="http://schemas.microsoft.com/office/drawing/2014/main" id="{9DB3B3BC-BA84-514A-BD22-DA76F5317F22}"/>
            </a:ext>
            <a:ext uri="{147F2762-F138-4A5C-976F-8EAC2B608ADB}">
              <a16:predDERef xmlns:a16="http://schemas.microsoft.com/office/drawing/2014/main" pred="{FFF3CF69-DBE3-448E-BEFD-7C1A49CE0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59563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145" name="Picture 144" descr=" 0, 5, 6, 2, ">
          <a:extLst>
            <a:ext uri="{FF2B5EF4-FFF2-40B4-BE49-F238E27FC236}">
              <a16:creationId xmlns:a16="http://schemas.microsoft.com/office/drawing/2014/main" id="{D1D29366-4337-C642-9F1F-67B159C1F572}"/>
            </a:ext>
            <a:ext uri="{147F2762-F138-4A5C-976F-8EAC2B608ADB}">
              <a16:predDERef xmlns:a16="http://schemas.microsoft.com/office/drawing/2014/main" pred="{20686687-5526-4B50-BE4D-F7FFC7FA51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146" name="Picture 145" descr=" 9, 0, 2,11, ">
          <a:extLst>
            <a:ext uri="{FF2B5EF4-FFF2-40B4-BE49-F238E27FC236}">
              <a16:creationId xmlns:a16="http://schemas.microsoft.com/office/drawing/2014/main" id="{9AD46F9C-69B0-1044-9FAA-4BA22F5B2ECD}"/>
            </a:ext>
            <a:ext uri="{147F2762-F138-4A5C-976F-8EAC2B608ADB}">
              <a16:predDERef xmlns:a16="http://schemas.microsoft.com/office/drawing/2014/main" pred="{BBE619C2-9FBB-4AFB-9E58-9CFACCA59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62000" cy="762000"/>
    <xdr:pic>
      <xdr:nvPicPr>
        <xdr:cNvPr id="147" name="Picture 146" descr=" 9, 0, 2,11, ">
          <a:extLst>
            <a:ext uri="{FF2B5EF4-FFF2-40B4-BE49-F238E27FC236}">
              <a16:creationId xmlns:a16="http://schemas.microsoft.com/office/drawing/2014/main" id="{AA5F8D99-C5BB-AD49-8AE8-FC187BF86FFA}"/>
            </a:ext>
            <a:ext uri="{147F2762-F138-4A5C-976F-8EAC2B608ADB}">
              <a16:predDERef xmlns:a16="http://schemas.microsoft.com/office/drawing/2014/main" pred="{AD0742AA-5919-4F62-994D-B8D05142B6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76581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86484" cy="774000"/>
    <xdr:pic>
      <xdr:nvPicPr>
        <xdr:cNvPr id="148" name="Picture 147" descr=" 8, 8, 7, 7,">
          <a:extLst>
            <a:ext uri="{FF2B5EF4-FFF2-40B4-BE49-F238E27FC236}">
              <a16:creationId xmlns:a16="http://schemas.microsoft.com/office/drawing/2014/main" id="{3E05FB2B-9F83-B143-9182-0394B3167997}"/>
            </a:ext>
            <a:ext uri="{147F2762-F138-4A5C-976F-8EAC2B608ADB}">
              <a16:predDERef xmlns:a16="http://schemas.microsoft.com/office/drawing/2014/main" pred="{788C15DF-909B-4AE7-9593-5F7EC886E9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956300" y="1016000"/>
          <a:ext cx="786484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149" name="Picture 148" descr="12,12, 7, 7,">
          <a:extLst>
            <a:ext uri="{FF2B5EF4-FFF2-40B4-BE49-F238E27FC236}">
              <a16:creationId xmlns:a16="http://schemas.microsoft.com/office/drawing/2014/main" id="{0B9950A3-82DC-B644-B699-F9BCE803D711}"/>
            </a:ext>
            <a:ext uri="{147F2762-F138-4A5C-976F-8EAC2B608ADB}">
              <a16:predDERef xmlns:a16="http://schemas.microsoft.com/office/drawing/2014/main" pred="{35A349D0-FF0D-4F9D-8AC0-35E9ED2DA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50" name="Picture 149" descr="12,12,12,12,">
          <a:extLst>
            <a:ext uri="{FF2B5EF4-FFF2-40B4-BE49-F238E27FC236}">
              <a16:creationId xmlns:a16="http://schemas.microsoft.com/office/drawing/2014/main" id="{A42773E1-827B-C14B-B0D9-25B4306AD71C}"/>
            </a:ext>
            <a:ext uri="{147F2762-F138-4A5C-976F-8EAC2B608ADB}">
              <a16:predDERef xmlns:a16="http://schemas.microsoft.com/office/drawing/2014/main" pred="{03687B00-39AB-45E7-89B3-5F88AD1B79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6111" cy="776111"/>
    <xdr:pic>
      <xdr:nvPicPr>
        <xdr:cNvPr id="151" name="Picture 150" descr="27,27, 2, 2,">
          <a:extLst>
            <a:ext uri="{FF2B5EF4-FFF2-40B4-BE49-F238E27FC236}">
              <a16:creationId xmlns:a16="http://schemas.microsoft.com/office/drawing/2014/main" id="{11B1D27A-525C-F14B-8022-014046919751}"/>
            </a:ext>
            <a:ext uri="{147F2762-F138-4A5C-976F-8EAC2B608ADB}">
              <a16:predDERef xmlns:a16="http://schemas.microsoft.com/office/drawing/2014/main" pred="{9BAEB2E1-3C00-4958-AC21-BCE2269B2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6807200" y="1219200"/>
          <a:ext cx="776111" cy="776111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7</xdr:row>
      <xdr:rowOff>0</xdr:rowOff>
    </xdr:from>
    <xdr:ext cx="774000" cy="774000"/>
    <xdr:pic>
      <xdr:nvPicPr>
        <xdr:cNvPr id="152" name="Picture 151" descr=" 0, 0, 1, 1">
          <a:extLst>
            <a:ext uri="{FF2B5EF4-FFF2-40B4-BE49-F238E27FC236}">
              <a16:creationId xmlns:a16="http://schemas.microsoft.com/office/drawing/2014/main" id="{30BA3770-AF30-EE46-A33E-5F6DA175897F}"/>
            </a:ext>
            <a:ext uri="{147F2762-F138-4A5C-976F-8EAC2B608ADB}">
              <a16:predDERef xmlns:a16="http://schemas.microsoft.com/office/drawing/2014/main" pred="{A2A9E515-7D3B-44F8-B4B2-999094D80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509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85091" cy="819727"/>
    <xdr:pic>
      <xdr:nvPicPr>
        <xdr:cNvPr id="153" name="Picture 152" descr="Item:PinchBar,Pos:1">
          <a:extLst>
            <a:ext uri="{FF2B5EF4-FFF2-40B4-BE49-F238E27FC236}">
              <a16:creationId xmlns:a16="http://schemas.microsoft.com/office/drawing/2014/main" id="{8D9AE429-E974-2F49-9A65-BF234B709D35}"/>
            </a:ext>
            <a:ext uri="{147F2762-F138-4A5C-976F-8EAC2B608ADB}">
              <a16:predDERef xmlns:a16="http://schemas.microsoft.com/office/drawing/2014/main" pred="{AA767272-B9E3-4E71-B779-C762CF02BD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8509000" y="1219200"/>
          <a:ext cx="785091" cy="819727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6111" cy="776111"/>
    <xdr:pic>
      <xdr:nvPicPr>
        <xdr:cNvPr id="154" name="Picture 153" descr="27,27, 2, 2,">
          <a:extLst>
            <a:ext uri="{FF2B5EF4-FFF2-40B4-BE49-F238E27FC236}">
              <a16:creationId xmlns:a16="http://schemas.microsoft.com/office/drawing/2014/main" id="{A5581A7C-92B6-7B49-8D28-6B97911DEFCC}"/>
            </a:ext>
            <a:ext uri="{147F2762-F138-4A5C-976F-8EAC2B608ADB}">
              <a16:predDERef xmlns:a16="http://schemas.microsoft.com/office/drawing/2014/main" pred="{7C4DCC6D-DB82-4AC2-8F67-9298F34E4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658100" y="1219200"/>
          <a:ext cx="776111" cy="776111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155" name="Picture 154" descr="31,31,32,32,">
          <a:extLst>
            <a:ext uri="{FF2B5EF4-FFF2-40B4-BE49-F238E27FC236}">
              <a16:creationId xmlns:a16="http://schemas.microsoft.com/office/drawing/2014/main" id="{CC880E68-BC00-1440-9A98-7C938C109A19}"/>
            </a:ext>
            <a:ext uri="{147F2762-F138-4A5C-976F-8EAC2B608ADB}">
              <a16:predDERef xmlns:a16="http://schemas.microsoft.com/office/drawing/2014/main" pred="{FF30B43A-683E-40C6-ACA3-BD23C7D52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9570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25D92792-90A2-974D-A3E1-ABCB6E4BA66E}"/>
            </a:ext>
            <a:ext uri="{147F2762-F138-4A5C-976F-8EAC2B608ADB}">
              <a16:predDERef xmlns:a16="http://schemas.microsoft.com/office/drawing/2014/main" pred="{7586919C-E2F4-4D28-8EB1-ABF851BAE7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6A15D300-C1EA-2742-86CA-962F7E12C5CF}"/>
            </a:ext>
            <a:ext uri="{147F2762-F138-4A5C-976F-8EAC2B608ADB}">
              <a16:predDERef xmlns:a16="http://schemas.microsoft.com/office/drawing/2014/main" pred="{92F63A48-36BF-4EBB-8039-CD368E881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41AF647E-A38E-4847-8D7A-CF68D2D53AAF}"/>
            </a:ext>
            <a:ext uri="{147F2762-F138-4A5C-976F-8EAC2B608ADB}">
              <a16:predDERef xmlns:a16="http://schemas.microsoft.com/office/drawing/2014/main" pred="{C4066446-2CB3-4BD6-AEE2-C9593077E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1F2708D0-3090-8D47-8B8D-01C2A19F57FA}"/>
            </a:ext>
            <a:ext uri="{147F2762-F138-4A5C-976F-8EAC2B608ADB}">
              <a16:predDERef xmlns:a16="http://schemas.microsoft.com/office/drawing/2014/main" pred="{1A41D23C-472F-4C21-B29F-C52D9814D5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094F4764-3B58-6D44-A78C-B26BBB1F5CC7}"/>
            </a:ext>
            <a:ext uri="{147F2762-F138-4A5C-976F-8EAC2B608ADB}">
              <a16:predDERef xmlns:a16="http://schemas.microsoft.com/office/drawing/2014/main" pred="{89DED429-753F-42F0-B9D8-F26EE50985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806593" cy="797919"/>
    <xdr:pic>
      <xdr:nvPicPr>
        <xdr:cNvPr id="161" name="Picture 160" descr="Item:Lever_Portal_Closed,Pos:2">
          <a:extLst>
            <a:ext uri="{FF2B5EF4-FFF2-40B4-BE49-F238E27FC236}">
              <a16:creationId xmlns:a16="http://schemas.microsoft.com/office/drawing/2014/main" id="{CD02F4C0-BE7C-C44E-84BC-E3FF12051F55}"/>
            </a:ext>
            <a:ext uri="{147F2762-F138-4A5C-976F-8EAC2B608ADB}">
              <a16:predDERef xmlns:a16="http://schemas.microsoft.com/office/drawing/2014/main" pred="{D83FC5BE-AF84-47BD-B48D-397A1E318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61671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3D3678B2-D591-0948-B7C3-5A74ABBB71CC}"/>
            </a:ext>
            <a:ext uri="{147F2762-F138-4A5C-976F-8EAC2B608ADB}">
              <a16:predDERef xmlns:a16="http://schemas.microsoft.com/office/drawing/2014/main" pred="{54CC91C6-4AF5-47FC-8A4B-77E4EF5A33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7876" cy="777876"/>
    <xdr:pic>
      <xdr:nvPicPr>
        <xdr:cNvPr id="163" name="Picture 162" descr=" 0, 5, 6, 2, ">
          <a:extLst>
            <a:ext uri="{FF2B5EF4-FFF2-40B4-BE49-F238E27FC236}">
              <a16:creationId xmlns:a16="http://schemas.microsoft.com/office/drawing/2014/main" id="{F6B06982-DB56-0545-82F6-7298BB153CD7}"/>
            </a:ext>
            <a:ext uri="{147F2762-F138-4A5C-976F-8EAC2B608ADB}">
              <a16:predDERef xmlns:a16="http://schemas.microsoft.com/office/drawing/2014/main" pred="{08B8C638-4D81-4970-A734-5046F5C40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8689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7876" cy="777876"/>
    <xdr:pic>
      <xdr:nvPicPr>
        <xdr:cNvPr id="164" name="Picture 163" descr=" 0, 5, 6, 2, ">
          <a:extLst>
            <a:ext uri="{FF2B5EF4-FFF2-40B4-BE49-F238E27FC236}">
              <a16:creationId xmlns:a16="http://schemas.microsoft.com/office/drawing/2014/main" id="{FA9B61FE-CC88-E44F-A107-3BE72D31701D}"/>
            </a:ext>
            <a:ext uri="{147F2762-F138-4A5C-976F-8EAC2B608ADB}">
              <a16:predDERef xmlns:a16="http://schemas.microsoft.com/office/drawing/2014/main" pred="{B734B743-1F3A-44A1-B9D2-2B6249246A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F07E7E8A-0F2F-4741-88B0-8E2E09CE474C}"/>
            </a:ext>
            <a:ext uri="{147F2762-F138-4A5C-976F-8EAC2B608ADB}">
              <a16:predDERef xmlns:a16="http://schemas.microsoft.com/office/drawing/2014/main" pred="{69078F31-2779-4BFE-975F-1BE265D127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790222" cy="790222"/>
    <xdr:pic>
      <xdr:nvPicPr>
        <xdr:cNvPr id="166" name="Picture 165" descr="Item:Chakana_Small,Pos:1,Data:5">
          <a:extLst>
            <a:ext uri="{FF2B5EF4-FFF2-40B4-BE49-F238E27FC236}">
              <a16:creationId xmlns:a16="http://schemas.microsoft.com/office/drawing/2014/main" id="{6A20D811-F7EB-1749-9280-B54F6ED5EA80}"/>
            </a:ext>
            <a:ext uri="{147F2762-F138-4A5C-976F-8EAC2B608ADB}">
              <a16:predDERef xmlns:a16="http://schemas.microsoft.com/office/drawing/2014/main" pred="{6BC20692-1378-4E74-BDFA-D53238747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44653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14</xdr:col>
      <xdr:colOff>31750</xdr:colOff>
      <xdr:row>8</xdr:row>
      <xdr:rowOff>31750</xdr:rowOff>
    </xdr:from>
    <xdr:ext cx="790222" cy="790222"/>
    <xdr:pic>
      <xdr:nvPicPr>
        <xdr:cNvPr id="167" name="Picture 166" descr="Item:Chakana_Small,Pos:1,Data:5">
          <a:extLst>
            <a:ext uri="{FF2B5EF4-FFF2-40B4-BE49-F238E27FC236}">
              <a16:creationId xmlns:a16="http://schemas.microsoft.com/office/drawing/2014/main" id="{0E55C55D-AF1C-8C49-885A-30DE26D55931}"/>
            </a:ext>
            <a:ext uri="{147F2762-F138-4A5C-976F-8EAC2B608ADB}">
              <a16:predDERef xmlns:a16="http://schemas.microsoft.com/office/drawing/2014/main" pred="{4DD4B81A-46AF-492D-BE34-ED8943404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12033250" y="6889750"/>
          <a:ext cx="790222" cy="790222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8C7E75D7-B54C-0941-8EA9-67D0BED354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2F1FD5DC-2CD7-AD41-8858-7C345B257409}"/>
            </a:ext>
            <a:ext uri="{147F2762-F138-4A5C-976F-8EAC2B608ADB}">
              <a16:predDERef xmlns:a16="http://schemas.microsoft.com/office/drawing/2014/main" pred="{C04B9BFF-F7E7-4473-8284-F275BB1DF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972CF4AC-4F51-1B47-AF0C-46C45F126736}"/>
            </a:ext>
            <a:ext uri="{147F2762-F138-4A5C-976F-8EAC2B608ADB}">
              <a16:predDERef xmlns:a16="http://schemas.microsoft.com/office/drawing/2014/main" pred="{7777756D-97E6-4215-A19A-0C876F2EF3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68E60553-3795-6747-B5D5-4EAF2D2EC1AD}"/>
            </a:ext>
            <a:ext uri="{147F2762-F138-4A5C-976F-8EAC2B608ADB}">
              <a16:predDERef xmlns:a16="http://schemas.microsoft.com/office/drawing/2014/main" pred="{62C71955-D177-4C05-933F-1AA19687B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8B555F41-23F2-414D-A59B-B37895A34757}"/>
            </a:ext>
            <a:ext uri="{147F2762-F138-4A5C-976F-8EAC2B608ADB}">
              <a16:predDERef xmlns:a16="http://schemas.microsoft.com/office/drawing/2014/main" pred="{07BBB316-F3D5-49BD-9E64-1B443BE8A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5E9C0F55-A9B4-C946-A927-AFF1C2F33C64}"/>
            </a:ext>
            <a:ext uri="{147F2762-F138-4A5C-976F-8EAC2B608ADB}">
              <a16:predDERef xmlns:a16="http://schemas.microsoft.com/office/drawing/2014/main" pred="{874B05DB-EADF-408F-A774-C8A788B185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8E1AA020-C0A4-0F41-9BB9-97D5722CCB41}"/>
            </a:ext>
            <a:ext uri="{147F2762-F138-4A5C-976F-8EAC2B608ADB}">
              <a16:predDERef xmlns:a16="http://schemas.microsoft.com/office/drawing/2014/main" pred="{439A4202-244C-466D-8E06-D99CB6EA39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CE1E29A-6541-8A41-9192-2A1F426D04E9}"/>
            </a:ext>
            <a:ext uri="{147F2762-F138-4A5C-976F-8EAC2B608ADB}">
              <a16:predDERef xmlns:a16="http://schemas.microsoft.com/office/drawing/2014/main" pred="{6CFF8C70-3907-43CC-86F2-CDE8E0344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831AB0EA-8C4D-534D-8CBA-9868355AB372}"/>
            </a:ext>
            <a:ext uri="{147F2762-F138-4A5C-976F-8EAC2B608ADB}">
              <a16:predDERef xmlns:a16="http://schemas.microsoft.com/office/drawing/2014/main" pred="{055B676E-CB6E-4098-94AB-AFC763E7E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F4E8C3B9-8995-B046-9487-7BFEE5FDB789}"/>
            </a:ext>
            <a:ext uri="{147F2762-F138-4A5C-976F-8EAC2B608ADB}">
              <a16:predDERef xmlns:a16="http://schemas.microsoft.com/office/drawing/2014/main" pred="{3C4FAE45-9676-4555-97DA-35DB3F886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2450A5C-E6DC-524D-B396-BF995D20D18F}"/>
            </a:ext>
            <a:ext uri="{147F2762-F138-4A5C-976F-8EAC2B608ADB}">
              <a16:predDERef xmlns:a16="http://schemas.microsoft.com/office/drawing/2014/main" pred="{C7242EA0-153E-4C6D-94A9-94E3AA5D9F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EB9D6A9-9B31-0949-83A2-315947842725}"/>
            </a:ext>
            <a:ext uri="{147F2762-F138-4A5C-976F-8EAC2B608ADB}">
              <a16:predDERef xmlns:a16="http://schemas.microsoft.com/office/drawing/2014/main" pred="{556B802F-7594-4CDA-8085-1B1B86100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BCF0970-3FB5-224A-A995-D00056E592E5}"/>
            </a:ext>
            <a:ext uri="{147F2762-F138-4A5C-976F-8EAC2B608ADB}">
              <a16:predDERef xmlns:a16="http://schemas.microsoft.com/office/drawing/2014/main" pred="{015BB1C3-E9B0-444E-A827-6C75BCCA9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93A76AB3-E217-5947-8239-01A6BCA21D69}"/>
            </a:ext>
            <a:ext uri="{147F2762-F138-4A5C-976F-8EAC2B608ADB}">
              <a16:predDERef xmlns:a16="http://schemas.microsoft.com/office/drawing/2014/main" pred="{A04768AF-0DA3-443D-B840-336022CB64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B9F9B26A-BB3A-F24F-8A6F-C94D80FFDF64}"/>
            </a:ext>
            <a:ext uri="{147F2762-F138-4A5C-976F-8EAC2B608ADB}">
              <a16:predDERef xmlns:a16="http://schemas.microsoft.com/office/drawing/2014/main" pred="{77DD7DF7-4AE5-4E4C-B7BA-8FD13DBD8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10E91468-437E-7F42-8AF4-C0905B480B38}"/>
            </a:ext>
            <a:ext uri="{147F2762-F138-4A5C-976F-8EAC2B608ADB}">
              <a16:predDERef xmlns:a16="http://schemas.microsoft.com/office/drawing/2014/main" pred="{C21BDA5B-1062-4BA7-87FE-DCDFB330E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F7AAE3DE-228D-CB47-AAB0-903F8BEE9F0C}"/>
            </a:ext>
            <a:ext uri="{147F2762-F138-4A5C-976F-8EAC2B608ADB}">
              <a16:predDERef xmlns:a16="http://schemas.microsoft.com/office/drawing/2014/main" pred="{7283D883-30CB-4FE5-BA44-60AB71909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6801058B-850C-8149-B36C-141336E8A77C}"/>
            </a:ext>
            <a:ext uri="{147F2762-F138-4A5C-976F-8EAC2B608ADB}">
              <a16:predDERef xmlns:a16="http://schemas.microsoft.com/office/drawing/2014/main" pred="{50AA0AD4-CBFA-4CAE-99F7-AE19869B02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512DADD-BC8F-484F-86C3-D87169C16826}"/>
            </a:ext>
            <a:ext uri="{147F2762-F138-4A5C-976F-8EAC2B608ADB}">
              <a16:predDERef xmlns:a16="http://schemas.microsoft.com/office/drawing/2014/main" pred="{BB37D25C-4F19-4640-B8FF-EE1783CBE8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F73B3C51-B89F-5A44-9386-C8CDC01F44E7}"/>
            </a:ext>
            <a:ext uri="{147F2762-F138-4A5C-976F-8EAC2B608ADB}">
              <a16:predDERef xmlns:a16="http://schemas.microsoft.com/office/drawing/2014/main" pred="{BD07C3C7-8BB8-4689-A3D5-8B43EC9A9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7988AAF8-71C5-5942-85AE-FB2C8C17F292}"/>
            </a:ext>
            <a:ext uri="{147F2762-F138-4A5C-976F-8EAC2B608ADB}">
              <a16:predDERef xmlns:a16="http://schemas.microsoft.com/office/drawing/2014/main" pred="{A0D0F1CB-6F22-481B-87F5-5AAC6D9498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BA57D8E-D902-964C-9FCE-CDA7008A35DD}"/>
            </a:ext>
            <a:ext uri="{147F2762-F138-4A5C-976F-8EAC2B608ADB}">
              <a16:predDERef xmlns:a16="http://schemas.microsoft.com/office/drawing/2014/main" pred="{ED17C1C9-9F77-4C85-AABE-F51CCAFC3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EF4B5851-F3DA-2940-B40C-330EC50235D1}"/>
            </a:ext>
            <a:ext uri="{147F2762-F138-4A5C-976F-8EAC2B608ADB}">
              <a16:predDERef xmlns:a16="http://schemas.microsoft.com/office/drawing/2014/main" pred="{B2627DD1-F055-4F51-98C2-DC9306D7D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CA644BBE-AC2D-A342-996C-262272F3DD0B}"/>
            </a:ext>
            <a:ext uri="{147F2762-F138-4A5C-976F-8EAC2B608ADB}">
              <a16:predDERef xmlns:a16="http://schemas.microsoft.com/office/drawing/2014/main" pred="{F66F45D1-5F92-4AC5-8187-8549F95BB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B0D6380B-53FA-894E-8261-6A9B0679B447}"/>
            </a:ext>
            <a:ext uri="{147F2762-F138-4A5C-976F-8EAC2B608ADB}">
              <a16:predDERef xmlns:a16="http://schemas.microsoft.com/office/drawing/2014/main" pred="{528782BB-BC65-43F0-B7D2-C632729D6A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641A560D-A5B5-0349-A469-0CC055A32399}"/>
            </a:ext>
            <a:ext uri="{147F2762-F138-4A5C-976F-8EAC2B608ADB}">
              <a16:predDERef xmlns:a16="http://schemas.microsoft.com/office/drawing/2014/main" pred="{6C6DB8B3-6432-4BE6-AED3-F0ECA08E74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55101472-611B-7944-A79C-2F95CD1A793D}"/>
            </a:ext>
            <a:ext uri="{147F2762-F138-4A5C-976F-8EAC2B608ADB}">
              <a16:predDERef xmlns:a16="http://schemas.microsoft.com/office/drawing/2014/main" pred="{01B5A5DE-28AF-4F92-9B57-24C3D0A27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EED3541-DD6F-7A47-9193-B3AEF06248B9}"/>
            </a:ext>
            <a:ext uri="{147F2762-F138-4A5C-976F-8EAC2B608ADB}">
              <a16:predDERef xmlns:a16="http://schemas.microsoft.com/office/drawing/2014/main" pred="{6518EE6D-841F-4C40-A70D-829DEC0076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263B969D-E568-EB4B-AE30-B6C94A9DBD2D}"/>
            </a:ext>
            <a:ext uri="{147F2762-F138-4A5C-976F-8EAC2B608ADB}">
              <a16:predDERef xmlns:a16="http://schemas.microsoft.com/office/drawing/2014/main" pred="{0F47A3EB-EA9F-4956-A45D-A79803FFEB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4B48A73-8ED9-954C-81DE-4D049A0BFF1B}"/>
            </a:ext>
            <a:ext uri="{147F2762-F138-4A5C-976F-8EAC2B608ADB}">
              <a16:predDERef xmlns:a16="http://schemas.microsoft.com/office/drawing/2014/main" pred="{CA9F2E97-E0CA-470E-BC69-5849A91797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5E5C07F-BAFC-B84F-98EA-2E90793DA9E4}"/>
            </a:ext>
            <a:ext uri="{147F2762-F138-4A5C-976F-8EAC2B608ADB}">
              <a16:predDERef xmlns:a16="http://schemas.microsoft.com/office/drawing/2014/main" pred="{D62D5EF0-9F01-4BB1-8A4B-A6A45224ED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80E8E361-3805-F44F-94A0-B57F3FFCFC5E}"/>
            </a:ext>
            <a:ext uri="{147F2762-F138-4A5C-976F-8EAC2B608ADB}">
              <a16:predDERef xmlns:a16="http://schemas.microsoft.com/office/drawing/2014/main" pred="{A608121A-7A7C-4CF2-83EF-3E81739DC1A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2589A36-F1B2-BD4F-BEF3-0C6B8E931D38}"/>
            </a:ext>
            <a:ext uri="{147F2762-F138-4A5C-976F-8EAC2B608ADB}">
              <a16:predDERef xmlns:a16="http://schemas.microsoft.com/office/drawing/2014/main" pred="{11027D8E-82E8-475D-8064-BB50362BDF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104A5FAA-F319-EC49-9E25-79087CACD7F1}"/>
            </a:ext>
            <a:ext uri="{147F2762-F138-4A5C-976F-8EAC2B608ADB}">
              <a16:predDERef xmlns:a16="http://schemas.microsoft.com/office/drawing/2014/main" pred="{2D6AECB3-BDC9-4C59-9602-1EE7CB58D2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384180AB-2672-054A-B59D-F745E66E951C}"/>
            </a:ext>
            <a:ext uri="{147F2762-F138-4A5C-976F-8EAC2B608ADB}">
              <a16:predDERef xmlns:a16="http://schemas.microsoft.com/office/drawing/2014/main" pred="{9E90F7EE-96BE-49B3-B032-5A14F548B6B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9694FBD-055C-844A-B1C3-73FFFE41A03E}"/>
            </a:ext>
            <a:ext uri="{147F2762-F138-4A5C-976F-8EAC2B608ADB}">
              <a16:predDERef xmlns:a16="http://schemas.microsoft.com/office/drawing/2014/main" pred="{63A573E7-71A1-4D74-AD23-34A16875FD2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4FCFC7FE-939D-DF49-B4C4-8C080EE5F029}"/>
            </a:ext>
            <a:ext uri="{147F2762-F138-4A5C-976F-8EAC2B608ADB}">
              <a16:predDERef xmlns:a16="http://schemas.microsoft.com/office/drawing/2014/main" pred="{0966CBB8-7ED9-4ABE-A6FA-37A2F83D0A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A971AFCA-CEFF-B246-9354-99804A1DE6CB}"/>
            </a:ext>
            <a:ext uri="{147F2762-F138-4A5C-976F-8EAC2B608ADB}">
              <a16:predDERef xmlns:a16="http://schemas.microsoft.com/office/drawing/2014/main" pred="{660F69A4-75FB-40BC-961D-FD0914DE23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A1A4B68-8592-3F45-8910-0962794662AC}"/>
            </a:ext>
            <a:ext uri="{147F2762-F138-4A5C-976F-8EAC2B608ADB}">
              <a16:predDERef xmlns:a16="http://schemas.microsoft.com/office/drawing/2014/main" pred="{A7DCD416-B246-4DCC-B494-BC666BA5AF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EE535199-D28C-B94E-85A2-51DE78B25749}"/>
            </a:ext>
            <a:ext uri="{147F2762-F138-4A5C-976F-8EAC2B608ADB}">
              <a16:predDERef xmlns:a16="http://schemas.microsoft.com/office/drawing/2014/main" pred="{43541F88-25E1-4897-A89B-9B48533B98A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4FACCFEC-32BE-2B4C-992D-55DEDA228A3B}"/>
            </a:ext>
            <a:ext uri="{147F2762-F138-4A5C-976F-8EAC2B608ADB}">
              <a16:predDERef xmlns:a16="http://schemas.microsoft.com/office/drawing/2014/main" pred="{8CBD078F-4E8C-413B-9466-E9DE031C37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49B2C0AD-6A70-DF49-9DE3-1639AFE5C532}"/>
            </a:ext>
            <a:ext uri="{147F2762-F138-4A5C-976F-8EAC2B608ADB}">
              <a16:predDERef xmlns:a16="http://schemas.microsoft.com/office/drawing/2014/main" pred="{F1674827-F5C8-481E-818F-DB75B7058E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8C5C35F-D343-234E-A888-34E116457AB0}"/>
            </a:ext>
            <a:ext uri="{147F2762-F138-4A5C-976F-8EAC2B608ADB}">
              <a16:predDERef xmlns:a16="http://schemas.microsoft.com/office/drawing/2014/main" pred="{7A1D2EF5-2828-4239-8ED0-AD7B58D8C7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8843B0DC-659F-6B48-A94F-3B9BA6551E97}"/>
            </a:ext>
            <a:ext uri="{147F2762-F138-4A5C-976F-8EAC2B608ADB}">
              <a16:predDERef xmlns:a16="http://schemas.microsoft.com/office/drawing/2014/main" pred="{6007F6C4-1ACC-4955-9693-6F46D67998F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5B8FF934-634B-A645-AB1A-3399AE737703}"/>
            </a:ext>
            <a:ext uri="{147F2762-F138-4A5C-976F-8EAC2B608ADB}">
              <a16:predDERef xmlns:a16="http://schemas.microsoft.com/office/drawing/2014/main" pred="{23FCA3E5-0C58-44E4-8EB6-19384DE0F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A5AE561C-A465-8245-A46B-7ECFC84C409E}"/>
            </a:ext>
            <a:ext uri="{147F2762-F138-4A5C-976F-8EAC2B608ADB}">
              <a16:predDERef xmlns:a16="http://schemas.microsoft.com/office/drawing/2014/main" pred="{754CA65E-BEB2-47B0-B3DB-79006C2789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DA5DD6B-B77B-904C-A015-F21C00FA1046}"/>
            </a:ext>
            <a:ext uri="{147F2762-F138-4A5C-976F-8EAC2B608ADB}">
              <a16:predDERef xmlns:a16="http://schemas.microsoft.com/office/drawing/2014/main" pred="{E6D7CC7F-6624-4910-8411-7C75F76D495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8008DF4E-AB63-4540-9EE4-F87978C9F097}"/>
            </a:ext>
            <a:ext uri="{147F2762-F138-4A5C-976F-8EAC2B608ADB}">
              <a16:predDERef xmlns:a16="http://schemas.microsoft.com/office/drawing/2014/main" pred="{BD9B48EE-6609-4839-BC01-B0A01266A2C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346211EF-B101-584B-8A87-470F438459AB}"/>
            </a:ext>
            <a:ext uri="{147F2762-F138-4A5C-976F-8EAC2B608ADB}">
              <a16:predDERef xmlns:a16="http://schemas.microsoft.com/office/drawing/2014/main" pred="{7D9D6121-3E4A-4A45-8555-D605EBCC51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B16383B-D245-834C-96AE-E1FB066AA079}"/>
            </a:ext>
            <a:ext uri="{147F2762-F138-4A5C-976F-8EAC2B608ADB}">
              <a16:predDERef xmlns:a16="http://schemas.microsoft.com/office/drawing/2014/main" pred="{36D5EBD8-0342-4884-A098-C83F4C27F6E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4861866-0633-7440-9397-769A8C2F4244}"/>
            </a:ext>
            <a:ext uri="{147F2762-F138-4A5C-976F-8EAC2B608ADB}">
              <a16:predDERef xmlns:a16="http://schemas.microsoft.com/office/drawing/2014/main" pred="{D1C435EC-6BA4-4D0F-B6B0-E35586A296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853BBC50-704A-BB48-AA6F-0F93AF7164EB}"/>
            </a:ext>
            <a:ext uri="{147F2762-F138-4A5C-976F-8EAC2B608ADB}">
              <a16:predDERef xmlns:a16="http://schemas.microsoft.com/office/drawing/2014/main" pred="{0B5676C6-CFD5-41DE-874F-AADD6D11C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EB4141A4-7590-D94F-92FD-425244C23687}"/>
            </a:ext>
            <a:ext uri="{147F2762-F138-4A5C-976F-8EAC2B608ADB}">
              <a16:predDERef xmlns:a16="http://schemas.microsoft.com/office/drawing/2014/main" pred="{257C624D-9347-473C-ACD5-1BD498639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4079FD0E-6675-F747-9EB1-478532F3E545}"/>
            </a:ext>
            <a:ext uri="{147F2762-F138-4A5C-976F-8EAC2B608ADB}">
              <a16:predDERef xmlns:a16="http://schemas.microsoft.com/office/drawing/2014/main" pred="{9FC18C1C-6145-4370-A6BB-5CE47A7C58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DE1793D7-0A0D-0A4E-B522-C378F77A2F58}"/>
            </a:ext>
            <a:ext uri="{147F2762-F138-4A5C-976F-8EAC2B608ADB}">
              <a16:predDERef xmlns:a16="http://schemas.microsoft.com/office/drawing/2014/main" pred="{3F6F20C3-D5ED-4A4B-B9CB-2BDC426DCA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2436532F-1B97-2946-B36E-1FCB78866A2C}"/>
            </a:ext>
            <a:ext uri="{147F2762-F138-4A5C-976F-8EAC2B608ADB}">
              <a16:predDERef xmlns:a16="http://schemas.microsoft.com/office/drawing/2014/main" pred="{06283664-7824-40D2-B3E1-0375EDD35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396C7AAB-8F63-4E40-917C-A4FD3104A114}"/>
            </a:ext>
            <a:ext uri="{147F2762-F138-4A5C-976F-8EAC2B608ADB}">
              <a16:predDERef xmlns:a16="http://schemas.microsoft.com/office/drawing/2014/main" pred="{42E7BB0C-C4C1-4A12-AD4C-B36EA8747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96286E1F-1171-9A47-AF28-BE98F1E4DEFB}"/>
            </a:ext>
            <a:ext uri="{147F2762-F138-4A5C-976F-8EAC2B608ADB}">
              <a16:predDERef xmlns:a16="http://schemas.microsoft.com/office/drawing/2014/main" pred="{F43985FF-B707-4A30-BDC8-14CAFE6D54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F237B913-782C-C94F-AD79-0C342DC77886}"/>
            </a:ext>
            <a:ext uri="{147F2762-F138-4A5C-976F-8EAC2B608ADB}">
              <a16:predDERef xmlns:a16="http://schemas.microsoft.com/office/drawing/2014/main" pred="{10D9B812-6EB5-40FB-9100-39A83A71D7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CF0EB35A-7006-E348-AC97-5A0F6E7E1619}"/>
            </a:ext>
            <a:ext uri="{147F2762-F138-4A5C-976F-8EAC2B608ADB}">
              <a16:predDERef xmlns:a16="http://schemas.microsoft.com/office/drawing/2014/main" pred="{5F51C4E5-85F4-46AF-AC2C-E56AD584B0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D70A7EEC-43B8-7444-B208-6DD1320AD2A8}"/>
            </a:ext>
            <a:ext uri="{147F2762-F138-4A5C-976F-8EAC2B608ADB}">
              <a16:predDERef xmlns:a16="http://schemas.microsoft.com/office/drawing/2014/main" pred="{4D351624-F3A3-494F-9DDE-243539E786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8B4FE6AE-716B-1D42-8875-6D75128FF4B1}"/>
            </a:ext>
            <a:ext uri="{147F2762-F138-4A5C-976F-8EAC2B608ADB}">
              <a16:predDERef xmlns:a16="http://schemas.microsoft.com/office/drawing/2014/main" pred="{984BAD46-72EE-459A-AC79-4AF4BAD0C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51B31FE9-8D30-FD44-81DA-CAFCDF4B65AF}"/>
            </a:ext>
            <a:ext uri="{147F2762-F138-4A5C-976F-8EAC2B608ADB}">
              <a16:predDERef xmlns:a16="http://schemas.microsoft.com/office/drawing/2014/main" pred="{E327C032-D423-427B-A951-5974DF9121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C5ABF8EB-373F-D042-96B7-B6FAF816DED2}"/>
            </a:ext>
            <a:ext uri="{147F2762-F138-4A5C-976F-8EAC2B608ADB}">
              <a16:predDERef xmlns:a16="http://schemas.microsoft.com/office/drawing/2014/main" pred="{8998994A-ACFA-4A69-BC89-F7B77BD34F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83D94987-1183-974E-A53B-D364A82E7959}"/>
            </a:ext>
            <a:ext uri="{147F2762-F138-4A5C-976F-8EAC2B608ADB}">
              <a16:predDERef xmlns:a16="http://schemas.microsoft.com/office/drawing/2014/main" pred="{7998D2E7-28E9-4C9D-BBAF-708274D30C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F6770699-E2FB-034F-954B-30BFF57B9321}"/>
            </a:ext>
            <a:ext uri="{147F2762-F138-4A5C-976F-8EAC2B608ADB}">
              <a16:predDERef xmlns:a16="http://schemas.microsoft.com/office/drawing/2014/main" pred="{96A5C70D-AF59-41B2-B80C-23152B2DB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A37255C-202C-D748-A900-5B599911869F}"/>
            </a:ext>
            <a:ext uri="{147F2762-F138-4A5C-976F-8EAC2B608ADB}">
              <a16:predDERef xmlns:a16="http://schemas.microsoft.com/office/drawing/2014/main" pred="{5C5695E9-49C7-44E6-A512-9451554808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0F88AE5C-1D8C-ED4A-A624-C48EB3F30BA7}"/>
            </a:ext>
            <a:ext uri="{147F2762-F138-4A5C-976F-8EAC2B608ADB}">
              <a16:predDERef xmlns:a16="http://schemas.microsoft.com/office/drawing/2014/main" pred="{E37309F8-5783-4EE8-922B-48E5C0B68B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DA652B93-23EC-FF43-961F-D20A64AF89F9}"/>
            </a:ext>
            <a:ext uri="{147F2762-F138-4A5C-976F-8EAC2B608ADB}">
              <a16:predDERef xmlns:a16="http://schemas.microsoft.com/office/drawing/2014/main" pred="{DBD50AC2-51CF-454B-AF8F-A0F470176C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E976F52-07CD-544C-9FC3-02A6716CAE15}"/>
            </a:ext>
            <a:ext uri="{147F2762-F138-4A5C-976F-8EAC2B608ADB}">
              <a16:predDERef xmlns:a16="http://schemas.microsoft.com/office/drawing/2014/main" pred="{602DA0E4-15BD-4DDE-987F-F7144F1A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55431548-FC9F-6948-B2D1-74C6456EB9AA}"/>
            </a:ext>
            <a:ext uri="{147F2762-F138-4A5C-976F-8EAC2B608ADB}">
              <a16:predDERef xmlns:a16="http://schemas.microsoft.com/office/drawing/2014/main" pred="{2E68B152-E579-47E0-A922-75347DB494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77E2B4AA-F94C-D945-8194-8063E94C93DD}"/>
            </a:ext>
            <a:ext uri="{147F2762-F138-4A5C-976F-8EAC2B608ADB}">
              <a16:predDERef xmlns:a16="http://schemas.microsoft.com/office/drawing/2014/main" pred="{7E870149-6213-E640-B9F0-22D6000A8C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F3A74C3D-789F-554B-BE7C-44D89E2D99FE}"/>
            </a:ext>
            <a:ext uri="{147F2762-F138-4A5C-976F-8EAC2B608ADB}">
              <a16:predDERef xmlns:a16="http://schemas.microsoft.com/office/drawing/2014/main" pred="{E098285D-BD56-4014-921D-F54A7880F0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90222" cy="790222"/>
    <xdr:pic>
      <xdr:nvPicPr>
        <xdr:cNvPr id="75" name="Picture 74" descr="Enemy:Archer_LH,Pos:1">
          <a:extLst>
            <a:ext uri="{FF2B5EF4-FFF2-40B4-BE49-F238E27FC236}">
              <a16:creationId xmlns:a16="http://schemas.microsoft.com/office/drawing/2014/main" id="{BD8C1E78-C524-6142-A4F8-F3D7D1970425}"/>
            </a:ext>
            <a:ext uri="{147F2762-F138-4A5C-976F-8EAC2B608ADB}">
              <a16:predDERef xmlns:a16="http://schemas.microsoft.com/office/drawing/2014/main" pred="{36CA2D74-2466-4EEF-BD95-32FC95C99B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95707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CE83BD9E-27A5-5B46-AEF1-B1C5F3D9FE24}"/>
            </a:ext>
            <a:ext uri="{147F2762-F138-4A5C-976F-8EAC2B608ADB}">
              <a16:predDERef xmlns:a16="http://schemas.microsoft.com/office/drawing/2014/main" pred="{D70BB28C-83EC-4CF1-9DE8-458DB40A3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5F5939C9-503D-A24A-98C5-5757810398CC}"/>
            </a:ext>
            <a:ext uri="{147F2762-F138-4A5C-976F-8EAC2B608ADB}">
              <a16:predDERef xmlns:a16="http://schemas.microsoft.com/office/drawing/2014/main" pred="{58B906C5-D851-49BB-8499-F526750595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7544E2C7-AA70-D241-B580-11CD2E30B57B}"/>
            </a:ext>
            <a:ext uri="{147F2762-F138-4A5C-976F-8EAC2B608ADB}">
              <a16:predDERef xmlns:a16="http://schemas.microsoft.com/office/drawing/2014/main" pred="{23160F69-8B55-43A0-AEA1-2B22EA1C12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AEBB378E-7826-084B-B1D8-0FD9A6144367}"/>
            </a:ext>
            <a:ext uri="{147F2762-F138-4A5C-976F-8EAC2B608ADB}">
              <a16:predDERef xmlns:a16="http://schemas.microsoft.com/office/drawing/2014/main" pred="{31A4BBA7-8DB8-4F0E-8F50-7E5001A2F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BF3A7A3E-96D3-BB4B-9CAF-E2D471B7B03F}"/>
            </a:ext>
            <a:ext uri="{147F2762-F138-4A5C-976F-8EAC2B608ADB}">
              <a16:predDERef xmlns:a16="http://schemas.microsoft.com/office/drawing/2014/main" pred="{22011F53-D92C-4E40-9EB9-4AF257050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13A6B37-1630-5847-B294-1FECAB146F46}"/>
            </a:ext>
            <a:ext uri="{147F2762-F138-4A5C-976F-8EAC2B608ADB}">
              <a16:predDERef xmlns:a16="http://schemas.microsoft.com/office/drawing/2014/main" pred="{A9437120-56E4-45E0-8238-336AF84991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DA0E42AB-2101-F441-8564-D8EE50D4B359}"/>
            </a:ext>
            <a:ext uri="{147F2762-F138-4A5C-976F-8EAC2B608ADB}">
              <a16:predDERef xmlns:a16="http://schemas.microsoft.com/office/drawing/2014/main" pred="{31D86842-D564-4F9B-B79F-50442D52A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8AC51FF9-F392-C04C-AB92-220F51B8D4B7}"/>
            </a:ext>
            <a:ext uri="{147F2762-F138-4A5C-976F-8EAC2B608ADB}">
              <a16:predDERef xmlns:a16="http://schemas.microsoft.com/office/drawing/2014/main" pred="{5CE96E26-0894-49CA-B395-37B318130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6981EC4A-080E-6A4D-81D4-DF1863A8C454}"/>
            </a:ext>
            <a:ext uri="{147F2762-F138-4A5C-976F-8EAC2B608ADB}">
              <a16:predDERef xmlns:a16="http://schemas.microsoft.com/office/drawing/2014/main" pred="{350395D8-0412-4353-B2F4-43194F5513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403EE89-4E49-414E-A47A-8CC0183825ED}"/>
            </a:ext>
            <a:ext uri="{147F2762-F138-4A5C-976F-8EAC2B608ADB}">
              <a16:predDERef xmlns:a16="http://schemas.microsoft.com/office/drawing/2014/main" pred="{891D0683-4AE2-4FA5-990E-9D8B84C87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4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2D9707BD-2F64-424D-9B87-5CD8336AAC05}"/>
            </a:ext>
            <a:ext uri="{147F2762-F138-4A5C-976F-8EAC2B608ADB}">
              <a16:predDERef xmlns:a16="http://schemas.microsoft.com/office/drawing/2014/main" pred="{B74A1FF2-9125-4087-BC8F-A5355228A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D773F33C-C94B-A846-A21A-032E4F04AD9E}"/>
            </a:ext>
            <a:ext uri="{147F2762-F138-4A5C-976F-8EAC2B608ADB}">
              <a16:predDERef xmlns:a16="http://schemas.microsoft.com/office/drawing/2014/main" pred="{2DEAAB8F-67C0-4ED0-AB48-BABB0EFE27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76B5F3AF-173B-7941-B39B-D6DF532830AC}"/>
            </a:ext>
            <a:ext uri="{147F2762-F138-4A5C-976F-8EAC2B608ADB}">
              <a16:predDERef xmlns:a16="http://schemas.microsoft.com/office/drawing/2014/main" pred="{D0A7A013-0FA9-492D-A712-9C392542B9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DFAC3C21-727E-B24D-AC23-B1BDDD512B78}"/>
            </a:ext>
            <a:ext uri="{147F2762-F138-4A5C-976F-8EAC2B608ADB}">
              <a16:predDERef xmlns:a16="http://schemas.microsoft.com/office/drawing/2014/main" pred="{9BC98A50-3E4F-42C3-A804-DEE2CB039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52AC36D8-4268-3E42-A0F0-9B968C033CCE}"/>
            </a:ext>
            <a:ext uri="{147F2762-F138-4A5C-976F-8EAC2B608ADB}">
              <a16:predDERef xmlns:a16="http://schemas.microsoft.com/office/drawing/2014/main" pred="{727AE0AC-6B06-41BF-8069-2270E3323C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FF182B67-6A0E-FB49-A971-2DEB40FA0812}"/>
            </a:ext>
            <a:ext uri="{147F2762-F138-4A5C-976F-8EAC2B608ADB}">
              <a16:predDERef xmlns:a16="http://schemas.microsoft.com/office/drawing/2014/main" pred="{9DE682FD-00D6-470E-A322-519D26BB9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0DDBA12A-51F8-204C-A13C-AC9A0ABD52CE}"/>
            </a:ext>
            <a:ext uri="{147F2762-F138-4A5C-976F-8EAC2B608ADB}">
              <a16:predDERef xmlns:a16="http://schemas.microsoft.com/office/drawing/2014/main" pred="{34601423-9756-4DD2-B843-BC60A430F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7DD2E88-AABA-0248-9711-F9C9228BFAEB}"/>
            </a:ext>
            <a:ext uri="{147F2762-F138-4A5C-976F-8EAC2B608ADB}">
              <a16:predDERef xmlns:a16="http://schemas.microsoft.com/office/drawing/2014/main" pred="{DC736564-C117-4A64-832E-D6B63CB6C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3E2ABE18-7454-1E4E-B5F1-3D194AACB2D6}"/>
            </a:ext>
            <a:ext uri="{147F2762-F138-4A5C-976F-8EAC2B608ADB}">
              <a16:predDERef xmlns:a16="http://schemas.microsoft.com/office/drawing/2014/main" pred="{1B512454-B3AB-4C52-B7C5-CDEAF4D00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4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0481D71F-FE64-A24B-A779-E1EC3F3D0AE2}"/>
            </a:ext>
            <a:ext uri="{147F2762-F138-4A5C-976F-8EAC2B608ADB}">
              <a16:predDERef xmlns:a16="http://schemas.microsoft.com/office/drawing/2014/main" pred="{94416CC0-0032-45F1-AE95-590A1D58A9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474A40E-6D62-724E-88F6-DE207DDAEB4C}"/>
            </a:ext>
            <a:ext uri="{147F2762-F138-4A5C-976F-8EAC2B608ADB}">
              <a16:predDERef xmlns:a16="http://schemas.microsoft.com/office/drawing/2014/main" pred="{854AA30C-7B77-49E9-8D2A-831D080735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592CF878-E823-CB4A-94A1-50E277499EF3}"/>
            </a:ext>
            <a:ext uri="{147F2762-F138-4A5C-976F-8EAC2B608ADB}">
              <a16:predDERef xmlns:a16="http://schemas.microsoft.com/office/drawing/2014/main" pred="{546D0624-1ECE-4FDF-BA5E-7C6413BFF2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3545" cy="818444"/>
    <xdr:pic>
      <xdr:nvPicPr>
        <xdr:cNvPr id="98" name="Picture 97" descr="Item:Potion,Pos:1">
          <a:extLst>
            <a:ext uri="{FF2B5EF4-FFF2-40B4-BE49-F238E27FC236}">
              <a16:creationId xmlns:a16="http://schemas.microsoft.com/office/drawing/2014/main" id="{F7742B56-4B50-8C4F-9E67-6310CA1929B3}"/>
            </a:ext>
            <a:ext uri="{147F2762-F138-4A5C-976F-8EAC2B608ADB}">
              <a16:predDERef xmlns:a16="http://schemas.microsoft.com/office/drawing/2014/main" pred="{B518EE54-898B-4E23-A162-92854B5A07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10617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3545" cy="818444"/>
    <xdr:pic>
      <xdr:nvPicPr>
        <xdr:cNvPr id="99" name="Picture 98" descr="Item:Potion,Pos:1">
          <a:extLst>
            <a:ext uri="{FF2B5EF4-FFF2-40B4-BE49-F238E27FC236}">
              <a16:creationId xmlns:a16="http://schemas.microsoft.com/office/drawing/2014/main" id="{07900447-E6A5-8A45-8ED2-B2F05BDAC158}"/>
            </a:ext>
            <a:ext uri="{147F2762-F138-4A5C-976F-8EAC2B608ADB}">
              <a16:predDERef xmlns:a16="http://schemas.microsoft.com/office/drawing/2014/main" pred="{EEFCE17A-F721-4947-8B49-36EBCE1C99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70180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8</xdr:row>
      <xdr:rowOff>0</xdr:rowOff>
    </xdr:from>
    <xdr:ext cx="773545" cy="818444"/>
    <xdr:pic>
      <xdr:nvPicPr>
        <xdr:cNvPr id="100" name="Picture 99" descr="Item:Potion,Pos:1">
          <a:extLst>
            <a:ext uri="{FF2B5EF4-FFF2-40B4-BE49-F238E27FC236}">
              <a16:creationId xmlns:a16="http://schemas.microsoft.com/office/drawing/2014/main" id="{D1DFDFF4-6A11-4F45-9A00-176A39A42522}"/>
            </a:ext>
            <a:ext uri="{147F2762-F138-4A5C-976F-8EAC2B608ADB}">
              <a16:predDERef xmlns:a16="http://schemas.microsoft.com/office/drawing/2014/main" pred="{1AD18864-1AFB-46B4-8294-AEB9C2EBC4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29743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86484" cy="774000"/>
    <xdr:pic>
      <xdr:nvPicPr>
        <xdr:cNvPr id="101" name="Picture 100" descr=" 8, 8, 7, 7,">
          <a:extLst>
            <a:ext uri="{FF2B5EF4-FFF2-40B4-BE49-F238E27FC236}">
              <a16:creationId xmlns:a16="http://schemas.microsoft.com/office/drawing/2014/main" id="{57B8E9E7-9771-A044-A30F-CF16E5AF3D8D}"/>
            </a:ext>
            <a:ext uri="{147F2762-F138-4A5C-976F-8EAC2B608ADB}">
              <a16:predDERef xmlns:a16="http://schemas.microsoft.com/office/drawing/2014/main" pred="{F59C85AE-B7C7-45FF-AAD3-C64A65707F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3825200" y="2032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102" name="Picture 101" descr="12,12, 7, 7,">
          <a:extLst>
            <a:ext uri="{FF2B5EF4-FFF2-40B4-BE49-F238E27FC236}">
              <a16:creationId xmlns:a16="http://schemas.microsoft.com/office/drawing/2014/main" id="{BD18AF01-58CA-884A-BAD7-B696077A04A7}"/>
            </a:ext>
            <a:ext uri="{147F2762-F138-4A5C-976F-8EAC2B608ADB}">
              <a16:predDERef xmlns:a16="http://schemas.microsoft.com/office/drawing/2014/main" pred="{0EF6F9FB-E6BB-45B8-BD6B-3A4915E908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03" name="Picture 102" descr="12,12,12,12,">
          <a:extLst>
            <a:ext uri="{FF2B5EF4-FFF2-40B4-BE49-F238E27FC236}">
              <a16:creationId xmlns:a16="http://schemas.microsoft.com/office/drawing/2014/main" id="{AEC3327F-5D32-7846-B631-12D7ADC2101D}"/>
            </a:ext>
            <a:ext uri="{147F2762-F138-4A5C-976F-8EAC2B608ADB}">
              <a16:predDERef xmlns:a16="http://schemas.microsoft.com/office/drawing/2014/main" pred="{C70C1503-CC8E-471B-A373-C8952E8F1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04" name="Picture 103" descr="12,12,12,12,">
          <a:extLst>
            <a:ext uri="{FF2B5EF4-FFF2-40B4-BE49-F238E27FC236}">
              <a16:creationId xmlns:a16="http://schemas.microsoft.com/office/drawing/2014/main" id="{C4DFA2B1-6D1C-3C41-8FE5-06DB1191E8EB}"/>
            </a:ext>
            <a:ext uri="{147F2762-F138-4A5C-976F-8EAC2B608ADB}">
              <a16:predDERef xmlns:a16="http://schemas.microsoft.com/office/drawing/2014/main" pred="{582CE334-D71B-406F-BF52-B1C29B150D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05" name="Picture 104" descr="12,12,12,12,">
          <a:extLst>
            <a:ext uri="{FF2B5EF4-FFF2-40B4-BE49-F238E27FC236}">
              <a16:creationId xmlns:a16="http://schemas.microsoft.com/office/drawing/2014/main" id="{27FFB864-211D-9F45-8564-B9F707D3499D}"/>
            </a:ext>
            <a:ext uri="{147F2762-F138-4A5C-976F-8EAC2B608ADB}">
              <a16:predDERef xmlns:a16="http://schemas.microsoft.com/office/drawing/2014/main" pred="{83B3F241-1F3D-4ADB-846E-6A55989B71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06" name="Picture 105" descr="12,12,12,12,">
          <a:extLst>
            <a:ext uri="{FF2B5EF4-FFF2-40B4-BE49-F238E27FC236}">
              <a16:creationId xmlns:a16="http://schemas.microsoft.com/office/drawing/2014/main" id="{73F4EE4B-5256-454C-86A4-7E452BF08C60}"/>
            </a:ext>
            <a:ext uri="{147F2762-F138-4A5C-976F-8EAC2B608ADB}">
              <a16:predDERef xmlns:a16="http://schemas.microsoft.com/office/drawing/2014/main" pred="{5F11FEA6-0A63-43ED-938E-E2CD4C295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107" name="Picture 106" descr="12,12,12,12,">
          <a:extLst>
            <a:ext uri="{FF2B5EF4-FFF2-40B4-BE49-F238E27FC236}">
              <a16:creationId xmlns:a16="http://schemas.microsoft.com/office/drawing/2014/main" id="{2E988E6B-E1AA-C143-B2C6-13705BD8C774}"/>
            </a:ext>
            <a:ext uri="{147F2762-F138-4A5C-976F-8EAC2B608ADB}">
              <a16:predDERef xmlns:a16="http://schemas.microsoft.com/office/drawing/2014/main" pred="{7430651B-7E53-4698-AA71-B29D319E4F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45F439ED-BC51-8D4E-B16D-330924D065BA}"/>
            </a:ext>
            <a:ext uri="{147F2762-F138-4A5C-976F-8EAC2B608ADB}">
              <a16:predDERef xmlns:a16="http://schemas.microsoft.com/office/drawing/2014/main" pred="{2C8DCDE2-A7D3-4DC8-8AE6-BA9240125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96636" cy="808182"/>
    <xdr:pic>
      <xdr:nvPicPr>
        <xdr:cNvPr id="109" name="Picture 108" descr="Item:Sword,Pos:1">
          <a:extLst>
            <a:ext uri="{FF2B5EF4-FFF2-40B4-BE49-F238E27FC236}">
              <a16:creationId xmlns:a16="http://schemas.microsoft.com/office/drawing/2014/main" id="{8BD4C17E-5EB8-8E41-91F1-CA0564493911}"/>
            </a:ext>
            <a:ext uri="{147F2762-F138-4A5C-976F-8EAC2B608ADB}">
              <a16:predDERef xmlns:a16="http://schemas.microsoft.com/office/drawing/2014/main" pred="{F8E56D23-DDD1-4F07-B32F-7974E07359B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4254500" y="1625600"/>
          <a:ext cx="796636" cy="80818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1622360" cy="1646553"/>
    <xdr:pic>
      <xdr:nvPicPr>
        <xdr:cNvPr id="110" name="Picture 109" descr="Item:Trebochet_Left,Pos:1">
          <a:extLst>
            <a:ext uri="{FF2B5EF4-FFF2-40B4-BE49-F238E27FC236}">
              <a16:creationId xmlns:a16="http://schemas.microsoft.com/office/drawing/2014/main" id="{DE2B6CFE-4EDC-9642-A285-3EA554F07364}"/>
            </a:ext>
            <a:ext uri="{147F2762-F138-4A5C-976F-8EAC2B608ADB}">
              <a16:predDERef xmlns:a16="http://schemas.microsoft.com/office/drawing/2014/main" pred="{5EFE9292-7284-4F22-BE2C-6A3FC045B69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2725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90223" cy="790223"/>
    <xdr:pic>
      <xdr:nvPicPr>
        <xdr:cNvPr id="111" name="Picture 110" descr="Enemy:SwordFighter_LH,Pos:1">
          <a:extLst>
            <a:ext uri="{FF2B5EF4-FFF2-40B4-BE49-F238E27FC236}">
              <a16:creationId xmlns:a16="http://schemas.microsoft.com/office/drawing/2014/main" id="{CBD39ECA-06DF-F145-A707-FD3801CBEF8E}"/>
            </a:ext>
            <a:ext uri="{147F2762-F138-4A5C-976F-8EAC2B608ADB}">
              <a16:predDERef xmlns:a16="http://schemas.microsoft.com/office/drawing/2014/main" pred="{AE3E2279-012E-4398-B2D4-E9E7269BA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76581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8</xdr:row>
      <xdr:rowOff>0</xdr:rowOff>
    </xdr:from>
    <xdr:ext cx="790222" cy="790222"/>
    <xdr:pic>
      <xdr:nvPicPr>
        <xdr:cNvPr id="112" name="Picture 111" descr="Enemy:Archer_LH,Pos:1">
          <a:extLst>
            <a:ext uri="{FF2B5EF4-FFF2-40B4-BE49-F238E27FC236}">
              <a16:creationId xmlns:a16="http://schemas.microsoft.com/office/drawing/2014/main" id="{2E9C17E2-C55D-1542-A094-6497517C2B4B}"/>
            </a:ext>
            <a:ext uri="{147F2762-F138-4A5C-976F-8EAC2B608ADB}">
              <a16:predDERef xmlns:a16="http://schemas.microsoft.com/office/drawing/2014/main" pred="{60A7D541-6783-4ECF-978C-E3A36F105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44653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1673995" cy="808183"/>
    <xdr:pic>
      <xdr:nvPicPr>
        <xdr:cNvPr id="113" name="Picture 112" descr="Item:SwingyThing,Pos:1">
          <a:extLst>
            <a:ext uri="{FF2B5EF4-FFF2-40B4-BE49-F238E27FC236}">
              <a16:creationId xmlns:a16="http://schemas.microsoft.com/office/drawing/2014/main" id="{6D41387C-B720-554A-93FC-E28636E86B8D}"/>
            </a:ext>
            <a:ext uri="{147F2762-F138-4A5C-976F-8EAC2B608ADB}">
              <a16:predDERef xmlns:a16="http://schemas.microsoft.com/office/drawing/2014/main" pred="{C00DB46E-0F29-4781-8B42-36187471E5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22123400" y="406400"/>
          <a:ext cx="1673995" cy="808183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F747E0B-D94F-8E45-B33E-01A8E7C5E0FB}"/>
            </a:ext>
            <a:ext uri="{147F2762-F138-4A5C-976F-8EAC2B608ADB}">
              <a16:predDERef xmlns:a16="http://schemas.microsoft.com/office/drawing/2014/main" pred="{3C244735-4C15-46C1-B50B-4BF7C1287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6A5531D2-07AA-A041-BD61-A0204F99100A}"/>
            </a:ext>
            <a:ext uri="{147F2762-F138-4A5C-976F-8EAC2B608ADB}">
              <a16:predDERef xmlns:a16="http://schemas.microsoft.com/office/drawing/2014/main" pred="{2C87C663-9287-4149-ABE2-0E5303C8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16" name="Picture 115" descr=" 0,22,22, 2,">
          <a:extLst>
            <a:ext uri="{FF2B5EF4-FFF2-40B4-BE49-F238E27FC236}">
              <a16:creationId xmlns:a16="http://schemas.microsoft.com/office/drawing/2014/main" id="{8BE9097D-144A-564A-9B9F-AD5B3048D58F}"/>
            </a:ext>
            <a:ext uri="{147F2762-F138-4A5C-976F-8EAC2B608ADB}">
              <a16:predDERef xmlns:a16="http://schemas.microsoft.com/office/drawing/2014/main" pred="{38C0C0C0-2317-40AD-BE78-97180B532E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A68BA47F-E1DD-824F-A817-F8EB77A439B4}"/>
            </a:ext>
            <a:ext uri="{147F2762-F138-4A5C-976F-8EAC2B608ADB}">
              <a16:predDERef xmlns:a16="http://schemas.microsoft.com/office/drawing/2014/main" pred="{F1E02120-4C72-4894-88A5-659C841D79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B2B6F0C-F222-7448-809D-55E8B2EE2453}"/>
            </a:ext>
            <a:ext uri="{147F2762-F138-4A5C-976F-8EAC2B608ADB}">
              <a16:predDERef xmlns:a16="http://schemas.microsoft.com/office/drawing/2014/main" pred="{549147BA-22E1-413B-B002-57437E8C3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C3991FE-F043-244B-ACE1-54FF348E9DA4}"/>
            </a:ext>
            <a:ext uri="{147F2762-F138-4A5C-976F-8EAC2B608ADB}">
              <a16:predDERef xmlns:a16="http://schemas.microsoft.com/office/drawing/2014/main" pred="{EF1FB183-B242-434F-B0DC-D78304BE72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AF29DDC1-C4BA-DA46-B696-CFC845286F09}"/>
            </a:ext>
            <a:ext uri="{147F2762-F138-4A5C-976F-8EAC2B608ADB}">
              <a16:predDERef xmlns:a16="http://schemas.microsoft.com/office/drawing/2014/main" pred="{FB3D46B4-A8A4-45C6-BF68-5F0D1D6685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89F246DC-0295-3D48-B960-D9A4D9C1F919}"/>
            </a:ext>
            <a:ext uri="{147F2762-F138-4A5C-976F-8EAC2B608ADB}">
              <a16:predDERef xmlns:a16="http://schemas.microsoft.com/office/drawing/2014/main" pred="{497773A5-745A-4C30-A48C-AF08F3968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804333" cy="800806"/>
    <xdr:pic>
      <xdr:nvPicPr>
        <xdr:cNvPr id="122" name="Picture 121" descr="Item:LifeSaver,Pos:1">
          <a:extLst>
            <a:ext uri="{FF2B5EF4-FFF2-40B4-BE49-F238E27FC236}">
              <a16:creationId xmlns:a16="http://schemas.microsoft.com/office/drawing/2014/main" id="{0C0778E7-E569-3041-B068-DAC0AA152E81}"/>
            </a:ext>
            <a:ext uri="{147F2762-F138-4A5C-976F-8EAC2B608ADB}">
              <a16:predDERef xmlns:a16="http://schemas.microsoft.com/office/drawing/2014/main" pred="{333FF75D-4748-4B49-812C-76EAF0AF33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22123400" y="1016000"/>
          <a:ext cx="804333" cy="800806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16DABF5A-6962-3249-95B6-A30F2B0685C8}"/>
            </a:ext>
            <a:ext uri="{147F2762-F138-4A5C-976F-8EAC2B608ADB}">
              <a16:predDERef xmlns:a16="http://schemas.microsoft.com/office/drawing/2014/main" pred="{77F7F647-E1BB-4FD3-8156-E3A19E0C43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2AB5C551-04E9-E048-9EC5-E776E1CF542F}"/>
            </a:ext>
            <a:ext uri="{147F2762-F138-4A5C-976F-8EAC2B608ADB}">
              <a16:predDERef xmlns:a16="http://schemas.microsoft.com/office/drawing/2014/main" pred="{CA9EA470-EE87-4574-9F0A-0FE8D70A64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83ED938-ABF0-C841-A50A-F65EA8AFB659}"/>
            </a:ext>
            <a:ext uri="{147F2762-F138-4A5C-976F-8EAC2B608ADB}">
              <a16:predDERef xmlns:a16="http://schemas.microsoft.com/office/drawing/2014/main" pred="{5F680D81-E788-4B09-B9C5-0BE6D95E3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D7719411-76ED-7442-98AF-73913F8AE6D0}"/>
            </a:ext>
            <a:ext uri="{147F2762-F138-4A5C-976F-8EAC2B608ADB}">
              <a16:predDERef xmlns:a16="http://schemas.microsoft.com/office/drawing/2014/main" pred="{CE1D2041-171B-4C73-BCEC-A707F0458F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57E98B89-C561-AC40-9D34-500F318E2887}"/>
            </a:ext>
            <a:ext uri="{147F2762-F138-4A5C-976F-8EAC2B608ADB}">
              <a16:predDERef xmlns:a16="http://schemas.microsoft.com/office/drawing/2014/main" pred="{23E90A0E-8BB9-426E-88BC-FEA0F6059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84584" cy="774000"/>
    <xdr:pic>
      <xdr:nvPicPr>
        <xdr:cNvPr id="128" name="Picture 127" descr=" 0, 0,38,38,">
          <a:extLst>
            <a:ext uri="{FF2B5EF4-FFF2-40B4-BE49-F238E27FC236}">
              <a16:creationId xmlns:a16="http://schemas.microsoft.com/office/drawing/2014/main" id="{1ADA1F50-F86B-564E-B718-07D61175C2BB}"/>
            </a:ext>
            <a:ext uri="{147F2762-F138-4A5C-976F-8EAC2B608ADB}">
              <a16:predDERef xmlns:a16="http://schemas.microsoft.com/office/drawing/2014/main" pred="{FEC1F9B6-F645-4886-B435-7E38A7DD151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7018000" y="812800"/>
          <a:ext cx="784584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84583" cy="774000"/>
    <xdr:pic>
      <xdr:nvPicPr>
        <xdr:cNvPr id="129" name="Picture 128" descr=" 0, 0,39,39,">
          <a:extLst>
            <a:ext uri="{FF2B5EF4-FFF2-40B4-BE49-F238E27FC236}">
              <a16:creationId xmlns:a16="http://schemas.microsoft.com/office/drawing/2014/main" id="{DB38725B-261F-FD40-922D-A514642BB2C6}"/>
            </a:ext>
            <a:ext uri="{147F2762-F138-4A5C-976F-8EAC2B608ADB}">
              <a16:predDERef xmlns:a16="http://schemas.microsoft.com/office/drawing/2014/main" pred="{398A9ABA-A240-4695-A51E-04181E63D8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7868900" y="812800"/>
          <a:ext cx="784583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30" name="Picture 129" descr=" 0, 0,40,40,">
          <a:extLst>
            <a:ext uri="{FF2B5EF4-FFF2-40B4-BE49-F238E27FC236}">
              <a16:creationId xmlns:a16="http://schemas.microsoft.com/office/drawing/2014/main" id="{0C95F74C-2768-D343-8FB3-4898FF88E72B}"/>
            </a:ext>
            <a:ext uri="{147F2762-F138-4A5C-976F-8EAC2B608ADB}">
              <a16:predDERef xmlns:a16="http://schemas.microsoft.com/office/drawing/2014/main" pred="{8CF05A12-EC58-48FF-B70C-9CF1B5FC06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2518B4B8-2555-D944-B4B2-762C4A840AC1}"/>
            </a:ext>
            <a:ext uri="{147F2762-F138-4A5C-976F-8EAC2B608ADB}">
              <a16:predDERef xmlns:a16="http://schemas.microsoft.com/office/drawing/2014/main" pred="{A3475E74-BA8C-4DCC-B602-E4CC833DF0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F4869E2-E908-3D47-B887-EBE94515C8C4}"/>
            </a:ext>
            <a:ext uri="{147F2762-F138-4A5C-976F-8EAC2B608ADB}">
              <a16:predDERef xmlns:a16="http://schemas.microsoft.com/office/drawing/2014/main" pred="{DBFE56BA-7B90-47C5-B743-F621C5858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6D6232C9-A559-4B4E-BD83-E643664BBAA5}"/>
            </a:ext>
            <a:ext uri="{147F2762-F138-4A5C-976F-8EAC2B608ADB}">
              <a16:predDERef xmlns:a16="http://schemas.microsoft.com/office/drawing/2014/main" pred="{614494AE-579C-4AA2-AB0F-FD4751B1E1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40184E92-3B7A-A544-A324-50C5F5DA9CA4}"/>
            </a:ext>
            <a:ext uri="{147F2762-F138-4A5C-976F-8EAC2B608ADB}">
              <a16:predDERef xmlns:a16="http://schemas.microsoft.com/office/drawing/2014/main" pred="{C057D62B-F2DD-4884-ADD7-DBE6D9FF9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4E040C9-6941-D242-9D9D-1932A5A4C746}"/>
            </a:ext>
            <a:ext uri="{147F2762-F138-4A5C-976F-8EAC2B608ADB}">
              <a16:predDERef xmlns:a16="http://schemas.microsoft.com/office/drawing/2014/main" pred="{59985C3F-9966-417E-A292-714CE91C2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63F3A585-727D-1D49-94A4-533902EFE29B}"/>
            </a:ext>
            <a:ext uri="{147F2762-F138-4A5C-976F-8EAC2B608ADB}">
              <a16:predDERef xmlns:a16="http://schemas.microsoft.com/office/drawing/2014/main" pred="{1084C29A-9EE7-4B6C-9256-8AB64E2DA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30770A36-2CF5-CC4E-BEE9-6A2A467A4829}"/>
            </a:ext>
            <a:ext uri="{147F2762-F138-4A5C-976F-8EAC2B608ADB}">
              <a16:predDERef xmlns:a16="http://schemas.microsoft.com/office/drawing/2014/main" pred="{42D68706-96B9-407C-BF57-F319A3564E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DC1699EA-6144-674C-A455-FEAD72653971}"/>
            </a:ext>
            <a:ext uri="{147F2762-F138-4A5C-976F-8EAC2B608ADB}">
              <a16:predDERef xmlns:a16="http://schemas.microsoft.com/office/drawing/2014/main" pred="{EC64B8B5-DB00-4968-B4B3-E0236AD35E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39" name="Picture 138" descr=" 0, 0, 1, 1">
          <a:extLst>
            <a:ext uri="{FF2B5EF4-FFF2-40B4-BE49-F238E27FC236}">
              <a16:creationId xmlns:a16="http://schemas.microsoft.com/office/drawing/2014/main" id="{40C497DC-F91B-3142-A452-6B9B10343699}"/>
            </a:ext>
            <a:ext uri="{147F2762-F138-4A5C-976F-8EAC2B608ADB}">
              <a16:predDERef xmlns:a16="http://schemas.microsoft.com/office/drawing/2014/main" pred="{075EE57C-1CD3-4EAD-9E38-977078C798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40" name="Picture 139" descr=" 0, 0, 1, 1">
          <a:extLst>
            <a:ext uri="{FF2B5EF4-FFF2-40B4-BE49-F238E27FC236}">
              <a16:creationId xmlns:a16="http://schemas.microsoft.com/office/drawing/2014/main" id="{DDCDAE12-AB98-2945-9821-8BC16B02C014}"/>
            </a:ext>
            <a:ext uri="{147F2762-F138-4A5C-976F-8EAC2B608ADB}">
              <a16:predDERef xmlns:a16="http://schemas.microsoft.com/office/drawing/2014/main" pred="{071E242B-8487-4618-A7E1-E65081AAAE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4000" cy="774000"/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2CD6ACEF-AA62-B64A-B297-1031E90EFB8D}"/>
            </a:ext>
            <a:ext uri="{147F2762-F138-4A5C-976F-8EAC2B608ADB}">
              <a16:predDERef xmlns:a16="http://schemas.microsoft.com/office/drawing/2014/main" pred="{3CCA37FC-934C-4928-A97C-FEB8F04FD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74000" cy="774000"/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FE21E721-3217-2645-AE82-044CF03EFD94}"/>
            </a:ext>
            <a:ext uri="{147F2762-F138-4A5C-976F-8EAC2B608ADB}">
              <a16:predDERef xmlns:a16="http://schemas.microsoft.com/office/drawing/2014/main" pred="{31912CDB-FABB-46ED-9B07-2929A8C90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5193A1CB-0ECD-B941-8172-B626363E70C8}"/>
            </a:ext>
            <a:ext uri="{147F2762-F138-4A5C-976F-8EAC2B608ADB}">
              <a16:predDERef xmlns:a16="http://schemas.microsoft.com/office/drawing/2014/main" pred="{1FB3DC7E-A6E6-4299-BD5B-244C8B39F3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44" name="Picture 143" descr="33,33,31,31,">
          <a:extLst>
            <a:ext uri="{FF2B5EF4-FFF2-40B4-BE49-F238E27FC236}">
              <a16:creationId xmlns:a16="http://schemas.microsoft.com/office/drawing/2014/main" id="{758F86A3-DA0C-384B-9A1F-607C3A233601}"/>
            </a:ext>
            <a:ext uri="{147F2762-F138-4A5C-976F-8EAC2B608ADB}">
              <a16:predDERef xmlns:a16="http://schemas.microsoft.com/office/drawing/2014/main" pred="{FAB8C326-97AD-4F01-ACD6-5EEE9DB001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45" name="Picture 144" descr="31,31,31,31,">
          <a:extLst>
            <a:ext uri="{FF2B5EF4-FFF2-40B4-BE49-F238E27FC236}">
              <a16:creationId xmlns:a16="http://schemas.microsoft.com/office/drawing/2014/main" id="{76FFFDAE-F77B-DB4B-B924-B390F7CAD3EA}"/>
            </a:ext>
            <a:ext uri="{147F2762-F138-4A5C-976F-8EAC2B608ADB}">
              <a16:predDERef xmlns:a16="http://schemas.microsoft.com/office/drawing/2014/main" pred="{1F22AAFA-2A04-4A6B-ACDA-C193201F13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46" name="Picture 145" descr="31,31,31,31,">
          <a:extLst>
            <a:ext uri="{FF2B5EF4-FFF2-40B4-BE49-F238E27FC236}">
              <a16:creationId xmlns:a16="http://schemas.microsoft.com/office/drawing/2014/main" id="{28C7A667-B6E7-3942-87CE-1918F5FC7D61}"/>
            </a:ext>
            <a:ext uri="{147F2762-F138-4A5C-976F-8EAC2B608ADB}">
              <a16:predDERef xmlns:a16="http://schemas.microsoft.com/office/drawing/2014/main" pred="{7F5BFEEC-65B1-4BF5-8D9B-11812DF01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47" name="Picture 146" descr="31,31,32,32,">
          <a:extLst>
            <a:ext uri="{FF2B5EF4-FFF2-40B4-BE49-F238E27FC236}">
              <a16:creationId xmlns:a16="http://schemas.microsoft.com/office/drawing/2014/main" id="{1E995FF6-7AB1-5048-AA43-3ABAD36B67FB}"/>
            </a:ext>
            <a:ext uri="{147F2762-F138-4A5C-976F-8EAC2B608ADB}">
              <a16:predDERef xmlns:a16="http://schemas.microsoft.com/office/drawing/2014/main" pred="{449BF171-5586-4293-A78A-E86EB2C9A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0091DD6F-ABA8-D948-B8C0-9F58DA43B733}"/>
            </a:ext>
            <a:ext uri="{147F2762-F138-4A5C-976F-8EAC2B608ADB}">
              <a16:predDERef xmlns:a16="http://schemas.microsoft.com/office/drawing/2014/main" pred="{E84B2013-3506-478E-8DD6-12C8A28AF6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90223" cy="790223"/>
    <xdr:pic>
      <xdr:nvPicPr>
        <xdr:cNvPr id="149" name="Picture 148" descr="Item:Lever_RH,Pos:1,Data:1">
          <a:extLst>
            <a:ext uri="{FF2B5EF4-FFF2-40B4-BE49-F238E27FC236}">
              <a16:creationId xmlns:a16="http://schemas.microsoft.com/office/drawing/2014/main" id="{F195B9BA-2BF5-1240-AA0D-4C7FCD2EBF46}"/>
            </a:ext>
            <a:ext uri="{147F2762-F138-4A5C-976F-8EAC2B608ADB}">
              <a16:predDERef xmlns:a16="http://schemas.microsoft.com/office/drawing/2014/main" pred="{5B8F1851-7CFC-42DE-866D-D5A13532AF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763500" y="1016000"/>
          <a:ext cx="790223" cy="790223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3</xdr:row>
      <xdr:rowOff>0</xdr:rowOff>
    </xdr:from>
    <xdr:ext cx="762000" cy="762000"/>
    <xdr:pic>
      <xdr:nvPicPr>
        <xdr:cNvPr id="150" name="Picture 149" descr=" 9, 0, 2,11, ">
          <a:extLst>
            <a:ext uri="{FF2B5EF4-FFF2-40B4-BE49-F238E27FC236}">
              <a16:creationId xmlns:a16="http://schemas.microsoft.com/office/drawing/2014/main" id="{EF2DF065-7D00-1246-B932-1083BF86768B}"/>
            </a:ext>
            <a:ext uri="{147F2762-F138-4A5C-976F-8EAC2B608ADB}">
              <a16:predDERef xmlns:a16="http://schemas.microsoft.com/office/drawing/2014/main" pred="{AC34912F-61FA-4174-87DF-90474141B7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93599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2,Data:256">
          <a:extLst>
            <a:ext uri="{FF2B5EF4-FFF2-40B4-BE49-F238E27FC236}">
              <a16:creationId xmlns:a16="http://schemas.microsoft.com/office/drawing/2014/main" id="{668EF65C-2E0D-3D41-A121-51341DEC49D7}"/>
            </a:ext>
            <a:ext uri="{147F2762-F138-4A5C-976F-8EAC2B608ADB}">
              <a16:predDERef xmlns:a16="http://schemas.microsoft.com/office/drawing/2014/main" pred="{A631FE6B-E0B0-4225-AD0D-B136C31524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27635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96637" cy="796638"/>
    <xdr:pic>
      <xdr:nvPicPr>
        <xdr:cNvPr id="152" name="Picture 151" descr="Item:Lever_LH,Pos:1,Data:1">
          <a:extLst>
            <a:ext uri="{FF2B5EF4-FFF2-40B4-BE49-F238E27FC236}">
              <a16:creationId xmlns:a16="http://schemas.microsoft.com/office/drawing/2014/main" id="{175E2420-4E73-0647-BA15-233C669E1CA2}"/>
            </a:ext>
            <a:ext uri="{147F2762-F138-4A5C-976F-8EAC2B608ADB}">
              <a16:predDERef xmlns:a16="http://schemas.microsoft.com/office/drawing/2014/main" pred="{21AE1B1E-C436-4C75-94C2-D630F814A3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061700" y="1016000"/>
          <a:ext cx="796637" cy="796638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806593" cy="797919"/>
    <xdr:pic>
      <xdr:nvPicPr>
        <xdr:cNvPr id="153" name="Picture 152" descr="Item:Lever_Portal_Closed,Pos:2">
          <a:extLst>
            <a:ext uri="{FF2B5EF4-FFF2-40B4-BE49-F238E27FC236}">
              <a16:creationId xmlns:a16="http://schemas.microsoft.com/office/drawing/2014/main" id="{DB7B4123-CAD7-AB4F-95B3-C88AE1033EA7}"/>
            </a:ext>
            <a:ext uri="{147F2762-F138-4A5C-976F-8EAC2B608ADB}">
              <a16:predDERef xmlns:a16="http://schemas.microsoft.com/office/drawing/2014/main" pred="{CD3C37CE-4AD3-4414-87B4-77251CD3A9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10617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2</xdr:row>
      <xdr:rowOff>0</xdr:rowOff>
    </xdr:from>
    <xdr:ext cx="762000" cy="762000"/>
    <xdr:pic>
      <xdr:nvPicPr>
        <xdr:cNvPr id="154" name="Picture 153" descr=" 9, 0, 2,11, ">
          <a:extLst>
            <a:ext uri="{FF2B5EF4-FFF2-40B4-BE49-F238E27FC236}">
              <a16:creationId xmlns:a16="http://schemas.microsoft.com/office/drawing/2014/main" id="{D5DADAC4-A97F-8442-AB4B-2017542BE0F0}"/>
            </a:ext>
            <a:ext uri="{147F2762-F138-4A5C-976F-8EAC2B608ADB}">
              <a16:predDERef xmlns:a16="http://schemas.microsoft.com/office/drawing/2014/main" pred="{167531F1-9539-4ADC-B16D-1F1A525C2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85090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62000" cy="762000"/>
    <xdr:pic>
      <xdr:nvPicPr>
        <xdr:cNvPr id="155" name="Picture 154" descr=" 9, 0, 2,11, ">
          <a:extLst>
            <a:ext uri="{FF2B5EF4-FFF2-40B4-BE49-F238E27FC236}">
              <a16:creationId xmlns:a16="http://schemas.microsoft.com/office/drawing/2014/main" id="{258CF880-42F1-C14A-BB15-7212FB5A2C16}"/>
            </a:ext>
            <a:ext uri="{147F2762-F138-4A5C-976F-8EAC2B608ADB}">
              <a16:predDERef xmlns:a16="http://schemas.microsoft.com/office/drawing/2014/main" pred="{6A1982A8-F915-4A81-BE26-9564075520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7658100" y="2032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1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A77B20BD-756E-CC4B-90C6-AFD06143D19D}"/>
            </a:ext>
            <a:ext uri="{147F2762-F138-4A5C-976F-8EAC2B608ADB}">
              <a16:predDERef xmlns:a16="http://schemas.microsoft.com/office/drawing/2014/main" pred="{2ACB4BAC-5F0A-4292-988C-31E3FBDADB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CD49D877-32B6-E640-9620-D754B145BFF3}"/>
            </a:ext>
            <a:ext uri="{147F2762-F138-4A5C-976F-8EAC2B608ADB}">
              <a16:predDERef xmlns:a16="http://schemas.microsoft.com/office/drawing/2014/main" pred="{7084CC73-CF75-43A5-96DE-DEEF8BA0A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1</xdr:row>
      <xdr:rowOff>0</xdr:rowOff>
    </xdr:from>
    <xdr:ext cx="774000" cy="774000"/>
    <xdr:pic>
      <xdr:nvPicPr>
        <xdr:cNvPr id="158" name="Picture 157" descr=" 0,22,22, 2,">
          <a:extLst>
            <a:ext uri="{FF2B5EF4-FFF2-40B4-BE49-F238E27FC236}">
              <a16:creationId xmlns:a16="http://schemas.microsoft.com/office/drawing/2014/main" id="{E2E3DECD-5D12-6645-8296-865CDE1B5611}"/>
            </a:ext>
            <a:ext uri="{147F2762-F138-4A5C-976F-8EAC2B608ADB}">
              <a16:predDERef xmlns:a16="http://schemas.microsoft.com/office/drawing/2014/main" pred="{0E206C20-7F3C-413E-8FFD-18C71E6ED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05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BDB47A2B-CAD8-244C-A2E6-7C3156F7E6BD}"/>
            </a:ext>
            <a:ext uri="{147F2762-F138-4A5C-976F-8EAC2B608ADB}">
              <a16:predDERef xmlns:a16="http://schemas.microsoft.com/office/drawing/2014/main" pred="{46947D17-BCE1-4B2C-9B94-5E8CD1AB91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60" name="Picture 159" descr=" 1, 1, 2, 2,">
          <a:extLst>
            <a:ext uri="{FF2B5EF4-FFF2-40B4-BE49-F238E27FC236}">
              <a16:creationId xmlns:a16="http://schemas.microsoft.com/office/drawing/2014/main" id="{6DDADED4-0019-7446-BC22-5416A3121513}"/>
            </a:ext>
            <a:ext uri="{147F2762-F138-4A5C-976F-8EAC2B608ADB}">
              <a16:predDERef xmlns:a16="http://schemas.microsoft.com/office/drawing/2014/main" pred="{E63AA61B-A4F7-4C6D-8B3F-BA055A4B40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3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E5F09E63-FA8C-5F48-AF1C-329CF770DE20}"/>
            </a:ext>
            <a:ext uri="{147F2762-F138-4A5C-976F-8EAC2B608ADB}">
              <a16:predDERef xmlns:a16="http://schemas.microsoft.com/office/drawing/2014/main" pred="{31754B30-4937-4455-B6FC-9746847937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C2C11449-9C81-F947-814D-C9DBBF6369C3}"/>
            </a:ext>
            <a:ext uri="{147F2762-F138-4A5C-976F-8EAC2B608ADB}">
              <a16:predDERef xmlns:a16="http://schemas.microsoft.com/office/drawing/2014/main" pred="{7E575791-169E-4087-9178-1FA24489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12703670-496C-354A-AEA6-2E65ACE01429}"/>
            </a:ext>
            <a:ext uri="{147F2762-F138-4A5C-976F-8EAC2B608ADB}">
              <a16:predDERef xmlns:a16="http://schemas.microsoft.com/office/drawing/2014/main" pred="{8AC82476-0ADD-44E3-9CF3-5EE5ED8804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86484" cy="774000"/>
    <xdr:pic>
      <xdr:nvPicPr>
        <xdr:cNvPr id="164" name="Picture 163" descr=" 8, 8, 7, 7,">
          <a:extLst>
            <a:ext uri="{FF2B5EF4-FFF2-40B4-BE49-F238E27FC236}">
              <a16:creationId xmlns:a16="http://schemas.microsoft.com/office/drawing/2014/main" id="{8707BEDD-68F9-554F-8280-5699DE006662}"/>
            </a:ext>
            <a:ext uri="{147F2762-F138-4A5C-976F-8EAC2B608ADB}">
              <a16:predDERef xmlns:a16="http://schemas.microsoft.com/office/drawing/2014/main" pred="{2CB12D90-C1CB-4227-A3D4-5601655A6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8072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165" name="Picture 164" descr="12,12, 7, 7,">
          <a:extLst>
            <a:ext uri="{FF2B5EF4-FFF2-40B4-BE49-F238E27FC236}">
              <a16:creationId xmlns:a16="http://schemas.microsoft.com/office/drawing/2014/main" id="{CA5534F2-2FD2-7744-8929-6BAFA7D8A232}"/>
            </a:ext>
            <a:ext uri="{147F2762-F138-4A5C-976F-8EAC2B608ADB}">
              <a16:predDERef xmlns:a16="http://schemas.microsoft.com/office/drawing/2014/main" pred="{F00E31E1-02A4-4F1B-BCDE-E8305BD2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66" name="Picture 165" descr="12,12,12,12,">
          <a:extLst>
            <a:ext uri="{FF2B5EF4-FFF2-40B4-BE49-F238E27FC236}">
              <a16:creationId xmlns:a16="http://schemas.microsoft.com/office/drawing/2014/main" id="{CDA3FC95-E2CE-0447-8D3F-A48ED93C0634}"/>
            </a:ext>
            <a:ext uri="{147F2762-F138-4A5C-976F-8EAC2B608ADB}">
              <a16:predDERef xmlns:a16="http://schemas.microsoft.com/office/drawing/2014/main" pred="{7F52248F-1782-445D-929E-724C82BDCE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7" name="Picture 166" descr="12,12,12,12,">
          <a:extLst>
            <a:ext uri="{FF2B5EF4-FFF2-40B4-BE49-F238E27FC236}">
              <a16:creationId xmlns:a16="http://schemas.microsoft.com/office/drawing/2014/main" id="{B7863A39-1104-9344-97BF-F831C367ED30}"/>
            </a:ext>
            <a:ext uri="{147F2762-F138-4A5C-976F-8EAC2B608ADB}">
              <a16:predDERef xmlns:a16="http://schemas.microsoft.com/office/drawing/2014/main" pred="{18D32411-5D9C-47BC-8475-0A72CBD249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808183" cy="796638"/>
    <xdr:pic>
      <xdr:nvPicPr>
        <xdr:cNvPr id="168" name="Picture 167" descr="Item:Chakana,Pos:1">
          <a:extLst>
            <a:ext uri="{FF2B5EF4-FFF2-40B4-BE49-F238E27FC236}">
              <a16:creationId xmlns:a16="http://schemas.microsoft.com/office/drawing/2014/main" id="{1A86FEBD-ED30-A54A-AEB1-5CCC29B72B5F}"/>
            </a:ext>
            <a:ext uri="{147F2762-F138-4A5C-976F-8EAC2B608ADB}">
              <a16:predDERef xmlns:a16="http://schemas.microsoft.com/office/drawing/2014/main" pred="{EE5AB30A-EDD7-4533-BFC5-08A0F9179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4254500" y="1016000"/>
          <a:ext cx="808183" cy="796638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93750" cy="793750"/>
    <xdr:pic>
      <xdr:nvPicPr>
        <xdr:cNvPr id="169" name="Picture 168" descr=" 0, 0, 3, 3,">
          <a:extLst>
            <a:ext uri="{FF2B5EF4-FFF2-40B4-BE49-F238E27FC236}">
              <a16:creationId xmlns:a16="http://schemas.microsoft.com/office/drawing/2014/main" id="{5179DEE4-5AFB-D54F-A607-E2412AF507A0}"/>
            </a:ext>
            <a:ext uri="{147F2762-F138-4A5C-976F-8EAC2B608ADB}">
              <a16:predDERef xmlns:a16="http://schemas.microsoft.com/office/drawing/2014/main" pred="{39625C1B-D069-4054-B345-1663757BC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5105400" y="1016000"/>
          <a:ext cx="793750" cy="79375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38978B55-EAEC-1847-9FEB-D2AF69BBF5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0BA1AA8-C015-114E-BFF5-29B5F181F0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BC518F92-F58D-764E-8B6A-437781AE3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C2A36D2B-F638-F94B-8E54-535D0E26CC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D190BF2-F1B9-CC48-8865-BDA7195D51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4C8C995-5135-4742-8AB7-5FF5359D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6BFCA6CC-76AE-3F40-A414-C70EDAD15A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8DDBFF8-5DD7-8444-AA13-65581B00B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47CAD17-9933-0340-95C0-544B4666CA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65124C0F-2969-5A44-AB0C-75E5DFD2F7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7009F43F-D365-D44D-BC77-A6F4114C7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CCFD1917-6CAF-9542-95BB-74950D11C9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6DB10893-4806-8340-A286-E5B4B08AD7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4DF2B704-7B4D-AD42-8FF2-55F77C246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0FCAF8B3-9FA6-AA41-BCFC-11E212880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61047EA2-0943-2E4C-B790-BA8D03C4E5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FFBDF325-3CB0-744C-9D79-8D347D1558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B6F4B302-39D9-954A-83CA-1A1B89D7EE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B79BF7A-0952-E544-96B3-012C1A1F7C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5994BB-2BB7-5D48-AC2E-4565F2B1B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2A3F725-4669-3D48-8E52-131953DE8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9B84763-D1D1-EE46-87C5-EB35FD6C90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0FEA3C43-F5F4-4947-ACB1-0A6563953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6DC4211A-E21E-DB49-8CF5-119EA3555F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DF468C1F-CBEF-B54A-BBDC-688ED883A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61A8053-3B6F-924F-868C-9CCA41AF87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E6CD04FA-A8E7-934C-BF8F-8561EB5B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770DDBE-4142-DA4D-A024-E28F51C3FF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AF8A388-3108-3148-8EDB-65E2E621A6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B2ECB8F-1F01-5F43-9789-43A51A6FA6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C277C7A3-A53C-1149-8AF7-533D462A0A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09FE28F0-F55E-564E-ABBE-B8BD79F7A4A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094410BD-97A5-4D4F-99A5-A7FBA2D98C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CDCD5555-A9F2-8C41-8B0C-FE38FEC56F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156D6DEA-230E-234C-A372-0D5307C6166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E463EDF7-C486-AA48-B2D6-BB754B5ED9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6B141D7-9972-AA44-A0C5-0B17EB6124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EB42E05-8B19-E444-B64D-4F00D88128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585DA8A6-1FBA-364C-86A4-5184DAE681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88958F26-8783-5B49-98DC-5D17B8FDC9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89399B09-D88D-FB41-B7B3-A3608519BC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4DA697A0-51DB-104A-8F9F-EEE1CD0A26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E76C4BA4-BF8D-6B40-86AD-7A3180B5BC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D5510C04-3422-8340-A1FB-DEFB258974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2D0E89C5-2056-9642-9958-06BCF80D5E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3B3F5555-EAEF-5E4E-806C-FA0CFBEED4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675A8A81-C4B4-4844-8C6B-B55C7856FB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1E3AE0F0-71CA-BF4A-9FAB-4407F8875E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B05F8BE8-4377-B04E-BEA4-C1B439C10E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4AE2C65-76B7-2142-86F6-49AC67C59A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139DEABC-0A70-1047-9620-38B367E0E7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787594E-75BE-8D40-A496-BDF5E796F1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7283019-2AF4-494E-88F1-14ED47E456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34648E4E-0D13-7D4C-A35D-330693FB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91326EC6-500B-8D4F-AF51-8DBDF7F31E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07FB4AE-A6E9-8A48-A2F3-0E6034D6DB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C8C8EC7A-354E-4F41-BE6A-7B7DA32EE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025493A3-B82E-D645-8B50-05E316B8EA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4392EFBC-E499-694C-BA46-822EA558A4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9279E3E8-50A0-DD40-98D6-0B3732894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CA2D06ED-F69B-6142-927C-1746C444E6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3C3FC2E-0B62-BB40-94F7-F00D20F1C5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EF5F9E4-CCC8-054E-ABA3-BBE5AF696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AA08CA5B-F3CC-F945-AF25-4BA087B6B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4648D522-8AF2-904E-9A4B-71EC5F8EE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3D720B4-9A8C-A646-B9E0-32903B59B1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2DCB74F-6100-A047-A729-7F6A625BE3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86109</xdr:colOff>
      <xdr:row>3</xdr:row>
      <xdr:rowOff>39767</xdr:rowOff>
    </xdr:from>
    <xdr:to>
      <xdr:col>26</xdr:col>
      <xdr:colOff>47625</xdr:colOff>
      <xdr:row>3</xdr:row>
      <xdr:rowOff>836405</xdr:rowOff>
    </xdr:to>
    <xdr:pic>
      <xdr:nvPicPr>
        <xdr:cNvPr id="69" name="Picture 68" descr="Item:Chakana,Pos:1">
          <a:extLst>
            <a:ext uri="{FF2B5EF4-FFF2-40B4-BE49-F238E27FC236}">
              <a16:creationId xmlns:a16="http://schemas.microsoft.com/office/drawing/2014/main" id="{2500A5BD-9E40-0B4F-B177-D5AE16F6D9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517359" y="2611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0" name="Picture 69" descr="18,18,18,18,">
          <a:extLst>
            <a:ext uri="{FF2B5EF4-FFF2-40B4-BE49-F238E27FC236}">
              <a16:creationId xmlns:a16="http://schemas.microsoft.com/office/drawing/2014/main" id="{7F3C3BD3-3BFA-B740-9093-80B6647B0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1" name="Picture 70" descr="Item:Poker,Pos:1">
          <a:extLst>
            <a:ext uri="{FF2B5EF4-FFF2-40B4-BE49-F238E27FC236}">
              <a16:creationId xmlns:a16="http://schemas.microsoft.com/office/drawing/2014/main" id="{AA934731-BA2D-6540-ACF5-592C736375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5</xdr:row>
      <xdr:rowOff>63500</xdr:rowOff>
    </xdr:from>
    <xdr:to>
      <xdr:col>17</xdr:col>
      <xdr:colOff>837500</xdr:colOff>
      <xdr:row>5</xdr:row>
      <xdr:rowOff>837500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986D28C4-83EB-E440-B33B-D2389102BB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66675</xdr:colOff>
      <xdr:row>4</xdr:row>
      <xdr:rowOff>34925</xdr:rowOff>
    </xdr:from>
    <xdr:to>
      <xdr:col>5</xdr:col>
      <xdr:colOff>840675</xdr:colOff>
      <xdr:row>4</xdr:row>
      <xdr:rowOff>808925</xdr:rowOff>
    </xdr:to>
    <xdr:pic>
      <xdr:nvPicPr>
        <xdr:cNvPr id="73" name="Picture 72" descr=" 1, 1, 2, 2,">
          <a:extLst>
            <a:ext uri="{FF2B5EF4-FFF2-40B4-BE49-F238E27FC236}">
              <a16:creationId xmlns:a16="http://schemas.microsoft.com/office/drawing/2014/main" id="{75240A4F-1FAF-664C-9AE7-59C465AAE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2117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44450</xdr:colOff>
      <xdr:row>4</xdr:row>
      <xdr:rowOff>44450</xdr:rowOff>
    </xdr:from>
    <xdr:to>
      <xdr:col>7</xdr:col>
      <xdr:colOff>818450</xdr:colOff>
      <xdr:row>4</xdr:row>
      <xdr:rowOff>818450</xdr:rowOff>
    </xdr:to>
    <xdr:pic>
      <xdr:nvPicPr>
        <xdr:cNvPr id="74" name="Picture 73" descr=" 1, 1, 2, 2,">
          <a:extLst>
            <a:ext uri="{FF2B5EF4-FFF2-40B4-BE49-F238E27FC236}">
              <a16:creationId xmlns:a16="http://schemas.microsoft.com/office/drawing/2014/main" id="{7B58CCB3-E7EA-9D44-A924-354AA28DA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00750" y="3498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60325</xdr:rowOff>
    </xdr:from>
    <xdr:to>
      <xdr:col>16</xdr:col>
      <xdr:colOff>818450</xdr:colOff>
      <xdr:row>5</xdr:row>
      <xdr:rowOff>834325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BB61B08A-93FE-C740-A180-4557526A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53974</xdr:colOff>
      <xdr:row>7</xdr:row>
      <xdr:rowOff>43392</xdr:rowOff>
    </xdr:from>
    <xdr:to>
      <xdr:col>16</xdr:col>
      <xdr:colOff>827974</xdr:colOff>
      <xdr:row>7</xdr:row>
      <xdr:rowOff>817392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5B473CBA-7C64-3F49-AC34-7915115987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9974" y="604414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8</xdr:row>
      <xdr:rowOff>57150</xdr:rowOff>
    </xdr:from>
    <xdr:to>
      <xdr:col>19</xdr:col>
      <xdr:colOff>831150</xdr:colOff>
      <xdr:row>8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8678CB6A-A0D0-C046-92EC-0442664E8F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4900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66675</xdr:colOff>
      <xdr:row>7</xdr:row>
      <xdr:rowOff>66675</xdr:rowOff>
    </xdr:from>
    <xdr:to>
      <xdr:col>17</xdr:col>
      <xdr:colOff>847025</xdr:colOff>
      <xdr:row>7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520DB8BC-EC85-0743-8184-B4F5DC5F43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9925" y="60674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79375</xdr:rowOff>
    </xdr:from>
    <xdr:to>
      <xdr:col>9</xdr:col>
      <xdr:colOff>837500</xdr:colOff>
      <xdr:row>4</xdr:row>
      <xdr:rowOff>853375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41D2C964-0C90-6642-9CC1-C7D07A625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21600" y="353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5</xdr:row>
      <xdr:rowOff>47625</xdr:rowOff>
    </xdr:from>
    <xdr:to>
      <xdr:col>14</xdr:col>
      <xdr:colOff>853375</xdr:colOff>
      <xdr:row>5</xdr:row>
      <xdr:rowOff>821625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0A006553-4BD1-9B42-A13D-0EAE6140A2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087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2</xdr:row>
      <xdr:rowOff>15875</xdr:rowOff>
    </xdr:from>
    <xdr:to>
      <xdr:col>15</xdr:col>
      <xdr:colOff>821625</xdr:colOff>
      <xdr:row>2</xdr:row>
      <xdr:rowOff>789875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E8A63B95-7508-2744-A152-3189CD699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06375" y="1730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83" name="Picture 82" descr=" 9,10, 2, 1,">
          <a:extLst>
            <a:ext uri="{FF2B5EF4-FFF2-40B4-BE49-F238E27FC236}">
              <a16:creationId xmlns:a16="http://schemas.microsoft.com/office/drawing/2014/main" id="{046A7AD3-FCD1-9147-B91E-4DBE301925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7</xdr:row>
      <xdr:rowOff>63500</xdr:rowOff>
    </xdr:from>
    <xdr:to>
      <xdr:col>18</xdr:col>
      <xdr:colOff>843850</xdr:colOff>
      <xdr:row>7</xdr:row>
      <xdr:rowOff>837500</xdr:rowOff>
    </xdr:to>
    <xdr:pic>
      <xdr:nvPicPr>
        <xdr:cNvPr id="84" name="Picture 83" descr=" 9,10, 2, 1,">
          <a:extLst>
            <a:ext uri="{FF2B5EF4-FFF2-40B4-BE49-F238E27FC236}">
              <a16:creationId xmlns:a16="http://schemas.microsoft.com/office/drawing/2014/main" id="{3D1E55E7-942D-0242-A48F-8541D33C8A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500350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2</xdr:row>
      <xdr:rowOff>41275</xdr:rowOff>
    </xdr:from>
    <xdr:to>
      <xdr:col>16</xdr:col>
      <xdr:colOff>821625</xdr:colOff>
      <xdr:row>2</xdr:row>
      <xdr:rowOff>815275</xdr:rowOff>
    </xdr:to>
    <xdr:pic>
      <xdr:nvPicPr>
        <xdr:cNvPr id="85" name="Picture 84" descr=" 9,10, 2, 1,">
          <a:extLst>
            <a:ext uri="{FF2B5EF4-FFF2-40B4-BE49-F238E27FC236}">
              <a16:creationId xmlns:a16="http://schemas.microsoft.com/office/drawing/2014/main" id="{5690606F-0A4B-E541-9A9C-0CCB7FA6BE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3763625" y="1755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7</xdr:row>
      <xdr:rowOff>31750</xdr:rowOff>
    </xdr:from>
    <xdr:to>
      <xdr:col>6</xdr:col>
      <xdr:colOff>821625</xdr:colOff>
      <xdr:row>7</xdr:row>
      <xdr:rowOff>805750</xdr:rowOff>
    </xdr:to>
    <xdr:pic>
      <xdr:nvPicPr>
        <xdr:cNvPr id="86" name="Picture 85" descr="31,31,32,32,">
          <a:extLst>
            <a:ext uri="{FF2B5EF4-FFF2-40B4-BE49-F238E27FC236}">
              <a16:creationId xmlns:a16="http://schemas.microsoft.com/office/drawing/2014/main" id="{41A1E929-A92A-B846-9242-129238FFDC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51530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8</xdr:row>
      <xdr:rowOff>41275</xdr:rowOff>
    </xdr:from>
    <xdr:to>
      <xdr:col>8</xdr:col>
      <xdr:colOff>847025</xdr:colOff>
      <xdr:row>8</xdr:row>
      <xdr:rowOff>815275</xdr:rowOff>
    </xdr:to>
    <xdr:pic>
      <xdr:nvPicPr>
        <xdr:cNvPr id="87" name="Picture 86" descr="31,31,32,32,">
          <a:extLst>
            <a:ext uri="{FF2B5EF4-FFF2-40B4-BE49-F238E27FC236}">
              <a16:creationId xmlns:a16="http://schemas.microsoft.com/office/drawing/2014/main" id="{A1D7E6FE-28DF-8D4A-B369-35CCD4DF7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88022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63500</xdr:colOff>
      <xdr:row>7</xdr:row>
      <xdr:rowOff>47625</xdr:rowOff>
    </xdr:from>
    <xdr:to>
      <xdr:col>8</xdr:col>
      <xdr:colOff>837500</xdr:colOff>
      <xdr:row>7</xdr:row>
      <xdr:rowOff>821625</xdr:rowOff>
    </xdr:to>
    <xdr:pic>
      <xdr:nvPicPr>
        <xdr:cNvPr id="88" name="Picture 87" descr="31,31,31,31,">
          <a:extLst>
            <a:ext uri="{FF2B5EF4-FFF2-40B4-BE49-F238E27FC236}">
              <a16:creationId xmlns:a16="http://schemas.microsoft.com/office/drawing/2014/main" id="{9A5515A9-1716-E941-A7FD-6294CFFAA7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070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6</xdr:row>
      <xdr:rowOff>41275</xdr:rowOff>
    </xdr:from>
    <xdr:to>
      <xdr:col>8</xdr:col>
      <xdr:colOff>831150</xdr:colOff>
      <xdr:row>6</xdr:row>
      <xdr:rowOff>815275</xdr:rowOff>
    </xdr:to>
    <xdr:pic>
      <xdr:nvPicPr>
        <xdr:cNvPr id="89" name="Picture 88" descr="31,31,31,31,">
          <a:extLst>
            <a:ext uri="{FF2B5EF4-FFF2-40B4-BE49-F238E27FC236}">
              <a16:creationId xmlns:a16="http://schemas.microsoft.com/office/drawing/2014/main" id="{9AD6397F-7496-5C42-ACC0-A45A903DE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6435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50800</xdr:colOff>
      <xdr:row>6</xdr:row>
      <xdr:rowOff>50800</xdr:rowOff>
    </xdr:from>
    <xdr:to>
      <xdr:col>6</xdr:col>
      <xdr:colOff>824800</xdr:colOff>
      <xdr:row>6</xdr:row>
      <xdr:rowOff>824800</xdr:rowOff>
    </xdr:to>
    <xdr:pic>
      <xdr:nvPicPr>
        <xdr:cNvPr id="90" name="Picture 89" descr="31,31,31,31,">
          <a:extLst>
            <a:ext uri="{FF2B5EF4-FFF2-40B4-BE49-F238E27FC236}">
              <a16:creationId xmlns:a16="http://schemas.microsoft.com/office/drawing/2014/main" id="{F7BE9746-FD40-DA46-ADCC-12132B4852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56200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44450</xdr:colOff>
      <xdr:row>5</xdr:row>
      <xdr:rowOff>44450</xdr:rowOff>
    </xdr:from>
    <xdr:to>
      <xdr:col>6</xdr:col>
      <xdr:colOff>818450</xdr:colOff>
      <xdr:row>5</xdr:row>
      <xdr:rowOff>818450</xdr:rowOff>
    </xdr:to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CD0ED8A7-6A7C-2F40-9FBC-4EC1C3EC7B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498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69850</xdr:colOff>
      <xdr:row>5</xdr:row>
      <xdr:rowOff>38100</xdr:rowOff>
    </xdr:from>
    <xdr:to>
      <xdr:col>8</xdr:col>
      <xdr:colOff>843850</xdr:colOff>
      <xdr:row>5</xdr:row>
      <xdr:rowOff>812100</xdr:rowOff>
    </xdr:to>
    <xdr:pic>
      <xdr:nvPicPr>
        <xdr:cNvPr id="92" name="Picture 91" descr="31,31,31,31,">
          <a:extLst>
            <a:ext uri="{FF2B5EF4-FFF2-40B4-BE49-F238E27FC236}">
              <a16:creationId xmlns:a16="http://schemas.microsoft.com/office/drawing/2014/main" id="{76E78E92-3686-DD41-815C-CF5FD29ACC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77050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69850</xdr:colOff>
      <xdr:row>8</xdr:row>
      <xdr:rowOff>28575</xdr:rowOff>
    </xdr:from>
    <xdr:to>
      <xdr:col>5</xdr:col>
      <xdr:colOff>843850</xdr:colOff>
      <xdr:row>8</xdr:row>
      <xdr:rowOff>802575</xdr:rowOff>
    </xdr:to>
    <xdr:pic>
      <xdr:nvPicPr>
        <xdr:cNvPr id="93" name="Picture 92" descr=" 4, 5, 1, 2,">
          <a:extLst>
            <a:ext uri="{FF2B5EF4-FFF2-40B4-BE49-F238E27FC236}">
              <a16:creationId xmlns:a16="http://schemas.microsoft.com/office/drawing/2014/main" id="{3CCB78EB-9E03-8F41-87C8-2FF8C2E16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24350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8</xdr:row>
      <xdr:rowOff>41275</xdr:rowOff>
    </xdr:from>
    <xdr:to>
      <xdr:col>6</xdr:col>
      <xdr:colOff>815275</xdr:colOff>
      <xdr:row>8</xdr:row>
      <xdr:rowOff>815275</xdr:rowOff>
    </xdr:to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201ABFB2-A1AD-0D46-A5EE-418F0AA647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69850</xdr:colOff>
      <xdr:row>4</xdr:row>
      <xdr:rowOff>38100</xdr:rowOff>
    </xdr:from>
    <xdr:to>
      <xdr:col>6</xdr:col>
      <xdr:colOff>843850</xdr:colOff>
      <xdr:row>4</xdr:row>
      <xdr:rowOff>812100</xdr:rowOff>
    </xdr:to>
    <xdr:pic>
      <xdr:nvPicPr>
        <xdr:cNvPr id="95" name="Picture 94" descr="31,31,31,31,">
          <a:extLst>
            <a:ext uri="{FF2B5EF4-FFF2-40B4-BE49-F238E27FC236}">
              <a16:creationId xmlns:a16="http://schemas.microsoft.com/office/drawing/2014/main" id="{9A509EAF-23A7-BF47-8FA4-B9B7C8C2EB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517525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79375</xdr:colOff>
      <xdr:row>4</xdr:row>
      <xdr:rowOff>47625</xdr:rowOff>
    </xdr:from>
    <xdr:to>
      <xdr:col>9</xdr:col>
      <xdr:colOff>2475</xdr:colOff>
      <xdr:row>4</xdr:row>
      <xdr:rowOff>821625</xdr:rowOff>
    </xdr:to>
    <xdr:pic>
      <xdr:nvPicPr>
        <xdr:cNvPr id="96" name="Picture 95" descr="31,31,31,31,">
          <a:extLst>
            <a:ext uri="{FF2B5EF4-FFF2-40B4-BE49-F238E27FC236}">
              <a16:creationId xmlns:a16="http://schemas.microsoft.com/office/drawing/2014/main" id="{1A18512A-A05F-7A44-9989-CC49FA865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886575" y="350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95250</xdr:colOff>
      <xdr:row>3</xdr:row>
      <xdr:rowOff>47625</xdr:rowOff>
    </xdr:from>
    <xdr:to>
      <xdr:col>7</xdr:col>
      <xdr:colOff>12000</xdr:colOff>
      <xdr:row>3</xdr:row>
      <xdr:rowOff>821625</xdr:rowOff>
    </xdr:to>
    <xdr:pic>
      <xdr:nvPicPr>
        <xdr:cNvPr id="97" name="Picture 96" descr="33,33,31,31,">
          <a:extLst>
            <a:ext uri="{FF2B5EF4-FFF2-40B4-BE49-F238E27FC236}">
              <a16:creationId xmlns:a16="http://schemas.microsoft.com/office/drawing/2014/main" id="{62EA6510-3AE5-0243-8BCB-65430CD0B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5200650" y="26384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73025</xdr:colOff>
      <xdr:row>3</xdr:row>
      <xdr:rowOff>41275</xdr:rowOff>
    </xdr:from>
    <xdr:to>
      <xdr:col>8</xdr:col>
      <xdr:colOff>847025</xdr:colOff>
      <xdr:row>3</xdr:row>
      <xdr:rowOff>815275</xdr:rowOff>
    </xdr:to>
    <xdr:pic>
      <xdr:nvPicPr>
        <xdr:cNvPr id="98" name="Picture 97" descr="33,33,31,31,">
          <a:extLst>
            <a:ext uri="{FF2B5EF4-FFF2-40B4-BE49-F238E27FC236}">
              <a16:creationId xmlns:a16="http://schemas.microsoft.com/office/drawing/2014/main" id="{047AB651-D802-CE4A-976F-01870298C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88022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5</xdr:row>
      <xdr:rowOff>47625</xdr:rowOff>
    </xdr:from>
    <xdr:to>
      <xdr:col>10</xdr:col>
      <xdr:colOff>805750</xdr:colOff>
      <xdr:row>5</xdr:row>
      <xdr:rowOff>821625</xdr:rowOff>
    </xdr:to>
    <xdr:pic>
      <xdr:nvPicPr>
        <xdr:cNvPr id="100" name="Picture 99" descr="31,31,31,31,">
          <a:extLst>
            <a:ext uri="{FF2B5EF4-FFF2-40B4-BE49-F238E27FC236}">
              <a16:creationId xmlns:a16="http://schemas.microsoft.com/office/drawing/2014/main" id="{CDACC5A0-8C7B-FD45-AC8D-0E43EF988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604250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57150</xdr:rowOff>
    </xdr:from>
    <xdr:to>
      <xdr:col>10</xdr:col>
      <xdr:colOff>815275</xdr:colOff>
      <xdr:row>4</xdr:row>
      <xdr:rowOff>831150</xdr:rowOff>
    </xdr:to>
    <xdr:pic>
      <xdr:nvPicPr>
        <xdr:cNvPr id="101" name="Picture 100" descr="31,31,31,31,">
          <a:extLst>
            <a:ext uri="{FF2B5EF4-FFF2-40B4-BE49-F238E27FC236}">
              <a16:creationId xmlns:a16="http://schemas.microsoft.com/office/drawing/2014/main" id="{B809465F-7A4B-0C4C-98E9-B10C00C574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8550275" y="351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50800</xdr:rowOff>
    </xdr:from>
    <xdr:to>
      <xdr:col>10</xdr:col>
      <xdr:colOff>808925</xdr:colOff>
      <xdr:row>3</xdr:row>
      <xdr:rowOff>824800</xdr:rowOff>
    </xdr:to>
    <xdr:pic>
      <xdr:nvPicPr>
        <xdr:cNvPr id="102" name="Picture 101" descr="33,33,31,31,">
          <a:extLst>
            <a:ext uri="{FF2B5EF4-FFF2-40B4-BE49-F238E27FC236}">
              <a16:creationId xmlns:a16="http://schemas.microsoft.com/office/drawing/2014/main" id="{146A21D8-5BF6-6C46-8B56-3B4B9A3734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0742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31750</xdr:colOff>
      <xdr:row>6</xdr:row>
      <xdr:rowOff>47625</xdr:rowOff>
    </xdr:from>
    <xdr:to>
      <xdr:col>10</xdr:col>
      <xdr:colOff>805750</xdr:colOff>
      <xdr:row>6</xdr:row>
      <xdr:rowOff>821625</xdr:rowOff>
    </xdr:to>
    <xdr:pic>
      <xdr:nvPicPr>
        <xdr:cNvPr id="103" name="Picture 102" descr="31,31,32,32,">
          <a:extLst>
            <a:ext uri="{FF2B5EF4-FFF2-40B4-BE49-F238E27FC236}">
              <a16:creationId xmlns:a16="http://schemas.microsoft.com/office/drawing/2014/main" id="{9754F982-EAA4-3244-8D37-EDE95796A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04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2</xdr:row>
      <xdr:rowOff>31750</xdr:rowOff>
    </xdr:from>
    <xdr:to>
      <xdr:col>5</xdr:col>
      <xdr:colOff>821625</xdr:colOff>
      <xdr:row>2</xdr:row>
      <xdr:rowOff>805750</xdr:rowOff>
    </xdr:to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188EEB60-27E8-3848-A2E5-F92D9561E0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021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41275</xdr:colOff>
      <xdr:row>2</xdr:row>
      <xdr:rowOff>57150</xdr:rowOff>
    </xdr:from>
    <xdr:to>
      <xdr:col>6</xdr:col>
      <xdr:colOff>815275</xdr:colOff>
      <xdr:row>2</xdr:row>
      <xdr:rowOff>831150</xdr:rowOff>
    </xdr:to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ABF4EB70-3E87-7043-B8C8-DBBED1F2AF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466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15875</xdr:colOff>
      <xdr:row>2</xdr:row>
      <xdr:rowOff>47625</xdr:rowOff>
    </xdr:from>
    <xdr:to>
      <xdr:col>7</xdr:col>
      <xdr:colOff>789875</xdr:colOff>
      <xdr:row>2</xdr:row>
      <xdr:rowOff>821625</xdr:rowOff>
    </xdr:to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77DB53B-0092-F748-B412-9A6C614E9E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72175" y="177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9525</xdr:colOff>
      <xdr:row>2</xdr:row>
      <xdr:rowOff>73025</xdr:rowOff>
    </xdr:from>
    <xdr:to>
      <xdr:col>8</xdr:col>
      <xdr:colOff>783525</xdr:colOff>
      <xdr:row>2</xdr:row>
      <xdr:rowOff>847025</xdr:rowOff>
    </xdr:to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8EE63A68-930A-8C4D-A312-DDA63AE7D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16725" y="180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41275</xdr:colOff>
      <xdr:row>2</xdr:row>
      <xdr:rowOff>57150</xdr:rowOff>
    </xdr:from>
    <xdr:to>
      <xdr:col>9</xdr:col>
      <xdr:colOff>815275</xdr:colOff>
      <xdr:row>2</xdr:row>
      <xdr:rowOff>831150</xdr:rowOff>
    </xdr:to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CF127389-3F9D-1041-8FF6-8ECA6424E7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99375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2</xdr:row>
      <xdr:rowOff>82550</xdr:rowOff>
    </xdr:from>
    <xdr:to>
      <xdr:col>10</xdr:col>
      <xdr:colOff>808925</xdr:colOff>
      <xdr:row>2</xdr:row>
      <xdr:rowOff>856550</xdr:rowOff>
    </xdr:to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BE087ABE-D7E4-2D4E-BCE8-5FCEB9DD7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43925" y="180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843850</xdr:colOff>
      <xdr:row>8</xdr:row>
      <xdr:rowOff>821625</xdr:rowOff>
    </xdr:to>
    <xdr:pic>
      <xdr:nvPicPr>
        <xdr:cNvPr id="110" name="Picture 109" descr="12,12, 7, 7,">
          <a:extLst>
            <a:ext uri="{FF2B5EF4-FFF2-40B4-BE49-F238E27FC236}">
              <a16:creationId xmlns:a16="http://schemas.microsoft.com/office/drawing/2014/main" id="{2EE7856C-D75A-0340-8B2C-AB4ED0512A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207750" y="6905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7</xdr:row>
      <xdr:rowOff>31750</xdr:rowOff>
    </xdr:from>
    <xdr:to>
      <xdr:col>13</xdr:col>
      <xdr:colOff>843850</xdr:colOff>
      <xdr:row>7</xdr:row>
      <xdr:rowOff>805750</xdr:rowOff>
    </xdr:to>
    <xdr:pic>
      <xdr:nvPicPr>
        <xdr:cNvPr id="111" name="Picture 110" descr="12,12,12,12,">
          <a:extLst>
            <a:ext uri="{FF2B5EF4-FFF2-40B4-BE49-F238E27FC236}">
              <a16:creationId xmlns:a16="http://schemas.microsoft.com/office/drawing/2014/main" id="{E7C63419-EB37-0345-9957-A07AAA67D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207750" y="603250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104775</xdr:colOff>
      <xdr:row>5</xdr:row>
      <xdr:rowOff>22225</xdr:rowOff>
    </xdr:from>
    <xdr:to>
      <xdr:col>14</xdr:col>
      <xdr:colOff>21525</xdr:colOff>
      <xdr:row>5</xdr:row>
      <xdr:rowOff>796225</xdr:rowOff>
    </xdr:to>
    <xdr:pic>
      <xdr:nvPicPr>
        <xdr:cNvPr id="112" name="Picture 111" descr=" 8, 8,12,12,">
          <a:extLst>
            <a:ext uri="{FF2B5EF4-FFF2-40B4-BE49-F238E27FC236}">
              <a16:creationId xmlns:a16="http://schemas.microsoft.com/office/drawing/2014/main" id="{0BF0D76F-951D-AA4C-8705-2AEB70968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2490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111125</xdr:colOff>
      <xdr:row>6</xdr:row>
      <xdr:rowOff>31750</xdr:rowOff>
    </xdr:from>
    <xdr:to>
      <xdr:col>14</xdr:col>
      <xdr:colOff>27875</xdr:colOff>
      <xdr:row>6</xdr:row>
      <xdr:rowOff>805750</xdr:rowOff>
    </xdr:to>
    <xdr:pic>
      <xdr:nvPicPr>
        <xdr:cNvPr id="113" name="Picture 112" descr="12,12,12,12,">
          <a:extLst>
            <a:ext uri="{FF2B5EF4-FFF2-40B4-BE49-F238E27FC236}">
              <a16:creationId xmlns:a16="http://schemas.microsoft.com/office/drawing/2014/main" id="{AA0DFE62-F4FF-214C-9D33-E5391A0732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25537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2</xdr:row>
      <xdr:rowOff>31750</xdr:rowOff>
    </xdr:from>
    <xdr:to>
      <xdr:col>14</xdr:col>
      <xdr:colOff>840675</xdr:colOff>
      <xdr:row>2</xdr:row>
      <xdr:rowOff>805750</xdr:rowOff>
    </xdr:to>
    <xdr:pic>
      <xdr:nvPicPr>
        <xdr:cNvPr id="114" name="Picture 113" descr=" 8, 8,12,12,">
          <a:extLst>
            <a:ext uri="{FF2B5EF4-FFF2-40B4-BE49-F238E27FC236}">
              <a16:creationId xmlns:a16="http://schemas.microsoft.com/office/drawing/2014/main" id="{8E365327-5D35-3144-AA41-384739525F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068175" y="1746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88900</xdr:colOff>
      <xdr:row>8</xdr:row>
      <xdr:rowOff>73025</xdr:rowOff>
    </xdr:from>
    <xdr:to>
      <xdr:col>16</xdr:col>
      <xdr:colOff>5650</xdr:colOff>
      <xdr:row>8</xdr:row>
      <xdr:rowOff>847025</xdr:rowOff>
    </xdr:to>
    <xdr:pic>
      <xdr:nvPicPr>
        <xdr:cNvPr id="115" name="Picture 114" descr="12,12, 7, 7,">
          <a:extLst>
            <a:ext uri="{FF2B5EF4-FFF2-40B4-BE49-F238E27FC236}">
              <a16:creationId xmlns:a16="http://schemas.microsoft.com/office/drawing/2014/main" id="{54B370AF-EF91-1140-AC52-A08F0E427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94765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66675</xdr:colOff>
      <xdr:row>8</xdr:row>
      <xdr:rowOff>66675</xdr:rowOff>
    </xdr:from>
    <xdr:to>
      <xdr:col>18</xdr:col>
      <xdr:colOff>847025</xdr:colOff>
      <xdr:row>8</xdr:row>
      <xdr:rowOff>840675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3A6D2EB3-FBA5-7E4F-944A-FCD8CA986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7175" y="692467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69850</xdr:colOff>
      <xdr:row>3</xdr:row>
      <xdr:rowOff>53975</xdr:rowOff>
    </xdr:from>
    <xdr:to>
      <xdr:col>16</xdr:col>
      <xdr:colOff>843850</xdr:colOff>
      <xdr:row>3</xdr:row>
      <xdr:rowOff>827975</xdr:rowOff>
    </xdr:to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365EDF94-AE20-AF44-9A3C-19E073B6D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5850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47625</xdr:colOff>
      <xdr:row>3</xdr:row>
      <xdr:rowOff>47625</xdr:rowOff>
    </xdr:from>
    <xdr:to>
      <xdr:col>17</xdr:col>
      <xdr:colOff>821625</xdr:colOff>
      <xdr:row>3</xdr:row>
      <xdr:rowOff>821625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6FC6B86C-0CC9-AF4E-AEED-B36A00175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0875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88900</xdr:colOff>
      <xdr:row>3</xdr:row>
      <xdr:rowOff>41275</xdr:rowOff>
    </xdr:from>
    <xdr:to>
      <xdr:col>20</xdr:col>
      <xdr:colOff>5650</xdr:colOff>
      <xdr:row>3</xdr:row>
      <xdr:rowOff>815275</xdr:rowOff>
    </xdr:to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FC4A1511-46FD-9245-81A2-825D56D58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7665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82550</xdr:colOff>
      <xdr:row>4</xdr:row>
      <xdr:rowOff>50800</xdr:rowOff>
    </xdr:from>
    <xdr:to>
      <xdr:col>18</xdr:col>
      <xdr:colOff>856550</xdr:colOff>
      <xdr:row>4</xdr:row>
      <xdr:rowOff>824800</xdr:rowOff>
    </xdr:to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8D592CE5-F780-D742-94CF-616F07CFF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51305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76200</xdr:colOff>
      <xdr:row>3</xdr:row>
      <xdr:rowOff>57150</xdr:rowOff>
    </xdr:from>
    <xdr:to>
      <xdr:col>18</xdr:col>
      <xdr:colOff>850200</xdr:colOff>
      <xdr:row>3</xdr:row>
      <xdr:rowOff>831150</xdr:rowOff>
    </xdr:to>
    <xdr:pic>
      <xdr:nvPicPr>
        <xdr:cNvPr id="121" name="Picture 120" descr=" 8, 8,12,12,">
          <a:extLst>
            <a:ext uri="{FF2B5EF4-FFF2-40B4-BE49-F238E27FC236}">
              <a16:creationId xmlns:a16="http://schemas.microsoft.com/office/drawing/2014/main" id="{C8B2170B-6C8C-9A44-9B20-C5940BD735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55067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5</xdr:row>
      <xdr:rowOff>41275</xdr:rowOff>
    </xdr:from>
    <xdr:to>
      <xdr:col>18</xdr:col>
      <xdr:colOff>831150</xdr:colOff>
      <xdr:row>5</xdr:row>
      <xdr:rowOff>815275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ACB2BEC1-56CB-E747-8407-1AD6962505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82550</xdr:colOff>
      <xdr:row>2</xdr:row>
      <xdr:rowOff>50800</xdr:rowOff>
    </xdr:from>
    <xdr:to>
      <xdr:col>13</xdr:col>
      <xdr:colOff>856550</xdr:colOff>
      <xdr:row>2</xdr:row>
      <xdr:rowOff>824800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75078DFD-7DC8-4740-92F7-827BF6782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26800" y="1765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41275</xdr:colOff>
      <xdr:row>8</xdr:row>
      <xdr:rowOff>44450</xdr:rowOff>
    </xdr:from>
    <xdr:to>
      <xdr:col>7</xdr:col>
      <xdr:colOff>815275</xdr:colOff>
      <xdr:row>8</xdr:row>
      <xdr:rowOff>818450</xdr:rowOff>
    </xdr:to>
    <xdr:pic>
      <xdr:nvPicPr>
        <xdr:cNvPr id="124" name="Picture 123" descr="20, 0, 2,20,">
          <a:extLst>
            <a:ext uri="{FF2B5EF4-FFF2-40B4-BE49-F238E27FC236}">
              <a16:creationId xmlns:a16="http://schemas.microsoft.com/office/drawing/2014/main" id="{5624F1CD-255E-4A4D-83A3-563F7AC098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5997575" y="6953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47625</xdr:colOff>
      <xdr:row>1</xdr:row>
      <xdr:rowOff>47625</xdr:rowOff>
    </xdr:from>
    <xdr:to>
      <xdr:col>7</xdr:col>
      <xdr:colOff>832716</xdr:colOff>
      <xdr:row>2</xdr:row>
      <xdr:rowOff>10102</xdr:rowOff>
    </xdr:to>
    <xdr:pic>
      <xdr:nvPicPr>
        <xdr:cNvPr id="125" name="Picture 124" descr="Item:PinchBar,Pos:1">
          <a:extLst>
            <a:ext uri="{FF2B5EF4-FFF2-40B4-BE49-F238E27FC236}">
              <a16:creationId xmlns:a16="http://schemas.microsoft.com/office/drawing/2014/main" id="{7DC85D88-CDA2-3648-9A38-577FCD6BBD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6048375" y="904875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47625</xdr:rowOff>
    </xdr:from>
    <xdr:to>
      <xdr:col>20</xdr:col>
      <xdr:colOff>821625</xdr:colOff>
      <xdr:row>8</xdr:row>
      <xdr:rowOff>821625</xdr:rowOff>
    </xdr:to>
    <xdr:pic>
      <xdr:nvPicPr>
        <xdr:cNvPr id="126" name="Picture 125" descr=" 0, 0,40,40,">
          <a:extLst>
            <a:ext uri="{FF2B5EF4-FFF2-40B4-BE49-F238E27FC236}">
              <a16:creationId xmlns:a16="http://schemas.microsoft.com/office/drawing/2014/main" id="{2ECD347F-BBAC-E141-A0D9-578D972AFD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19262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34925</xdr:colOff>
      <xdr:row>8</xdr:row>
      <xdr:rowOff>50800</xdr:rowOff>
    </xdr:from>
    <xdr:to>
      <xdr:col>21</xdr:col>
      <xdr:colOff>819509</xdr:colOff>
      <xdr:row>8</xdr:row>
      <xdr:rowOff>824800</xdr:rowOff>
    </xdr:to>
    <xdr:pic>
      <xdr:nvPicPr>
        <xdr:cNvPr id="127" name="Picture 126" descr=" 0, 0,38,38,">
          <a:extLst>
            <a:ext uri="{FF2B5EF4-FFF2-40B4-BE49-F238E27FC236}">
              <a16:creationId xmlns:a16="http://schemas.microsoft.com/office/drawing/2014/main" id="{CF0CFA1F-6553-3449-9FC7-09755DF0EC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8037175" y="69088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47625</xdr:colOff>
      <xdr:row>3</xdr:row>
      <xdr:rowOff>31750</xdr:rowOff>
    </xdr:from>
    <xdr:to>
      <xdr:col>6</xdr:col>
      <xdr:colOff>1058</xdr:colOff>
      <xdr:row>3</xdr:row>
      <xdr:rowOff>832556</xdr:rowOff>
    </xdr:to>
    <xdr:pic>
      <xdr:nvPicPr>
        <xdr:cNvPr id="128" name="Picture 127" descr="Item:LifeSaver,Pos:1">
          <a:extLst>
            <a:ext uri="{FF2B5EF4-FFF2-40B4-BE49-F238E27FC236}">
              <a16:creationId xmlns:a16="http://schemas.microsoft.com/office/drawing/2014/main" id="{89EF9B49-C8E0-1A41-BBDA-41EFC09B7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302125" y="2622550"/>
          <a:ext cx="804333" cy="800806"/>
        </a:xfrm>
        <a:prstGeom prst="rect">
          <a:avLst/>
        </a:prstGeom>
      </xdr:spPr>
    </xdr:pic>
    <xdr:clientData/>
  </xdr:twoCellAnchor>
  <xdr:twoCellAnchor editAs="oneCell">
    <xdr:from>
      <xdr:col>22</xdr:col>
      <xdr:colOff>47625</xdr:colOff>
      <xdr:row>8</xdr:row>
      <xdr:rowOff>63500</xdr:rowOff>
    </xdr:from>
    <xdr:to>
      <xdr:col>22</xdr:col>
      <xdr:colOff>832208</xdr:colOff>
      <xdr:row>8</xdr:row>
      <xdr:rowOff>837500</xdr:rowOff>
    </xdr:to>
    <xdr:pic>
      <xdr:nvPicPr>
        <xdr:cNvPr id="129" name="Picture 128" descr=" 0, 0,39,39,">
          <a:extLst>
            <a:ext uri="{FF2B5EF4-FFF2-40B4-BE49-F238E27FC236}">
              <a16:creationId xmlns:a16="http://schemas.microsoft.com/office/drawing/2014/main" id="{C73FE6A4-34A3-7348-B5B4-5270ECB344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8907125" y="6921500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66675</xdr:rowOff>
    </xdr:from>
    <xdr:to>
      <xdr:col>23</xdr:col>
      <xdr:colOff>824800</xdr:colOff>
      <xdr:row>8</xdr:row>
      <xdr:rowOff>840675</xdr:rowOff>
    </xdr:to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91798CCF-10AA-CC48-9F2E-D5A213B467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7550" y="6924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60325</xdr:rowOff>
    </xdr:from>
    <xdr:to>
      <xdr:col>24</xdr:col>
      <xdr:colOff>818450</xdr:colOff>
      <xdr:row>8</xdr:row>
      <xdr:rowOff>834325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7FB12620-0A28-954B-8131-873F574941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18450" y="6918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22225</xdr:colOff>
      <xdr:row>8</xdr:row>
      <xdr:rowOff>53975</xdr:rowOff>
    </xdr:from>
    <xdr:to>
      <xdr:col>25</xdr:col>
      <xdr:colOff>796225</xdr:colOff>
      <xdr:row>8</xdr:row>
      <xdr:rowOff>827975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ADB1ADDD-4FE9-7F49-B88B-4AC767FFC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5347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73025</xdr:colOff>
      <xdr:row>6</xdr:row>
      <xdr:rowOff>57149</xdr:rowOff>
    </xdr:from>
    <xdr:to>
      <xdr:col>17</xdr:col>
      <xdr:colOff>850900</xdr:colOff>
      <xdr:row>6</xdr:row>
      <xdr:rowOff>835025</xdr:rowOff>
    </xdr:to>
    <xdr:pic>
      <xdr:nvPicPr>
        <xdr:cNvPr id="133" name="Picture 132" descr="Item:WoodenBarrier,Pos:1">
          <a:extLst>
            <a:ext uri="{FF2B5EF4-FFF2-40B4-BE49-F238E27FC236}">
              <a16:creationId xmlns:a16="http://schemas.microsoft.com/office/drawing/2014/main" id="{A05746CC-70E5-C843-B6C6-6E9962CE072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14646275" y="5200649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21</xdr:col>
      <xdr:colOff>31750</xdr:colOff>
      <xdr:row>2</xdr:row>
      <xdr:rowOff>47625</xdr:rowOff>
    </xdr:from>
    <xdr:to>
      <xdr:col>21</xdr:col>
      <xdr:colOff>842818</xdr:colOff>
      <xdr:row>2</xdr:row>
      <xdr:rowOff>855807</xdr:rowOff>
    </xdr:to>
    <xdr:pic>
      <xdr:nvPicPr>
        <xdr:cNvPr id="134" name="Picture 133" descr="Item:Hammer,Pos:1">
          <a:extLst>
            <a:ext uri="{FF2B5EF4-FFF2-40B4-BE49-F238E27FC236}">
              <a16:creationId xmlns:a16="http://schemas.microsoft.com/office/drawing/2014/main" id="{120CB2C2-505B-114A-867F-8E3805A6A2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18034000" y="1762125"/>
          <a:ext cx="811068" cy="808182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3</xdr:row>
      <xdr:rowOff>34925</xdr:rowOff>
    </xdr:from>
    <xdr:to>
      <xdr:col>20</xdr:col>
      <xdr:colOff>856550</xdr:colOff>
      <xdr:row>3</xdr:row>
      <xdr:rowOff>808925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E070237F-B452-0644-9972-384604612E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3</xdr:row>
      <xdr:rowOff>28575</xdr:rowOff>
    </xdr:from>
    <xdr:to>
      <xdr:col>21</xdr:col>
      <xdr:colOff>818450</xdr:colOff>
      <xdr:row>3</xdr:row>
      <xdr:rowOff>802575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400918E-A474-3444-8872-D13716A71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4670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8</xdr:row>
      <xdr:rowOff>47625</xdr:rowOff>
    </xdr:from>
    <xdr:to>
      <xdr:col>26</xdr:col>
      <xdr:colOff>843850</xdr:colOff>
      <xdr:row>8</xdr:row>
      <xdr:rowOff>821625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AB8D379-C31F-E747-BD5C-AFB1F58522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2000" y="69056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6</xdr:row>
      <xdr:rowOff>41275</xdr:rowOff>
    </xdr:from>
    <xdr:to>
      <xdr:col>25</xdr:col>
      <xdr:colOff>831150</xdr:colOff>
      <xdr:row>6</xdr:row>
      <xdr:rowOff>815275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F382349F-9893-324F-960D-D63A21C2D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88400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66675</xdr:colOff>
      <xdr:row>6</xdr:row>
      <xdr:rowOff>34925</xdr:rowOff>
    </xdr:from>
    <xdr:to>
      <xdr:col>26</xdr:col>
      <xdr:colOff>840675</xdr:colOff>
      <xdr:row>6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EE326911-09B5-CD48-A463-57116492FC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55175" y="517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15875</xdr:colOff>
      <xdr:row>7</xdr:row>
      <xdr:rowOff>63500</xdr:rowOff>
    </xdr:from>
    <xdr:to>
      <xdr:col>26</xdr:col>
      <xdr:colOff>846022</xdr:colOff>
      <xdr:row>8</xdr:row>
      <xdr:rowOff>14433</xdr:rowOff>
    </xdr:to>
    <xdr:pic>
      <xdr:nvPicPr>
        <xdr:cNvPr id="140" name="Picture 139" descr="Item:MysteryCrate,Pos:1,ItemType:60">
          <a:extLst>
            <a:ext uri="{FF2B5EF4-FFF2-40B4-BE49-F238E27FC236}">
              <a16:creationId xmlns:a16="http://schemas.microsoft.com/office/drawing/2014/main" id="{64D7D160-9659-6445-BF96-A9BF84DF2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2304375" y="6064250"/>
          <a:ext cx="830147" cy="808183"/>
        </a:xfrm>
        <a:prstGeom prst="rect">
          <a:avLst/>
        </a:prstGeom>
      </xdr:spPr>
    </xdr:pic>
    <xdr:clientData/>
  </xdr:twoCellAnchor>
  <xdr:twoCellAnchor editAs="oneCell">
    <xdr:from>
      <xdr:col>14</xdr:col>
      <xdr:colOff>79375</xdr:colOff>
      <xdr:row>4</xdr:row>
      <xdr:rowOff>63500</xdr:rowOff>
    </xdr:from>
    <xdr:to>
      <xdr:col>14</xdr:col>
      <xdr:colOff>853375</xdr:colOff>
      <xdr:row>4</xdr:row>
      <xdr:rowOff>837500</xdr:rowOff>
    </xdr:to>
    <xdr:pic>
      <xdr:nvPicPr>
        <xdr:cNvPr id="141" name="Picture 140" descr="12,12, 7, 7,">
          <a:extLst>
            <a:ext uri="{FF2B5EF4-FFF2-40B4-BE49-F238E27FC236}">
              <a16:creationId xmlns:a16="http://schemas.microsoft.com/office/drawing/2014/main" id="{D6826DCC-29C6-B247-9A23-75F2100B98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080875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7</xdr:row>
      <xdr:rowOff>31750</xdr:rowOff>
    </xdr:from>
    <xdr:to>
      <xdr:col>15</xdr:col>
      <xdr:colOff>843850</xdr:colOff>
      <xdr:row>7</xdr:row>
      <xdr:rowOff>805750</xdr:rowOff>
    </xdr:to>
    <xdr:pic>
      <xdr:nvPicPr>
        <xdr:cNvPr id="142" name="Picture 141" descr=" 8, 8,12,12,">
          <a:extLst>
            <a:ext uri="{FF2B5EF4-FFF2-40B4-BE49-F238E27FC236}">
              <a16:creationId xmlns:a16="http://schemas.microsoft.com/office/drawing/2014/main" id="{9E138EC7-E0F3-2D48-A33D-7B23ADC49B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922250" y="603250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69850</xdr:colOff>
      <xdr:row>5</xdr:row>
      <xdr:rowOff>53975</xdr:rowOff>
    </xdr:from>
    <xdr:to>
      <xdr:col>15</xdr:col>
      <xdr:colOff>843850</xdr:colOff>
      <xdr:row>5</xdr:row>
      <xdr:rowOff>827975</xdr:rowOff>
    </xdr:to>
    <xdr:pic>
      <xdr:nvPicPr>
        <xdr:cNvPr id="143" name="Picture 142" descr=" 1, 1, 2, 2,">
          <a:extLst>
            <a:ext uri="{FF2B5EF4-FFF2-40B4-BE49-F238E27FC236}">
              <a16:creationId xmlns:a16="http://schemas.microsoft.com/office/drawing/2014/main" id="{E40FB59D-B749-A14C-962A-039A6EC6E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2860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88900</xdr:colOff>
      <xdr:row>3</xdr:row>
      <xdr:rowOff>41275</xdr:rowOff>
    </xdr:from>
    <xdr:to>
      <xdr:col>15</xdr:col>
      <xdr:colOff>5650</xdr:colOff>
      <xdr:row>3</xdr:row>
      <xdr:rowOff>815275</xdr:rowOff>
    </xdr:to>
    <xdr:pic>
      <xdr:nvPicPr>
        <xdr:cNvPr id="144" name="Picture 143" descr="12,12,12,12,">
          <a:extLst>
            <a:ext uri="{FF2B5EF4-FFF2-40B4-BE49-F238E27FC236}">
              <a16:creationId xmlns:a16="http://schemas.microsoft.com/office/drawing/2014/main" id="{C604939A-0776-EE4F-A51E-D8E1001218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090400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73025</xdr:colOff>
      <xdr:row>8</xdr:row>
      <xdr:rowOff>57150</xdr:rowOff>
    </xdr:from>
    <xdr:to>
      <xdr:col>27</xdr:col>
      <xdr:colOff>847025</xdr:colOff>
      <xdr:row>8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7D82DEFF-CC18-5448-BBAE-6EFED9AD26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8775" y="6915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6</xdr:row>
      <xdr:rowOff>41275</xdr:rowOff>
    </xdr:from>
    <xdr:to>
      <xdr:col>7</xdr:col>
      <xdr:colOff>799400</xdr:colOff>
      <xdr:row>6</xdr:row>
      <xdr:rowOff>815275</xdr:rowOff>
    </xdr:to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78FFB1C3-0DD9-674D-8780-628116638E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1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8</xdr:row>
      <xdr:rowOff>31750</xdr:rowOff>
    </xdr:from>
    <xdr:to>
      <xdr:col>10</xdr:col>
      <xdr:colOff>823737</xdr:colOff>
      <xdr:row>8</xdr:row>
      <xdr:rowOff>807862</xdr:rowOff>
    </xdr:to>
    <xdr:pic>
      <xdr:nvPicPr>
        <xdr:cNvPr id="148" name="Picture 147" descr="18,18,18,18,">
          <a:extLst>
            <a:ext uri="{FF2B5EF4-FFF2-40B4-BE49-F238E27FC236}">
              <a16:creationId xmlns:a16="http://schemas.microsoft.com/office/drawing/2014/main" id="{1F292E57-E787-5648-A195-A2F547BC8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620125" y="688975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6</xdr:row>
      <xdr:rowOff>28575</xdr:rowOff>
    </xdr:from>
    <xdr:to>
      <xdr:col>27</xdr:col>
      <xdr:colOff>818450</xdr:colOff>
      <xdr:row>6</xdr:row>
      <xdr:rowOff>802575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830905A9-CA9C-1D42-93D5-54EA8C23B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90200" y="517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53975</xdr:colOff>
      <xdr:row>6</xdr:row>
      <xdr:rowOff>53975</xdr:rowOff>
    </xdr:from>
    <xdr:to>
      <xdr:col>29</xdr:col>
      <xdr:colOff>827975</xdr:colOff>
      <xdr:row>6</xdr:row>
      <xdr:rowOff>827975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2335F574-72D6-D342-983A-FE6358219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14225" y="5197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79375</xdr:colOff>
      <xdr:row>7</xdr:row>
      <xdr:rowOff>79375</xdr:rowOff>
    </xdr:from>
    <xdr:to>
      <xdr:col>29</xdr:col>
      <xdr:colOff>853375</xdr:colOff>
      <xdr:row>7</xdr:row>
      <xdr:rowOff>853375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0CA0790D-4DC8-BE44-8C28-A92B48BF6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9625" y="6080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88900</xdr:colOff>
      <xdr:row>8</xdr:row>
      <xdr:rowOff>73025</xdr:rowOff>
    </xdr:from>
    <xdr:to>
      <xdr:col>30</xdr:col>
      <xdr:colOff>5650</xdr:colOff>
      <xdr:row>8</xdr:row>
      <xdr:rowOff>847025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EAF877C5-3EF8-8445-B1AB-F49676263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49150" y="693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25400</xdr:colOff>
      <xdr:row>8</xdr:row>
      <xdr:rowOff>22225</xdr:rowOff>
    </xdr:from>
    <xdr:to>
      <xdr:col>11</xdr:col>
      <xdr:colOff>799400</xdr:colOff>
      <xdr:row>8</xdr:row>
      <xdr:rowOff>796225</xdr:rowOff>
    </xdr:to>
    <xdr:pic>
      <xdr:nvPicPr>
        <xdr:cNvPr id="153" name="Picture 152" descr=" 1,19, 2, 2,">
          <a:extLst>
            <a:ext uri="{FF2B5EF4-FFF2-40B4-BE49-F238E27FC236}">
              <a16:creationId xmlns:a16="http://schemas.microsoft.com/office/drawing/2014/main" id="{FEE9417A-4C84-4748-B8E7-35B066C3A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9455150" y="688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2</xdr:row>
      <xdr:rowOff>47625</xdr:rowOff>
    </xdr:from>
    <xdr:to>
      <xdr:col>11</xdr:col>
      <xdr:colOff>808925</xdr:colOff>
      <xdr:row>2</xdr:row>
      <xdr:rowOff>821625</xdr:rowOff>
    </xdr:to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1FE2383D-8AF9-AD43-A6D1-CE21F97DF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8</xdr:row>
      <xdr:rowOff>47625</xdr:rowOff>
    </xdr:from>
    <xdr:to>
      <xdr:col>28</xdr:col>
      <xdr:colOff>837500</xdr:colOff>
      <xdr:row>8</xdr:row>
      <xdr:rowOff>821625</xdr:rowOff>
    </xdr:to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7E51E8B9-762A-954A-BB38-193C331AD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665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3</xdr:row>
      <xdr:rowOff>31750</xdr:rowOff>
    </xdr:from>
    <xdr:to>
      <xdr:col>29</xdr:col>
      <xdr:colOff>821625</xdr:colOff>
      <xdr:row>3</xdr:row>
      <xdr:rowOff>805750</xdr:rowOff>
    </xdr:to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239EB695-8C7D-764B-93DC-EF703E33F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07875" y="2603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73025</xdr:colOff>
      <xdr:row>4</xdr:row>
      <xdr:rowOff>57150</xdr:rowOff>
    </xdr:from>
    <xdr:to>
      <xdr:col>29</xdr:col>
      <xdr:colOff>847025</xdr:colOff>
      <xdr:row>4</xdr:row>
      <xdr:rowOff>831150</xdr:rowOff>
    </xdr:to>
    <xdr:pic>
      <xdr:nvPicPr>
        <xdr:cNvPr id="158" name="Picture 157" descr=" 1, 1, 2, 2,">
          <a:extLst>
            <a:ext uri="{FF2B5EF4-FFF2-40B4-BE49-F238E27FC236}">
              <a16:creationId xmlns:a16="http://schemas.microsoft.com/office/drawing/2014/main" id="{8EAC4E46-9CDF-FE4C-84B6-67EA46E910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33275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82550</xdr:colOff>
      <xdr:row>5</xdr:row>
      <xdr:rowOff>50800</xdr:rowOff>
    </xdr:from>
    <xdr:to>
      <xdr:col>29</xdr:col>
      <xdr:colOff>856550</xdr:colOff>
      <xdr:row>5</xdr:row>
      <xdr:rowOff>824800</xdr:rowOff>
    </xdr:to>
    <xdr:pic>
      <xdr:nvPicPr>
        <xdr:cNvPr id="159" name="Picture 158" descr=" 1, 1, 2, 2,">
          <a:extLst>
            <a:ext uri="{FF2B5EF4-FFF2-40B4-BE49-F238E27FC236}">
              <a16:creationId xmlns:a16="http://schemas.microsoft.com/office/drawing/2014/main" id="{1CAF45A6-717A-7041-925F-074E3D28D9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942800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42332</xdr:colOff>
      <xdr:row>5</xdr:row>
      <xdr:rowOff>39157</xdr:rowOff>
    </xdr:from>
    <xdr:to>
      <xdr:col>25</xdr:col>
      <xdr:colOff>832555</xdr:colOff>
      <xdr:row>5</xdr:row>
      <xdr:rowOff>829380</xdr:rowOff>
    </xdr:to>
    <xdr:pic>
      <xdr:nvPicPr>
        <xdr:cNvPr id="160" name="Picture 159" descr="Item:Lever_RH,Pos:1,Data:2">
          <a:extLst>
            <a:ext uri="{FF2B5EF4-FFF2-40B4-BE49-F238E27FC236}">
              <a16:creationId xmlns:a16="http://schemas.microsoft.com/office/drawing/2014/main" id="{811A6466-4B1A-A542-B375-4A6E536A26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1473582" y="432540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7</xdr:row>
      <xdr:rowOff>88900</xdr:rowOff>
    </xdr:from>
    <xdr:to>
      <xdr:col>28</xdr:col>
      <xdr:colOff>853375</xdr:colOff>
      <xdr:row>8</xdr:row>
      <xdr:rowOff>5650</xdr:rowOff>
    </xdr:to>
    <xdr:pic>
      <xdr:nvPicPr>
        <xdr:cNvPr id="162" name="Picture 161" descr="12,12, 7, 7,">
          <a:extLst>
            <a:ext uri="{FF2B5EF4-FFF2-40B4-BE49-F238E27FC236}">
              <a16:creationId xmlns:a16="http://schemas.microsoft.com/office/drawing/2014/main" id="{387D7135-2321-294A-82B7-447A4B713B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4076025" y="6089650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73025</xdr:colOff>
      <xdr:row>6</xdr:row>
      <xdr:rowOff>73025</xdr:rowOff>
    </xdr:from>
    <xdr:to>
      <xdr:col>28</xdr:col>
      <xdr:colOff>853375</xdr:colOff>
      <xdr:row>6</xdr:row>
      <xdr:rowOff>847025</xdr:rowOff>
    </xdr:to>
    <xdr:pic>
      <xdr:nvPicPr>
        <xdr:cNvPr id="163" name="Picture 162" descr="12,12,12,12,">
          <a:extLst>
            <a:ext uri="{FF2B5EF4-FFF2-40B4-BE49-F238E27FC236}">
              <a16:creationId xmlns:a16="http://schemas.microsoft.com/office/drawing/2014/main" id="{B88E77F5-0F48-4445-B5BC-D6F81A4D39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076025" y="5216525"/>
          <a:ext cx="78035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114300</xdr:colOff>
      <xdr:row>4</xdr:row>
      <xdr:rowOff>63500</xdr:rowOff>
    </xdr:from>
    <xdr:to>
      <xdr:col>29</xdr:col>
      <xdr:colOff>31050</xdr:colOff>
      <xdr:row>4</xdr:row>
      <xdr:rowOff>837500</xdr:rowOff>
    </xdr:to>
    <xdr:pic>
      <xdr:nvPicPr>
        <xdr:cNvPr id="164" name="Picture 163" descr=" 8, 8,12,12,">
          <a:extLst>
            <a:ext uri="{FF2B5EF4-FFF2-40B4-BE49-F238E27FC236}">
              <a16:creationId xmlns:a16="http://schemas.microsoft.com/office/drawing/2014/main" id="{51BDEDDD-9E39-714C-B508-52DDF4F6F3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4117300" y="349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120650</xdr:colOff>
      <xdr:row>5</xdr:row>
      <xdr:rowOff>73025</xdr:rowOff>
    </xdr:from>
    <xdr:to>
      <xdr:col>29</xdr:col>
      <xdr:colOff>37400</xdr:colOff>
      <xdr:row>5</xdr:row>
      <xdr:rowOff>847025</xdr:rowOff>
    </xdr:to>
    <xdr:pic>
      <xdr:nvPicPr>
        <xdr:cNvPr id="165" name="Picture 164" descr="12,12,12,12,">
          <a:extLst>
            <a:ext uri="{FF2B5EF4-FFF2-40B4-BE49-F238E27FC236}">
              <a16:creationId xmlns:a16="http://schemas.microsoft.com/office/drawing/2014/main" id="{551D440D-FB61-134E-991E-4DEF3898AF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4123650" y="435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82550</xdr:colOff>
      <xdr:row>4</xdr:row>
      <xdr:rowOff>50800</xdr:rowOff>
    </xdr:from>
    <xdr:to>
      <xdr:col>25</xdr:col>
      <xdr:colOff>856550</xdr:colOff>
      <xdr:row>4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2E8AD824-882A-7C4E-BE9A-7A05E5D3C9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138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92075</xdr:colOff>
      <xdr:row>4</xdr:row>
      <xdr:rowOff>44450</xdr:rowOff>
    </xdr:from>
    <xdr:to>
      <xdr:col>27</xdr:col>
      <xdr:colOff>8825</xdr:colOff>
      <xdr:row>4</xdr:row>
      <xdr:rowOff>818450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8D8032F8-9D13-6040-8F94-3B80DAD39B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8057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69850</xdr:colOff>
      <xdr:row>4</xdr:row>
      <xdr:rowOff>38100</xdr:rowOff>
    </xdr:from>
    <xdr:to>
      <xdr:col>27</xdr:col>
      <xdr:colOff>843850</xdr:colOff>
      <xdr:row>4</xdr:row>
      <xdr:rowOff>812100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467C6131-C1DC-CC4B-9E72-7B6E22ACF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215600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57150</xdr:colOff>
      <xdr:row>5</xdr:row>
      <xdr:rowOff>41275</xdr:rowOff>
    </xdr:from>
    <xdr:to>
      <xdr:col>12</xdr:col>
      <xdr:colOff>831150</xdr:colOff>
      <xdr:row>5</xdr:row>
      <xdr:rowOff>815275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7C486BB7-F075-AC43-B2E1-DF1C721CC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4150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35982</xdr:colOff>
      <xdr:row>7</xdr:row>
      <xdr:rowOff>64557</xdr:rowOff>
    </xdr:from>
    <xdr:to>
      <xdr:col>24</xdr:col>
      <xdr:colOff>826205</xdr:colOff>
      <xdr:row>7</xdr:row>
      <xdr:rowOff>854780</xdr:rowOff>
    </xdr:to>
    <xdr:pic>
      <xdr:nvPicPr>
        <xdr:cNvPr id="170" name="Picture 169" descr="Item:Lever_RH,Pos:1,Data:3">
          <a:extLst>
            <a:ext uri="{FF2B5EF4-FFF2-40B4-BE49-F238E27FC236}">
              <a16:creationId xmlns:a16="http://schemas.microsoft.com/office/drawing/2014/main" id="{EC3CB05B-F77A-C24A-84D2-43AA825D8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0609982" y="6065307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3</xdr:row>
      <xdr:rowOff>47625</xdr:rowOff>
    </xdr:from>
    <xdr:to>
      <xdr:col>28</xdr:col>
      <xdr:colOff>847309</xdr:colOff>
      <xdr:row>3</xdr:row>
      <xdr:rowOff>831434</xdr:rowOff>
    </xdr:to>
    <xdr:pic>
      <xdr:nvPicPr>
        <xdr:cNvPr id="171" name="Picture 170" descr="Item:Lever_Portal_Open,Pos:2">
          <a:extLst>
            <a:ext uri="{FF2B5EF4-FFF2-40B4-BE49-F238E27FC236}">
              <a16:creationId xmlns:a16="http://schemas.microsoft.com/office/drawing/2014/main" id="{634364A4-D0D0-774B-9473-8882510FAA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4066500" y="261937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27</xdr:col>
      <xdr:colOff>31750</xdr:colOff>
      <xdr:row>3</xdr:row>
      <xdr:rowOff>63500</xdr:rowOff>
    </xdr:from>
    <xdr:to>
      <xdr:col>27</xdr:col>
      <xdr:colOff>818445</xdr:colOff>
      <xdr:row>3</xdr:row>
      <xdr:rowOff>839612</xdr:rowOff>
    </xdr:to>
    <xdr:pic>
      <xdr:nvPicPr>
        <xdr:cNvPr id="172" name="Picture 171" descr="Item:Lever_Portal_Auto_Closed,Pos:2,Data:1024">
          <a:extLst>
            <a:ext uri="{FF2B5EF4-FFF2-40B4-BE49-F238E27FC236}">
              <a16:creationId xmlns:a16="http://schemas.microsoft.com/office/drawing/2014/main" id="{B0D541BB-7E05-1746-88DF-9B15291BD7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23177500" y="2635250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47625</xdr:colOff>
      <xdr:row>11</xdr:row>
      <xdr:rowOff>47625</xdr:rowOff>
    </xdr:from>
    <xdr:to>
      <xdr:col>30</xdr:col>
      <xdr:colOff>841375</xdr:colOff>
      <xdr:row>11</xdr:row>
      <xdr:rowOff>841375</xdr:rowOff>
    </xdr:to>
    <xdr:pic>
      <xdr:nvPicPr>
        <xdr:cNvPr id="81" name="Picture 156" descr=" 0, 0, 3, 3,">
          <a:extLst>
            <a:ext uri="{FF2B5EF4-FFF2-40B4-BE49-F238E27FC236}">
              <a16:creationId xmlns:a16="http://schemas.microsoft.com/office/drawing/2014/main" id="{E0C11FA0-5E7C-1540-AD42-102B8279AF37}"/>
            </a:ext>
            <a:ext uri="{147F2762-F138-4A5C-976F-8EAC2B608ADB}">
              <a16:predDERef xmlns:a16="http://schemas.microsoft.com/office/drawing/2014/main" pred="{DE779F37-6E30-4CC9-8D25-7B200FAAEA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6512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79374</xdr:colOff>
      <xdr:row>12</xdr:row>
      <xdr:rowOff>47624</xdr:rowOff>
    </xdr:from>
    <xdr:to>
      <xdr:col>31</xdr:col>
      <xdr:colOff>0</xdr:colOff>
      <xdr:row>12</xdr:row>
      <xdr:rowOff>825500</xdr:rowOff>
    </xdr:to>
    <xdr:pic>
      <xdr:nvPicPr>
        <xdr:cNvPr id="99" name="Picture 157" descr=" 2, 2, 3, 3,">
          <a:extLst>
            <a:ext uri="{FF2B5EF4-FFF2-40B4-BE49-F238E27FC236}">
              <a16:creationId xmlns:a16="http://schemas.microsoft.com/office/drawing/2014/main" id="{9A6B3A16-4774-A142-B4FD-5376967CB292}"/>
            </a:ext>
            <a:ext uri="{147F2762-F138-4A5C-976F-8EAC2B608ADB}">
              <a16:predDERef xmlns:a16="http://schemas.microsoft.com/office/drawing/2014/main" pred="{DF9D1590-DAEA-44DC-8BA1-8BBB63D704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96874" y="10334624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7</xdr:col>
      <xdr:colOff>82550</xdr:colOff>
      <xdr:row>3</xdr:row>
      <xdr:rowOff>12700</xdr:rowOff>
    </xdr:from>
    <xdr:to>
      <xdr:col>7</xdr:col>
      <xdr:colOff>856550</xdr:colOff>
      <xdr:row>3</xdr:row>
      <xdr:rowOff>786700</xdr:rowOff>
    </xdr:to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66854811-41F5-A94B-8719-D12D93839A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83300" y="2584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79375</xdr:colOff>
      <xdr:row>11</xdr:row>
      <xdr:rowOff>47625</xdr:rowOff>
    </xdr:from>
    <xdr:to>
      <xdr:col>32</xdr:col>
      <xdr:colOff>15875</xdr:colOff>
      <xdr:row>11</xdr:row>
      <xdr:rowOff>841375</xdr:rowOff>
    </xdr:to>
    <xdr:pic>
      <xdr:nvPicPr>
        <xdr:cNvPr id="146" name="Picture 145" descr="42,42,42,42, ">
          <a:extLst>
            <a:ext uri="{FF2B5EF4-FFF2-40B4-BE49-F238E27FC236}">
              <a16:creationId xmlns:a16="http://schemas.microsoft.com/office/drawing/2014/main" id="{C38F6514-4434-A74F-827A-630EFB92E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65412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95249</xdr:colOff>
      <xdr:row>12</xdr:row>
      <xdr:rowOff>31749</xdr:rowOff>
    </xdr:from>
    <xdr:to>
      <xdr:col>32</xdr:col>
      <xdr:colOff>47624</xdr:colOff>
      <xdr:row>12</xdr:row>
      <xdr:rowOff>841374</xdr:rowOff>
    </xdr:to>
    <xdr:pic>
      <xdr:nvPicPr>
        <xdr:cNvPr id="161" name="Picture 160" descr="43,43,43,43, ">
          <a:extLst>
            <a:ext uri="{FF2B5EF4-FFF2-40B4-BE49-F238E27FC236}">
              <a16:creationId xmlns:a16="http://schemas.microsoft.com/office/drawing/2014/main" id="{7E8676E0-E606-484A-858A-6B7EAB876F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669999" y="1031874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3</xdr:row>
      <xdr:rowOff>47625</xdr:rowOff>
    </xdr:from>
    <xdr:to>
      <xdr:col>3</xdr:col>
      <xdr:colOff>1</xdr:colOff>
      <xdr:row>3</xdr:row>
      <xdr:rowOff>825501</xdr:rowOff>
    </xdr:to>
    <xdr:pic>
      <xdr:nvPicPr>
        <xdr:cNvPr id="173" name="Picture 172" descr=" 0, 5, 6, 2, ">
          <a:extLst>
            <a:ext uri="{FF2B5EF4-FFF2-40B4-BE49-F238E27FC236}">
              <a16:creationId xmlns:a16="http://schemas.microsoft.com/office/drawing/2014/main" id="{AA612C6D-82CF-D44B-AC74-6945011031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9387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79375</xdr:colOff>
      <xdr:row>4</xdr:row>
      <xdr:rowOff>47625</xdr:rowOff>
    </xdr:from>
    <xdr:to>
      <xdr:col>2</xdr:col>
      <xdr:colOff>841375</xdr:colOff>
      <xdr:row>4</xdr:row>
      <xdr:rowOff>809625</xdr:rowOff>
    </xdr:to>
    <xdr:pic>
      <xdr:nvPicPr>
        <xdr:cNvPr id="174" name="Picture 173" descr=" 9, 0, 2,11, ">
          <a:extLst>
            <a:ext uri="{FF2B5EF4-FFF2-40B4-BE49-F238E27FC236}">
              <a16:creationId xmlns:a16="http://schemas.microsoft.com/office/drawing/2014/main" id="{6B26DC72-37E3-F642-8760-2FE3FBCBA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93875" y="3476625"/>
          <a:ext cx="762000" cy="762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D602A75-7C40-0444-BF8F-60098264B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685C7FC9-17D9-FC42-BB75-7C7DC4370C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C339365-89E8-C34A-BE8C-994F846514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646728A-4F4F-5A45-BB19-F87A5BDF81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4B7659F1-EA26-9E44-B709-B0C64BE7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6B64314E-0159-2E48-80CC-B1CD6C8BE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CBB0379E-2BF4-BF47-8C09-6B132B5492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398CE17-E2F2-F84B-A6F2-827D14D7F8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D37AAA4-BBD6-1244-B9B3-F43298FB0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21EE9EC-9750-E247-ADE1-F0811E529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08A0F64-22EF-CE44-8A5C-E8F970CDA1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9A554207-FEC5-9641-835E-DAC5B4558C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C5E489F7-BCD8-A343-A6F5-89EEA61CD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13B927A3-E520-BD4C-BEB6-9AE9C82661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EDF92D42-22A0-DB43-AF81-6839BCE27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ABED8726-4594-424A-93BF-48937A072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5D9CCDF9-A90B-DA42-AC85-A367003C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53747F7F-2C13-C544-8D24-028124891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D641971-C1CB-B94E-B83B-041FBA020F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E5D2CC80-1628-8242-85B9-DF6C6343C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C482C55-5141-BF45-97C9-215A3B941D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72944BC-039A-0A4D-B6B5-BA20A64631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9E7FE430-717A-734C-BCE3-55C0FFC65F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4125E304-BFE3-BC49-B6B4-2D8955D476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6E13C046-A95E-D04B-80E0-B3DF7F70DD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5E1E5E2B-848D-F44F-878B-E7D6CFEE1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3DD96EF-955B-3642-B5C5-8ECEBC5798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94A04DA-64C8-0F48-BE6A-43494AE647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C50993B4-5E1B-114C-A83D-5AA645B934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46CE6EDA-5B31-8A44-BB85-C84437CAF0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1BAE862D-24A3-F247-818E-59864BB2E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BBD5CFE2-2DEF-0B45-B640-ED28B9DDEB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F7D3C137-F01A-2A44-B471-E8886AB73A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479E0A0-571E-9042-B252-D345E4D907E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665DD4C2-D7D7-3C4D-B743-44BCC5C6EA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640C8938-C35E-2B40-ABFC-35B8E92E630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FBF3B7A5-60C3-7146-9395-E07F73E096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D6DB96E5-6910-C348-84ED-8CC6595E6DE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7936B3C5-B552-0747-AA7F-45EA436BC38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00EA0363-6CB2-A046-B569-00E02438C8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23A5FF91-E233-7740-B931-95C80FA871D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E22BE852-A439-E34A-B7FE-16C47C20B0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573EBBE-B9FF-E946-9552-1AA8DC99F68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FD19F0EE-40FF-2441-8A10-E104BD2CF0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02EC95D-9CD5-F04F-8A05-5D37C16F27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FC14547-AE11-DC49-B4C1-1376DE9FE13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43177515-ECF4-6F41-8CCE-2F931B54D4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AE916B89-DE47-A64A-82FD-2951C03FFDE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C4E1543-8FE7-E342-AE2A-E366C6B1BEA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7AADBC1-D2CF-5445-8640-6B38748208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A74C5A8-9867-E449-9E59-21F8DED73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76B9C9C-48C1-9249-A50C-7C6BE023A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4BE26E0-9B83-9944-A503-76ECE503E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9556044"/>
          <a:ext cx="2463799" cy="165641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F07696C4-A79A-5F43-A809-49F3110468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19375AC-26AB-8044-BF43-13D0972BD8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6B02508D-453A-8E43-B66E-0CFDF5AA03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96380B24-3D35-A54D-94AF-CA3610571F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EBAF3F25-85E1-354B-9074-53F8A48981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750C93DD-B0CD-6C4D-AE8D-FD89211911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F98761DA-4E8F-5943-A5CE-D121A047A1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686CF58F-5EF2-EE4B-986B-B60F34FFD3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3B43B5F9-5239-6840-9B42-C001A5B3F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115B81E-ABE0-6F48-8193-CCAF5EDFC6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53F5CF8B-5667-674F-9959-32185B3C61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8C349846-6877-964A-80FB-6AB1119E9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503652F-EF5F-5045-B462-7A9A1EECF2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E421BFE-0760-4442-B052-CC6E99A3AD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25</xdr:col>
      <xdr:colOff>70234</xdr:colOff>
      <xdr:row>7</xdr:row>
      <xdr:rowOff>39767</xdr:rowOff>
    </xdr:from>
    <xdr:to>
      <xdr:col>26</xdr:col>
      <xdr:colOff>31750</xdr:colOff>
      <xdr:row>7</xdr:row>
      <xdr:rowOff>836405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E4A254D2-6E92-0040-9179-5D5818BF1A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1501484" y="6040517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EA09E1EC-819A-6A4F-84EB-34B1BDCF60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58207</xdr:colOff>
      <xdr:row>8</xdr:row>
      <xdr:rowOff>59973</xdr:rowOff>
    </xdr:from>
    <xdr:to>
      <xdr:col>29</xdr:col>
      <xdr:colOff>834319</xdr:colOff>
      <xdr:row>8</xdr:row>
      <xdr:rowOff>836085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7E02321F-E18E-4948-BB6E-D1799EC4FB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8457" y="691797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B5CA1F70-49EE-B648-A4EE-A2F868FB90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5</xdr:col>
      <xdr:colOff>63500</xdr:colOff>
      <xdr:row>8</xdr:row>
      <xdr:rowOff>31750</xdr:rowOff>
    </xdr:from>
    <xdr:to>
      <xdr:col>5</xdr:col>
      <xdr:colOff>837500</xdr:colOff>
      <xdr:row>8</xdr:row>
      <xdr:rowOff>805750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76F63697-0E33-4E49-BB4C-1899D9F7F5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97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57150</xdr:colOff>
      <xdr:row>7</xdr:row>
      <xdr:rowOff>57150</xdr:rowOff>
    </xdr:from>
    <xdr:to>
      <xdr:col>5</xdr:col>
      <xdr:colOff>831150</xdr:colOff>
      <xdr:row>7</xdr:row>
      <xdr:rowOff>831150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0B208C17-6416-444A-B0A8-CE5FB0078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3400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34925</xdr:colOff>
      <xdr:row>3</xdr:row>
      <xdr:rowOff>66675</xdr:rowOff>
    </xdr:from>
    <xdr:to>
      <xdr:col>12</xdr:col>
      <xdr:colOff>808925</xdr:colOff>
      <xdr:row>3</xdr:row>
      <xdr:rowOff>840675</xdr:rowOff>
    </xdr:to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63C29F8E-D908-054C-9F3A-A2BECDCC45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1925" y="2638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60325</xdr:colOff>
      <xdr:row>6</xdr:row>
      <xdr:rowOff>60325</xdr:rowOff>
    </xdr:from>
    <xdr:to>
      <xdr:col>5</xdr:col>
      <xdr:colOff>834325</xdr:colOff>
      <xdr:row>6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7F92E3C9-3226-014C-ADD6-810A6D02DF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346575" y="5203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57150</xdr:colOff>
      <xdr:row>8</xdr:row>
      <xdr:rowOff>25400</xdr:rowOff>
    </xdr:from>
    <xdr:to>
      <xdr:col>11</xdr:col>
      <xdr:colOff>831150</xdr:colOff>
      <xdr:row>8</xdr:row>
      <xdr:rowOff>799400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9E4F093C-6B8E-A740-8012-C3D661EEE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869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7</xdr:row>
      <xdr:rowOff>60325</xdr:rowOff>
    </xdr:from>
    <xdr:to>
      <xdr:col>9</xdr:col>
      <xdr:colOff>818450</xdr:colOff>
      <xdr:row>7</xdr:row>
      <xdr:rowOff>834325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926209B8-0D28-F94E-A487-2E0F01BCA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59700" y="6061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8</xdr:row>
      <xdr:rowOff>47625</xdr:rowOff>
    </xdr:from>
    <xdr:to>
      <xdr:col>9</xdr:col>
      <xdr:colOff>821625</xdr:colOff>
      <xdr:row>8</xdr:row>
      <xdr:rowOff>821625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E1A43F40-C299-6C4B-9EFD-13C2E0D7EE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47625</xdr:colOff>
      <xdr:row>7</xdr:row>
      <xdr:rowOff>47625</xdr:rowOff>
    </xdr:from>
    <xdr:to>
      <xdr:col>10</xdr:col>
      <xdr:colOff>821625</xdr:colOff>
      <xdr:row>7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BC4FFF6A-147D-E048-8210-A1F20B4955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0125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31750</xdr:rowOff>
    </xdr:from>
    <xdr:to>
      <xdr:col>11</xdr:col>
      <xdr:colOff>821625</xdr:colOff>
      <xdr:row>4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AB4BB88E-256B-A948-B744-8416A5C0A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8</xdr:row>
      <xdr:rowOff>31750</xdr:rowOff>
    </xdr:from>
    <xdr:to>
      <xdr:col>12</xdr:col>
      <xdr:colOff>821625</xdr:colOff>
      <xdr:row>8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7E17477A-4D59-9245-BCAC-A524F87643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7</xdr:row>
      <xdr:rowOff>44450</xdr:rowOff>
    </xdr:from>
    <xdr:to>
      <xdr:col>11</xdr:col>
      <xdr:colOff>840675</xdr:colOff>
      <xdr:row>7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EAD51311-55BC-F44D-BC9B-DE944D3A5A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496425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47625</xdr:rowOff>
    </xdr:from>
    <xdr:to>
      <xdr:col>7</xdr:col>
      <xdr:colOff>824800</xdr:colOff>
      <xdr:row>8</xdr:row>
      <xdr:rowOff>821625</xdr:rowOff>
    </xdr:to>
    <xdr:pic>
      <xdr:nvPicPr>
        <xdr:cNvPr id="101" name="Picture 100" descr="16, 0, 1, 1,">
          <a:extLst>
            <a:ext uri="{FF2B5EF4-FFF2-40B4-BE49-F238E27FC236}">
              <a16:creationId xmlns:a16="http://schemas.microsoft.com/office/drawing/2014/main" id="{5995A105-7227-634A-B7FB-AF2C47B15F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0515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38100</xdr:colOff>
      <xdr:row>5</xdr:row>
      <xdr:rowOff>53975</xdr:rowOff>
    </xdr:from>
    <xdr:to>
      <xdr:col>11</xdr:col>
      <xdr:colOff>812100</xdr:colOff>
      <xdr:row>5</xdr:row>
      <xdr:rowOff>827975</xdr:rowOff>
    </xdr:to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37F3843F-BD9D-274E-B486-6BD465C526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7850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8</xdr:row>
      <xdr:rowOff>31750</xdr:rowOff>
    </xdr:from>
    <xdr:to>
      <xdr:col>6</xdr:col>
      <xdr:colOff>821625</xdr:colOff>
      <xdr:row>8</xdr:row>
      <xdr:rowOff>805750</xdr:rowOff>
    </xdr:to>
    <xdr:pic>
      <xdr:nvPicPr>
        <xdr:cNvPr id="107" name="Picture 106" descr=" 0, 0, 1, 1">
          <a:extLst>
            <a:ext uri="{FF2B5EF4-FFF2-40B4-BE49-F238E27FC236}">
              <a16:creationId xmlns:a16="http://schemas.microsoft.com/office/drawing/2014/main" id="{5E6CE2C4-A6A2-6545-9036-31FD4D57CE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91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8</xdr:row>
      <xdr:rowOff>41275</xdr:rowOff>
    </xdr:from>
    <xdr:to>
      <xdr:col>8</xdr:col>
      <xdr:colOff>831150</xdr:colOff>
      <xdr:row>8</xdr:row>
      <xdr:rowOff>815275</xdr:rowOff>
    </xdr:to>
    <xdr:pic>
      <xdr:nvPicPr>
        <xdr:cNvPr id="108" name="Picture 107" descr=" 0, 0, 1, 1">
          <a:extLst>
            <a:ext uri="{FF2B5EF4-FFF2-40B4-BE49-F238E27FC236}">
              <a16:creationId xmlns:a16="http://schemas.microsoft.com/office/drawing/2014/main" id="{3FDB9FFE-BB1B-6743-8826-B5FB4F70C6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915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47625</xdr:colOff>
      <xdr:row>6</xdr:row>
      <xdr:rowOff>63500</xdr:rowOff>
    </xdr:from>
    <xdr:to>
      <xdr:col>6</xdr:col>
      <xdr:colOff>821625</xdr:colOff>
      <xdr:row>6</xdr:row>
      <xdr:rowOff>837500</xdr:rowOff>
    </xdr:to>
    <xdr:pic>
      <xdr:nvPicPr>
        <xdr:cNvPr id="109" name="Picture 108" descr="15,15, 0, 0,">
          <a:extLst>
            <a:ext uri="{FF2B5EF4-FFF2-40B4-BE49-F238E27FC236}">
              <a16:creationId xmlns:a16="http://schemas.microsoft.com/office/drawing/2014/main" id="{9372B080-AAFE-7D47-9631-F4ADAED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191125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57150</xdr:colOff>
      <xdr:row>6</xdr:row>
      <xdr:rowOff>57150</xdr:rowOff>
    </xdr:from>
    <xdr:to>
      <xdr:col>7</xdr:col>
      <xdr:colOff>831150</xdr:colOff>
      <xdr:row>6</xdr:row>
      <xdr:rowOff>831150</xdr:rowOff>
    </xdr:to>
    <xdr:pic>
      <xdr:nvPicPr>
        <xdr:cNvPr id="110" name="Picture 109" descr="15,15, 0, 0,">
          <a:extLst>
            <a:ext uri="{FF2B5EF4-FFF2-40B4-BE49-F238E27FC236}">
              <a16:creationId xmlns:a16="http://schemas.microsoft.com/office/drawing/2014/main" id="{6D695BAB-9B74-164A-9A73-E0FB17C5B5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7900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6</xdr:row>
      <xdr:rowOff>66675</xdr:rowOff>
    </xdr:from>
    <xdr:to>
      <xdr:col>8</xdr:col>
      <xdr:colOff>840675</xdr:colOff>
      <xdr:row>6</xdr:row>
      <xdr:rowOff>840675</xdr:rowOff>
    </xdr:to>
    <xdr:pic>
      <xdr:nvPicPr>
        <xdr:cNvPr id="111" name="Picture 110" descr="15,15, 0, 0,">
          <a:extLst>
            <a:ext uri="{FF2B5EF4-FFF2-40B4-BE49-F238E27FC236}">
              <a16:creationId xmlns:a16="http://schemas.microsoft.com/office/drawing/2014/main" id="{4C46F949-337D-7F4F-A241-0BD10852A9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924675" y="5210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6</xdr:row>
      <xdr:rowOff>63500</xdr:rowOff>
    </xdr:from>
    <xdr:to>
      <xdr:col>9</xdr:col>
      <xdr:colOff>818450</xdr:colOff>
      <xdr:row>6</xdr:row>
      <xdr:rowOff>837500</xdr:rowOff>
    </xdr:to>
    <xdr:pic>
      <xdr:nvPicPr>
        <xdr:cNvPr id="112" name="Picture 111" descr="15,14, 0,14,">
          <a:extLst>
            <a:ext uri="{FF2B5EF4-FFF2-40B4-BE49-F238E27FC236}">
              <a16:creationId xmlns:a16="http://schemas.microsoft.com/office/drawing/2014/main" id="{1AE02371-BE9F-6A42-8361-7E4B7EE1E2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7597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37747</xdr:colOff>
      <xdr:row>8</xdr:row>
      <xdr:rowOff>46920</xdr:rowOff>
    </xdr:from>
    <xdr:to>
      <xdr:col>10</xdr:col>
      <xdr:colOff>813859</xdr:colOff>
      <xdr:row>8</xdr:row>
      <xdr:rowOff>823032</xdr:rowOff>
    </xdr:to>
    <xdr:pic>
      <xdr:nvPicPr>
        <xdr:cNvPr id="113" name="Picture 112" descr="18,18,18,18,">
          <a:extLst>
            <a:ext uri="{FF2B5EF4-FFF2-40B4-BE49-F238E27FC236}">
              <a16:creationId xmlns:a16="http://schemas.microsoft.com/office/drawing/2014/main" id="{3D769758-DEF1-4C42-86CF-2EC8ABB236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610247" y="6904920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7</xdr:row>
      <xdr:rowOff>73025</xdr:rowOff>
    </xdr:from>
    <xdr:to>
      <xdr:col>13</xdr:col>
      <xdr:colOff>850200</xdr:colOff>
      <xdr:row>7</xdr:row>
      <xdr:rowOff>847025</xdr:rowOff>
    </xdr:to>
    <xdr:pic>
      <xdr:nvPicPr>
        <xdr:cNvPr id="114" name="Picture 113" descr="16, 0, 1, 1,">
          <a:extLst>
            <a:ext uri="{FF2B5EF4-FFF2-40B4-BE49-F238E27FC236}">
              <a16:creationId xmlns:a16="http://schemas.microsoft.com/office/drawing/2014/main" id="{3DFDD81E-30EC-7A41-B935-8E1F90E534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12204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73025</xdr:colOff>
      <xdr:row>7</xdr:row>
      <xdr:rowOff>57150</xdr:rowOff>
    </xdr:from>
    <xdr:to>
      <xdr:col>12</xdr:col>
      <xdr:colOff>847025</xdr:colOff>
      <xdr:row>7</xdr:row>
      <xdr:rowOff>831150</xdr:rowOff>
    </xdr:to>
    <xdr:pic>
      <xdr:nvPicPr>
        <xdr:cNvPr id="115" name="Picture 114" descr=" 0, 0, 1, 1">
          <a:extLst>
            <a:ext uri="{FF2B5EF4-FFF2-40B4-BE49-F238E27FC236}">
              <a16:creationId xmlns:a16="http://schemas.microsoft.com/office/drawing/2014/main" id="{5F6314E6-3859-864B-BE59-47BBD1638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0360025" y="6057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47625</xdr:colOff>
      <xdr:row>5</xdr:row>
      <xdr:rowOff>31750</xdr:rowOff>
    </xdr:from>
    <xdr:to>
      <xdr:col>12</xdr:col>
      <xdr:colOff>821625</xdr:colOff>
      <xdr:row>5</xdr:row>
      <xdr:rowOff>805750</xdr:rowOff>
    </xdr:to>
    <xdr:pic>
      <xdr:nvPicPr>
        <xdr:cNvPr id="118" name="Picture 117" descr="15,15, 0, 0,">
          <a:extLst>
            <a:ext uri="{FF2B5EF4-FFF2-40B4-BE49-F238E27FC236}">
              <a16:creationId xmlns:a16="http://schemas.microsoft.com/office/drawing/2014/main" id="{2A0CE30F-791D-9E4C-8237-2E526AF61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33462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41275</xdr:colOff>
      <xdr:row>5</xdr:row>
      <xdr:rowOff>25400</xdr:rowOff>
    </xdr:from>
    <xdr:to>
      <xdr:col>13</xdr:col>
      <xdr:colOff>815275</xdr:colOff>
      <xdr:row>5</xdr:row>
      <xdr:rowOff>799400</xdr:rowOff>
    </xdr:to>
    <xdr:pic>
      <xdr:nvPicPr>
        <xdr:cNvPr id="119" name="Picture 118" descr="15,15, 0, 0,">
          <a:extLst>
            <a:ext uri="{FF2B5EF4-FFF2-40B4-BE49-F238E27FC236}">
              <a16:creationId xmlns:a16="http://schemas.microsoft.com/office/drawing/2014/main" id="{81AFC9E5-2F40-4646-94ED-68ECCF3068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185525" y="431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66675</xdr:colOff>
      <xdr:row>5</xdr:row>
      <xdr:rowOff>34925</xdr:rowOff>
    </xdr:from>
    <xdr:to>
      <xdr:col>14</xdr:col>
      <xdr:colOff>840675</xdr:colOff>
      <xdr:row>5</xdr:row>
      <xdr:rowOff>808925</xdr:rowOff>
    </xdr:to>
    <xdr:pic>
      <xdr:nvPicPr>
        <xdr:cNvPr id="120" name="Picture 119" descr="15,15, 0, 0,">
          <a:extLst>
            <a:ext uri="{FF2B5EF4-FFF2-40B4-BE49-F238E27FC236}">
              <a16:creationId xmlns:a16="http://schemas.microsoft.com/office/drawing/2014/main" id="{6D0044EE-D00A-BA49-AB09-11E45FA3F5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068175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60325</xdr:colOff>
      <xdr:row>8</xdr:row>
      <xdr:rowOff>44450</xdr:rowOff>
    </xdr:from>
    <xdr:to>
      <xdr:col>13</xdr:col>
      <xdr:colOff>834325</xdr:colOff>
      <xdr:row>8</xdr:row>
      <xdr:rowOff>818450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53E80B19-4BA6-FB47-91F6-D119BBAFAC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4575" y="690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85725</xdr:colOff>
      <xdr:row>8</xdr:row>
      <xdr:rowOff>53975</xdr:rowOff>
    </xdr:from>
    <xdr:to>
      <xdr:col>15</xdr:col>
      <xdr:colOff>2475</xdr:colOff>
      <xdr:row>8</xdr:row>
      <xdr:rowOff>827975</xdr:rowOff>
    </xdr:to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0106B6F0-5E62-2346-A423-562C6FC5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73025</xdr:colOff>
      <xdr:row>8</xdr:row>
      <xdr:rowOff>41275</xdr:rowOff>
    </xdr:from>
    <xdr:to>
      <xdr:col>15</xdr:col>
      <xdr:colOff>847025</xdr:colOff>
      <xdr:row>8</xdr:row>
      <xdr:rowOff>815275</xdr:rowOff>
    </xdr:to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D56DFA3B-9C3E-6643-AF81-5FFDECA139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3177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50800</xdr:colOff>
      <xdr:row>7</xdr:row>
      <xdr:rowOff>66675</xdr:rowOff>
    </xdr:from>
    <xdr:to>
      <xdr:col>14</xdr:col>
      <xdr:colOff>824800</xdr:colOff>
      <xdr:row>7</xdr:row>
      <xdr:rowOff>840675</xdr:rowOff>
    </xdr:to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2ADA9378-E8F7-1F4A-A7B0-59C7F061C2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52300" y="6067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3</xdr:row>
      <xdr:rowOff>63500</xdr:rowOff>
    </xdr:from>
    <xdr:to>
      <xdr:col>16</xdr:col>
      <xdr:colOff>821625</xdr:colOff>
      <xdr:row>3</xdr:row>
      <xdr:rowOff>837500</xdr:rowOff>
    </xdr:to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0973905B-ED4A-874A-B951-4944244744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4</xdr:row>
      <xdr:rowOff>41275</xdr:rowOff>
    </xdr:from>
    <xdr:to>
      <xdr:col>10</xdr:col>
      <xdr:colOff>815275</xdr:colOff>
      <xdr:row>4</xdr:row>
      <xdr:rowOff>815275</xdr:rowOff>
    </xdr:to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912A905-F632-A54B-A370-17F4EBC60B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38100</xdr:rowOff>
    </xdr:from>
    <xdr:to>
      <xdr:col>20</xdr:col>
      <xdr:colOff>815275</xdr:colOff>
      <xdr:row>3</xdr:row>
      <xdr:rowOff>812100</xdr:rowOff>
    </xdr:to>
    <xdr:pic>
      <xdr:nvPicPr>
        <xdr:cNvPr id="130" name="Picture 129" descr=" 1,19, 2, 2,">
          <a:extLst>
            <a:ext uri="{FF2B5EF4-FFF2-40B4-BE49-F238E27FC236}">
              <a16:creationId xmlns:a16="http://schemas.microsoft.com/office/drawing/2014/main" id="{ED2644A4-4A7C-FA4B-8F08-44D47FDBCB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186275" y="2609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34925</xdr:colOff>
      <xdr:row>4</xdr:row>
      <xdr:rowOff>34925</xdr:rowOff>
    </xdr:from>
    <xdr:to>
      <xdr:col>8</xdr:col>
      <xdr:colOff>808925</xdr:colOff>
      <xdr:row>4</xdr:row>
      <xdr:rowOff>808925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8FEB4CF7-0603-1F4C-A578-4F43D1AB6A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292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4</xdr:row>
      <xdr:rowOff>47625</xdr:rowOff>
    </xdr:from>
    <xdr:to>
      <xdr:col>9</xdr:col>
      <xdr:colOff>821625</xdr:colOff>
      <xdr:row>4</xdr:row>
      <xdr:rowOff>821625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417484B2-9C8D-B84C-BC1C-0170BE211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41275</xdr:colOff>
      <xdr:row>3</xdr:row>
      <xdr:rowOff>41275</xdr:rowOff>
    </xdr:from>
    <xdr:to>
      <xdr:col>8</xdr:col>
      <xdr:colOff>815275</xdr:colOff>
      <xdr:row>3</xdr:row>
      <xdr:rowOff>815275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D46175CA-B41C-A04E-8891-6BF9E64552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99275" y="2613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3</xdr:row>
      <xdr:rowOff>63500</xdr:rowOff>
    </xdr:from>
    <xdr:to>
      <xdr:col>17</xdr:col>
      <xdr:colOff>837500</xdr:colOff>
      <xdr:row>3</xdr:row>
      <xdr:rowOff>837500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E8FF5108-28A0-814F-84AD-9E06F92F96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67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66675</xdr:colOff>
      <xdr:row>8</xdr:row>
      <xdr:rowOff>19050</xdr:rowOff>
    </xdr:from>
    <xdr:to>
      <xdr:col>16</xdr:col>
      <xdr:colOff>840675</xdr:colOff>
      <xdr:row>8</xdr:row>
      <xdr:rowOff>793050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0EC47C4E-FD2E-CA45-A452-3514991A5D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82675" y="687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57150</xdr:colOff>
      <xdr:row>8</xdr:row>
      <xdr:rowOff>25400</xdr:rowOff>
    </xdr:from>
    <xdr:to>
      <xdr:col>17</xdr:col>
      <xdr:colOff>831150</xdr:colOff>
      <xdr:row>8</xdr:row>
      <xdr:rowOff>799400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568DFD67-9E1A-A645-A9EE-0384D95F3F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30400" y="688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8</xdr:row>
      <xdr:rowOff>38100</xdr:rowOff>
    </xdr:from>
    <xdr:to>
      <xdr:col>18</xdr:col>
      <xdr:colOff>843850</xdr:colOff>
      <xdr:row>8</xdr:row>
      <xdr:rowOff>812100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5B70608C-6CE1-FB41-8931-40C401ABA6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035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95250</xdr:colOff>
      <xdr:row>8</xdr:row>
      <xdr:rowOff>47625</xdr:rowOff>
    </xdr:from>
    <xdr:to>
      <xdr:col>20</xdr:col>
      <xdr:colOff>12000</xdr:colOff>
      <xdr:row>8</xdr:row>
      <xdr:rowOff>821625</xdr:rowOff>
    </xdr:to>
    <xdr:pic>
      <xdr:nvPicPr>
        <xdr:cNvPr id="141" name="Picture 140" descr=" 1, 1, 2, 2,">
          <a:extLst>
            <a:ext uri="{FF2B5EF4-FFF2-40B4-BE49-F238E27FC236}">
              <a16:creationId xmlns:a16="http://schemas.microsoft.com/office/drawing/2014/main" id="{D5D89029-A3B7-E148-A86C-94BEBD3504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8300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82550</xdr:colOff>
      <xdr:row>8</xdr:row>
      <xdr:rowOff>34925</xdr:rowOff>
    </xdr:from>
    <xdr:to>
      <xdr:col>20</xdr:col>
      <xdr:colOff>856550</xdr:colOff>
      <xdr:row>8</xdr:row>
      <xdr:rowOff>808925</xdr:rowOff>
    </xdr:to>
    <xdr:pic>
      <xdr:nvPicPr>
        <xdr:cNvPr id="142" name="Picture 141" descr=" 1, 1, 2, 2,">
          <a:extLst>
            <a:ext uri="{FF2B5EF4-FFF2-40B4-BE49-F238E27FC236}">
              <a16:creationId xmlns:a16="http://schemas.microsoft.com/office/drawing/2014/main" id="{E8FC102D-B4DF-694F-99B4-F563857938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27550" y="689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51857</xdr:colOff>
      <xdr:row>7</xdr:row>
      <xdr:rowOff>69498</xdr:rowOff>
    </xdr:from>
    <xdr:to>
      <xdr:col>29</xdr:col>
      <xdr:colOff>827969</xdr:colOff>
      <xdr:row>7</xdr:row>
      <xdr:rowOff>845610</xdr:rowOff>
    </xdr:to>
    <xdr:pic>
      <xdr:nvPicPr>
        <xdr:cNvPr id="143" name="Picture 142" descr="18,18,18,18,">
          <a:extLst>
            <a:ext uri="{FF2B5EF4-FFF2-40B4-BE49-F238E27FC236}">
              <a16:creationId xmlns:a16="http://schemas.microsoft.com/office/drawing/2014/main" id="{0ECAC7C4-E730-EB43-B21F-97D567F8A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12107" y="6070248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3</xdr:row>
      <xdr:rowOff>60325</xdr:rowOff>
    </xdr:from>
    <xdr:to>
      <xdr:col>10</xdr:col>
      <xdr:colOff>0</xdr:colOff>
      <xdr:row>3</xdr:row>
      <xdr:rowOff>846138</xdr:rowOff>
    </xdr:to>
    <xdr:pic>
      <xdr:nvPicPr>
        <xdr:cNvPr id="144" name="Picture 143" descr="Item:Key1,Pos:1">
          <a:extLst>
            <a:ext uri="{FF2B5EF4-FFF2-40B4-BE49-F238E27FC236}">
              <a16:creationId xmlns:a16="http://schemas.microsoft.com/office/drawing/2014/main" id="{43979834-68DC-2141-B6AB-4C0540F694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7778750" y="263207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22</xdr:col>
      <xdr:colOff>63500</xdr:colOff>
      <xdr:row>8</xdr:row>
      <xdr:rowOff>31750</xdr:rowOff>
    </xdr:from>
    <xdr:to>
      <xdr:col>22</xdr:col>
      <xdr:colOff>837500</xdr:colOff>
      <xdr:row>8</xdr:row>
      <xdr:rowOff>805750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22E4BFBA-5060-7144-8DCD-6FDBDD9C01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300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88900</xdr:colOff>
      <xdr:row>8</xdr:row>
      <xdr:rowOff>41275</xdr:rowOff>
    </xdr:from>
    <xdr:to>
      <xdr:col>26</xdr:col>
      <xdr:colOff>5650</xdr:colOff>
      <xdr:row>8</xdr:row>
      <xdr:rowOff>815275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7027B9C3-9BA5-E94F-85F8-1F99E451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520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31462</xdr:colOff>
      <xdr:row>7</xdr:row>
      <xdr:rowOff>47336</xdr:rowOff>
    </xdr:from>
    <xdr:to>
      <xdr:col>23</xdr:col>
      <xdr:colOff>854075</xdr:colOff>
      <xdr:row>7</xdr:row>
      <xdr:rowOff>853209</xdr:rowOff>
    </xdr:to>
    <xdr:pic>
      <xdr:nvPicPr>
        <xdr:cNvPr id="147" name="Picture 146" descr="Item:LockedDoor,Pos:1">
          <a:extLst>
            <a:ext uri="{FF2B5EF4-FFF2-40B4-BE49-F238E27FC236}">
              <a16:creationId xmlns:a16="http://schemas.microsoft.com/office/drawing/2014/main" id="{3241400A-8983-2E42-8A16-8DC15A8DB8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19748212" y="6048086"/>
          <a:ext cx="822613" cy="805873"/>
        </a:xfrm>
        <a:prstGeom prst="rect">
          <a:avLst/>
        </a:prstGeom>
      </xdr:spPr>
    </xdr:pic>
    <xdr:clientData/>
  </xdr:twoCellAnchor>
  <xdr:twoCellAnchor editAs="oneCell">
    <xdr:from>
      <xdr:col>16</xdr:col>
      <xdr:colOff>44450</xdr:colOff>
      <xdr:row>5</xdr:row>
      <xdr:rowOff>28575</xdr:rowOff>
    </xdr:from>
    <xdr:to>
      <xdr:col>16</xdr:col>
      <xdr:colOff>818450</xdr:colOff>
      <xdr:row>5</xdr:row>
      <xdr:rowOff>802575</xdr:rowOff>
    </xdr:to>
    <xdr:pic>
      <xdr:nvPicPr>
        <xdr:cNvPr id="148" name="Picture 147" descr=" 1, 1, 2, 2,">
          <a:extLst>
            <a:ext uri="{FF2B5EF4-FFF2-40B4-BE49-F238E27FC236}">
              <a16:creationId xmlns:a16="http://schemas.microsoft.com/office/drawing/2014/main" id="{CB6E01EB-DE4A-1B4F-A8F4-324C57FD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0450" y="4314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73025</xdr:colOff>
      <xdr:row>5</xdr:row>
      <xdr:rowOff>41275</xdr:rowOff>
    </xdr:from>
    <xdr:to>
      <xdr:col>23</xdr:col>
      <xdr:colOff>847025</xdr:colOff>
      <xdr:row>5</xdr:row>
      <xdr:rowOff>815275</xdr:rowOff>
    </xdr:to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F1E8BB4F-9E01-7E49-8CC0-6EFFA1BBB8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9775" y="4327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66675</xdr:colOff>
      <xdr:row>6</xdr:row>
      <xdr:rowOff>50800</xdr:rowOff>
    </xdr:from>
    <xdr:to>
      <xdr:col>25</xdr:col>
      <xdr:colOff>840675</xdr:colOff>
      <xdr:row>6</xdr:row>
      <xdr:rowOff>824800</xdr:rowOff>
    </xdr:to>
    <xdr:pic>
      <xdr:nvPicPr>
        <xdr:cNvPr id="150" name="Picture 149" descr=" 1, 1, 2, 2,">
          <a:extLst>
            <a:ext uri="{FF2B5EF4-FFF2-40B4-BE49-F238E27FC236}">
              <a16:creationId xmlns:a16="http://schemas.microsoft.com/office/drawing/2014/main" id="{D0878328-6984-054D-BC17-7DEB4A059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497925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104775</xdr:colOff>
      <xdr:row>6</xdr:row>
      <xdr:rowOff>41275</xdr:rowOff>
    </xdr:from>
    <xdr:to>
      <xdr:col>27</xdr:col>
      <xdr:colOff>21525</xdr:colOff>
      <xdr:row>6</xdr:row>
      <xdr:rowOff>815275</xdr:rowOff>
    </xdr:to>
    <xdr:pic>
      <xdr:nvPicPr>
        <xdr:cNvPr id="151" name="Picture 150" descr=" 1, 1, 2, 2,">
          <a:extLst>
            <a:ext uri="{FF2B5EF4-FFF2-40B4-BE49-F238E27FC236}">
              <a16:creationId xmlns:a16="http://schemas.microsoft.com/office/drawing/2014/main" id="{7952600F-AA56-A845-83B8-54076EC1D9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393275" y="5184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7</xdr:row>
      <xdr:rowOff>76200</xdr:rowOff>
    </xdr:from>
    <xdr:to>
      <xdr:col>27</xdr:col>
      <xdr:colOff>40575</xdr:colOff>
      <xdr:row>7</xdr:row>
      <xdr:rowOff>850200</xdr:rowOff>
    </xdr:to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442B288E-A4FC-B94C-BF7B-34700B4F1D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123825</xdr:colOff>
      <xdr:row>8</xdr:row>
      <xdr:rowOff>28575</xdr:rowOff>
    </xdr:from>
    <xdr:to>
      <xdr:col>27</xdr:col>
      <xdr:colOff>40575</xdr:colOff>
      <xdr:row>8</xdr:row>
      <xdr:rowOff>802575</xdr:rowOff>
    </xdr:to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F9C3EB77-082F-8243-A371-4D437DFBBE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412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30</xdr:col>
      <xdr:colOff>15875</xdr:colOff>
      <xdr:row>11</xdr:row>
      <xdr:rowOff>31750</xdr:rowOff>
    </xdr:from>
    <xdr:to>
      <xdr:col>30</xdr:col>
      <xdr:colOff>809625</xdr:colOff>
      <xdr:row>11</xdr:row>
      <xdr:rowOff>825500</xdr:rowOff>
    </xdr:to>
    <xdr:pic>
      <xdr:nvPicPr>
        <xdr:cNvPr id="157" name="Picture 156" descr=" 0, 0, 3, 3,">
          <a:extLst>
            <a:ext uri="{FF2B5EF4-FFF2-40B4-BE49-F238E27FC236}">
              <a16:creationId xmlns:a16="http://schemas.microsoft.com/office/drawing/2014/main" id="{FC25304C-303A-24B5-BA30-6A5E9C95BA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733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47624</xdr:colOff>
      <xdr:row>12</xdr:row>
      <xdr:rowOff>31749</xdr:rowOff>
    </xdr:from>
    <xdr:to>
      <xdr:col>30</xdr:col>
      <xdr:colOff>825500</xdr:colOff>
      <xdr:row>12</xdr:row>
      <xdr:rowOff>809625</xdr:rowOff>
    </xdr:to>
    <xdr:pic>
      <xdr:nvPicPr>
        <xdr:cNvPr id="158" name="Picture 157" descr=" 2, 2, 3, 3,">
          <a:extLst>
            <a:ext uri="{FF2B5EF4-FFF2-40B4-BE49-F238E27FC236}">
              <a16:creationId xmlns:a16="http://schemas.microsoft.com/office/drawing/2014/main" id="{FC1C3F6B-9E25-8DCA-6EDD-5D3A94E51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765124" y="10318749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6</xdr:row>
      <xdr:rowOff>57150</xdr:rowOff>
    </xdr:from>
    <xdr:to>
      <xdr:col>14</xdr:col>
      <xdr:colOff>850900</xdr:colOff>
      <xdr:row>6</xdr:row>
      <xdr:rowOff>850900</xdr:rowOff>
    </xdr:to>
    <xdr:pic>
      <xdr:nvPicPr>
        <xdr:cNvPr id="159" name="Picture 158" descr=" 0, 0, 3, 3,">
          <a:extLst>
            <a:ext uri="{FF2B5EF4-FFF2-40B4-BE49-F238E27FC236}">
              <a16:creationId xmlns:a16="http://schemas.microsoft.com/office/drawing/2014/main" id="{0CC029D1-E0E1-5949-9BE6-9F07D67D9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12058650" y="52006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15</xdr:col>
      <xdr:colOff>63500</xdr:colOff>
      <xdr:row>5</xdr:row>
      <xdr:rowOff>31750</xdr:rowOff>
    </xdr:from>
    <xdr:to>
      <xdr:col>15</xdr:col>
      <xdr:colOff>837500</xdr:colOff>
      <xdr:row>5</xdr:row>
      <xdr:rowOff>805750</xdr:rowOff>
    </xdr:to>
    <xdr:pic>
      <xdr:nvPicPr>
        <xdr:cNvPr id="160" name="Picture 159" descr="15,15, 0, 0,">
          <a:extLst>
            <a:ext uri="{FF2B5EF4-FFF2-40B4-BE49-F238E27FC236}">
              <a16:creationId xmlns:a16="http://schemas.microsoft.com/office/drawing/2014/main" id="{D9291670-F92B-4046-9647-1DC332B12D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2225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7</xdr:row>
      <xdr:rowOff>50800</xdr:rowOff>
    </xdr:from>
    <xdr:to>
      <xdr:col>15</xdr:col>
      <xdr:colOff>827975</xdr:colOff>
      <xdr:row>7</xdr:row>
      <xdr:rowOff>824800</xdr:rowOff>
    </xdr:to>
    <xdr:pic>
      <xdr:nvPicPr>
        <xdr:cNvPr id="161" name="Picture 160" descr="16, 0, 1, 1,">
          <a:extLst>
            <a:ext uri="{FF2B5EF4-FFF2-40B4-BE49-F238E27FC236}">
              <a16:creationId xmlns:a16="http://schemas.microsoft.com/office/drawing/2014/main" id="{0D3BFCB5-9E23-664A-BC78-EF35D300C8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912725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3</xdr:row>
      <xdr:rowOff>50800</xdr:rowOff>
    </xdr:from>
    <xdr:to>
      <xdr:col>13</xdr:col>
      <xdr:colOff>808925</xdr:colOff>
      <xdr:row>3</xdr:row>
      <xdr:rowOff>824800</xdr:rowOff>
    </xdr:to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0311DF49-BE30-C543-A454-7021D9EDCA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57150</xdr:rowOff>
    </xdr:from>
    <xdr:to>
      <xdr:col>14</xdr:col>
      <xdr:colOff>799400</xdr:colOff>
      <xdr:row>3</xdr:row>
      <xdr:rowOff>831150</xdr:rowOff>
    </xdr:to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F64D688F-BCAA-C84D-ABBA-B856E229C4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26900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38100</xdr:colOff>
      <xdr:row>3</xdr:row>
      <xdr:rowOff>69850</xdr:rowOff>
    </xdr:from>
    <xdr:to>
      <xdr:col>15</xdr:col>
      <xdr:colOff>812100</xdr:colOff>
      <xdr:row>3</xdr:row>
      <xdr:rowOff>843850</xdr:rowOff>
    </xdr:to>
    <xdr:pic>
      <xdr:nvPicPr>
        <xdr:cNvPr id="165" name="Picture 164" descr=" 1, 1, 2, 2,">
          <a:extLst>
            <a:ext uri="{FF2B5EF4-FFF2-40B4-BE49-F238E27FC236}">
              <a16:creationId xmlns:a16="http://schemas.microsoft.com/office/drawing/2014/main" id="{18F954FB-1A88-094B-A7B2-9935C89B2E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96850" y="2641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82550</xdr:colOff>
      <xdr:row>1</xdr:row>
      <xdr:rowOff>50800</xdr:rowOff>
    </xdr:from>
    <xdr:to>
      <xdr:col>9</xdr:col>
      <xdr:colOff>856550</xdr:colOff>
      <xdr:row>1</xdr:row>
      <xdr:rowOff>824800</xdr:rowOff>
    </xdr:to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A257E77D-5E80-FC41-A3F3-4DE394AA33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978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73025</xdr:colOff>
      <xdr:row>1</xdr:row>
      <xdr:rowOff>57150</xdr:rowOff>
    </xdr:from>
    <xdr:to>
      <xdr:col>10</xdr:col>
      <xdr:colOff>847025</xdr:colOff>
      <xdr:row>1</xdr:row>
      <xdr:rowOff>831150</xdr:rowOff>
    </xdr:to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01E7A29A-EFB4-B645-96CF-9E883F670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55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85725</xdr:colOff>
      <xdr:row>1</xdr:row>
      <xdr:rowOff>69850</xdr:rowOff>
    </xdr:from>
    <xdr:to>
      <xdr:col>12</xdr:col>
      <xdr:colOff>2475</xdr:colOff>
      <xdr:row>1</xdr:row>
      <xdr:rowOff>843850</xdr:rowOff>
    </xdr:to>
    <xdr:pic>
      <xdr:nvPicPr>
        <xdr:cNvPr id="168" name="Picture 167" descr=" 1, 1, 2, 2,">
          <a:extLst>
            <a:ext uri="{FF2B5EF4-FFF2-40B4-BE49-F238E27FC236}">
              <a16:creationId xmlns:a16="http://schemas.microsoft.com/office/drawing/2014/main" id="{D9B87B77-EA6F-7948-AE18-D3D7EA81F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1547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111125</xdr:colOff>
      <xdr:row>1</xdr:row>
      <xdr:rowOff>79375</xdr:rowOff>
    </xdr:from>
    <xdr:to>
      <xdr:col>13</xdr:col>
      <xdr:colOff>27875</xdr:colOff>
      <xdr:row>1</xdr:row>
      <xdr:rowOff>853375</xdr:rowOff>
    </xdr:to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0A34EDD3-70BA-F844-929B-7DEB19805D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98125" y="93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98425</xdr:colOff>
      <xdr:row>1</xdr:row>
      <xdr:rowOff>66675</xdr:rowOff>
    </xdr:from>
    <xdr:to>
      <xdr:col>14</xdr:col>
      <xdr:colOff>15175</xdr:colOff>
      <xdr:row>1</xdr:row>
      <xdr:rowOff>840675</xdr:rowOff>
    </xdr:to>
    <xdr:pic>
      <xdr:nvPicPr>
        <xdr:cNvPr id="170" name="Picture 169" descr=" 1, 1, 2, 2,">
          <a:extLst>
            <a:ext uri="{FF2B5EF4-FFF2-40B4-BE49-F238E27FC236}">
              <a16:creationId xmlns:a16="http://schemas.microsoft.com/office/drawing/2014/main" id="{EC38C596-ECF9-804D-97C2-C2446E7DC8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42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92075</xdr:colOff>
      <xdr:row>1</xdr:row>
      <xdr:rowOff>44450</xdr:rowOff>
    </xdr:from>
    <xdr:to>
      <xdr:col>15</xdr:col>
      <xdr:colOff>8825</xdr:colOff>
      <xdr:row>1</xdr:row>
      <xdr:rowOff>818450</xdr:rowOff>
    </xdr:to>
    <xdr:pic>
      <xdr:nvPicPr>
        <xdr:cNvPr id="171" name="Picture 170" descr=" 1, 1, 2, 2,">
          <a:extLst>
            <a:ext uri="{FF2B5EF4-FFF2-40B4-BE49-F238E27FC236}">
              <a16:creationId xmlns:a16="http://schemas.microsoft.com/office/drawing/2014/main" id="{C6B74038-7F88-1045-954D-A4B01D862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3575" y="9017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82550</xdr:colOff>
      <xdr:row>1</xdr:row>
      <xdr:rowOff>50800</xdr:rowOff>
    </xdr:from>
    <xdr:to>
      <xdr:col>15</xdr:col>
      <xdr:colOff>856550</xdr:colOff>
      <xdr:row>1</xdr:row>
      <xdr:rowOff>824800</xdr:rowOff>
    </xdr:to>
    <xdr:pic>
      <xdr:nvPicPr>
        <xdr:cNvPr id="172" name="Picture 171" descr=" 1, 1, 2, 2,">
          <a:extLst>
            <a:ext uri="{FF2B5EF4-FFF2-40B4-BE49-F238E27FC236}">
              <a16:creationId xmlns:a16="http://schemas.microsoft.com/office/drawing/2014/main" id="{605FFBCC-75CB-E34D-BD09-C1787EDB10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41300" y="908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95250</xdr:colOff>
      <xdr:row>1</xdr:row>
      <xdr:rowOff>63500</xdr:rowOff>
    </xdr:from>
    <xdr:to>
      <xdr:col>17</xdr:col>
      <xdr:colOff>12000</xdr:colOff>
      <xdr:row>1</xdr:row>
      <xdr:rowOff>837500</xdr:rowOff>
    </xdr:to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491D8C87-3174-7C48-AAE1-55BE6587D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1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120650</xdr:colOff>
      <xdr:row>1</xdr:row>
      <xdr:rowOff>73025</xdr:rowOff>
    </xdr:from>
    <xdr:to>
      <xdr:col>18</xdr:col>
      <xdr:colOff>37400</xdr:colOff>
      <xdr:row>1</xdr:row>
      <xdr:rowOff>847025</xdr:rowOff>
    </xdr:to>
    <xdr:pic>
      <xdr:nvPicPr>
        <xdr:cNvPr id="174" name="Picture 173" descr=" 1, 1, 2, 2,">
          <a:extLst>
            <a:ext uri="{FF2B5EF4-FFF2-40B4-BE49-F238E27FC236}">
              <a16:creationId xmlns:a16="http://schemas.microsoft.com/office/drawing/2014/main" id="{79DD9F1A-3BBC-184A-BD98-6EFBBC265A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939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3</xdr:row>
      <xdr:rowOff>63500</xdr:rowOff>
    </xdr:from>
    <xdr:to>
      <xdr:col>11</xdr:col>
      <xdr:colOff>821625</xdr:colOff>
      <xdr:row>3</xdr:row>
      <xdr:rowOff>837500</xdr:rowOff>
    </xdr:to>
    <xdr:pic>
      <xdr:nvPicPr>
        <xdr:cNvPr id="175" name="Picture 174" descr=" 4, 5, 1, 2,">
          <a:extLst>
            <a:ext uri="{FF2B5EF4-FFF2-40B4-BE49-F238E27FC236}">
              <a16:creationId xmlns:a16="http://schemas.microsoft.com/office/drawing/2014/main" id="{A4885430-DAD9-1E4C-99AB-8B992678F1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77375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47625</xdr:colOff>
      <xdr:row>2</xdr:row>
      <xdr:rowOff>47625</xdr:rowOff>
    </xdr:from>
    <xdr:to>
      <xdr:col>8</xdr:col>
      <xdr:colOff>821625</xdr:colOff>
      <xdr:row>2</xdr:row>
      <xdr:rowOff>821625</xdr:rowOff>
    </xdr:to>
    <xdr:pic>
      <xdr:nvPicPr>
        <xdr:cNvPr id="176" name="Picture 175" descr=" 1, 1, 2, 2,">
          <a:extLst>
            <a:ext uri="{FF2B5EF4-FFF2-40B4-BE49-F238E27FC236}">
              <a16:creationId xmlns:a16="http://schemas.microsoft.com/office/drawing/2014/main" id="{D130F0F4-13CA-234D-A0FB-1B6E5FB0F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05625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25400</xdr:colOff>
      <xdr:row>1</xdr:row>
      <xdr:rowOff>73025</xdr:rowOff>
    </xdr:from>
    <xdr:to>
      <xdr:col>8</xdr:col>
      <xdr:colOff>799400</xdr:colOff>
      <xdr:row>1</xdr:row>
      <xdr:rowOff>847025</xdr:rowOff>
    </xdr:to>
    <xdr:pic>
      <xdr:nvPicPr>
        <xdr:cNvPr id="177" name="Picture 176" descr=" 1, 1, 2, 2,">
          <a:extLst>
            <a:ext uri="{FF2B5EF4-FFF2-40B4-BE49-F238E27FC236}">
              <a16:creationId xmlns:a16="http://schemas.microsoft.com/office/drawing/2014/main" id="{F09C6EB9-AB9E-0044-A3F9-4542BBF76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83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95250</xdr:colOff>
      <xdr:row>1</xdr:row>
      <xdr:rowOff>63500</xdr:rowOff>
    </xdr:from>
    <xdr:to>
      <xdr:col>19</xdr:col>
      <xdr:colOff>12000</xdr:colOff>
      <xdr:row>1</xdr:row>
      <xdr:rowOff>837500</xdr:rowOff>
    </xdr:to>
    <xdr:pic>
      <xdr:nvPicPr>
        <xdr:cNvPr id="178" name="Picture 177" descr=" 1, 1, 2, 2,">
          <a:extLst>
            <a:ext uri="{FF2B5EF4-FFF2-40B4-BE49-F238E27FC236}">
              <a16:creationId xmlns:a16="http://schemas.microsoft.com/office/drawing/2014/main" id="{DF56AA82-ACF2-8D4C-8E8C-AFCA460A4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69850</xdr:colOff>
      <xdr:row>2</xdr:row>
      <xdr:rowOff>47625</xdr:rowOff>
    </xdr:from>
    <xdr:to>
      <xdr:col>18</xdr:col>
      <xdr:colOff>843850</xdr:colOff>
      <xdr:row>2</xdr:row>
      <xdr:rowOff>821625</xdr:rowOff>
    </xdr:to>
    <xdr:pic>
      <xdr:nvPicPr>
        <xdr:cNvPr id="179" name="Picture 178" descr="33,33,31,31,">
          <a:extLst>
            <a:ext uri="{FF2B5EF4-FFF2-40B4-BE49-F238E27FC236}">
              <a16:creationId xmlns:a16="http://schemas.microsoft.com/office/drawing/2014/main" id="{61EED00B-A699-E94D-BEFC-1D9CF79428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55003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47625</xdr:rowOff>
    </xdr:from>
    <xdr:to>
      <xdr:col>16</xdr:col>
      <xdr:colOff>821625</xdr:colOff>
      <xdr:row>4</xdr:row>
      <xdr:rowOff>821625</xdr:rowOff>
    </xdr:to>
    <xdr:pic>
      <xdr:nvPicPr>
        <xdr:cNvPr id="180" name="Picture 179" descr=" 1, 1, 2, 2,">
          <a:extLst>
            <a:ext uri="{FF2B5EF4-FFF2-40B4-BE49-F238E27FC236}">
              <a16:creationId xmlns:a16="http://schemas.microsoft.com/office/drawing/2014/main" id="{A5DFA1CB-C6DD-ED4C-8193-AF2CBFBA35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50800</xdr:colOff>
      <xdr:row>3</xdr:row>
      <xdr:rowOff>47625</xdr:rowOff>
    </xdr:from>
    <xdr:to>
      <xdr:col>18</xdr:col>
      <xdr:colOff>824800</xdr:colOff>
      <xdr:row>3</xdr:row>
      <xdr:rowOff>821625</xdr:rowOff>
    </xdr:to>
    <xdr:pic>
      <xdr:nvPicPr>
        <xdr:cNvPr id="181" name="Picture 180" descr="31,31,31,31,">
          <a:extLst>
            <a:ext uri="{FF2B5EF4-FFF2-40B4-BE49-F238E27FC236}">
              <a16:creationId xmlns:a16="http://schemas.microsoft.com/office/drawing/2014/main" id="{011C73AD-21CF-EE40-B953-5A1D394EB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8130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28575</xdr:colOff>
      <xdr:row>4</xdr:row>
      <xdr:rowOff>41275</xdr:rowOff>
    </xdr:from>
    <xdr:to>
      <xdr:col>18</xdr:col>
      <xdr:colOff>802575</xdr:colOff>
      <xdr:row>4</xdr:row>
      <xdr:rowOff>815275</xdr:rowOff>
    </xdr:to>
    <xdr:pic>
      <xdr:nvPicPr>
        <xdr:cNvPr id="182" name="Picture 181" descr="31,31,31,31,">
          <a:extLst>
            <a:ext uri="{FF2B5EF4-FFF2-40B4-BE49-F238E27FC236}">
              <a16:creationId xmlns:a16="http://schemas.microsoft.com/office/drawing/2014/main" id="{31D84A31-9638-5844-8275-9CF0E6E56F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590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38100</xdr:colOff>
      <xdr:row>5</xdr:row>
      <xdr:rowOff>34925</xdr:rowOff>
    </xdr:from>
    <xdr:to>
      <xdr:col>18</xdr:col>
      <xdr:colOff>812100</xdr:colOff>
      <xdr:row>5</xdr:row>
      <xdr:rowOff>808925</xdr:rowOff>
    </xdr:to>
    <xdr:pic>
      <xdr:nvPicPr>
        <xdr:cNvPr id="183" name="Picture 182" descr="31,31,31,31,">
          <a:extLst>
            <a:ext uri="{FF2B5EF4-FFF2-40B4-BE49-F238E27FC236}">
              <a16:creationId xmlns:a16="http://schemas.microsoft.com/office/drawing/2014/main" id="{CE74A7B7-76F1-4B4F-8DCA-7EAA1E8331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5468600" y="43211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6</xdr:row>
      <xdr:rowOff>47625</xdr:rowOff>
    </xdr:from>
    <xdr:to>
      <xdr:col>18</xdr:col>
      <xdr:colOff>805750</xdr:colOff>
      <xdr:row>6</xdr:row>
      <xdr:rowOff>821625</xdr:rowOff>
    </xdr:to>
    <xdr:pic>
      <xdr:nvPicPr>
        <xdr:cNvPr id="185" name="Picture 184" descr="31,31,32,32,">
          <a:extLst>
            <a:ext uri="{FF2B5EF4-FFF2-40B4-BE49-F238E27FC236}">
              <a16:creationId xmlns:a16="http://schemas.microsoft.com/office/drawing/2014/main" id="{91C55925-34A9-9749-998A-5B7F2A6777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5462250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28575</xdr:rowOff>
    </xdr:from>
    <xdr:to>
      <xdr:col>18</xdr:col>
      <xdr:colOff>818450</xdr:colOff>
      <xdr:row>7</xdr:row>
      <xdr:rowOff>802575</xdr:rowOff>
    </xdr:to>
    <xdr:pic>
      <xdr:nvPicPr>
        <xdr:cNvPr id="188" name="Picture 187" descr=" 1, 1, 2, 2,">
          <a:extLst>
            <a:ext uri="{FF2B5EF4-FFF2-40B4-BE49-F238E27FC236}">
              <a16:creationId xmlns:a16="http://schemas.microsoft.com/office/drawing/2014/main" id="{9F7698E6-3C1C-A049-BA20-0CBC2CB597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74950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3</xdr:row>
      <xdr:rowOff>28575</xdr:rowOff>
    </xdr:from>
    <xdr:to>
      <xdr:col>22</xdr:col>
      <xdr:colOff>818450</xdr:colOff>
      <xdr:row>3</xdr:row>
      <xdr:rowOff>802575</xdr:rowOff>
    </xdr:to>
    <xdr:pic>
      <xdr:nvPicPr>
        <xdr:cNvPr id="189" name="Picture 188" descr=" 1, 1, 2, 2,">
          <a:extLst>
            <a:ext uri="{FF2B5EF4-FFF2-40B4-BE49-F238E27FC236}">
              <a16:creationId xmlns:a16="http://schemas.microsoft.com/office/drawing/2014/main" id="{6517C6D7-CDAE-314F-94C1-DC01953BC8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03950" y="2600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69850</xdr:colOff>
      <xdr:row>2</xdr:row>
      <xdr:rowOff>53975</xdr:rowOff>
    </xdr:from>
    <xdr:to>
      <xdr:col>22</xdr:col>
      <xdr:colOff>843850</xdr:colOff>
      <xdr:row>2</xdr:row>
      <xdr:rowOff>827975</xdr:rowOff>
    </xdr:to>
    <xdr:pic>
      <xdr:nvPicPr>
        <xdr:cNvPr id="190" name="Picture 189" descr=" 1, 1, 2, 2,">
          <a:extLst>
            <a:ext uri="{FF2B5EF4-FFF2-40B4-BE49-F238E27FC236}">
              <a16:creationId xmlns:a16="http://schemas.microsoft.com/office/drawing/2014/main" id="{7B2564F7-4DDE-9446-BFD3-3685BA41B4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29350" y="176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63500</xdr:colOff>
      <xdr:row>1</xdr:row>
      <xdr:rowOff>63500</xdr:rowOff>
    </xdr:from>
    <xdr:to>
      <xdr:col>19</xdr:col>
      <xdr:colOff>837500</xdr:colOff>
      <xdr:row>1</xdr:row>
      <xdr:rowOff>837500</xdr:rowOff>
    </xdr:to>
    <xdr:pic>
      <xdr:nvPicPr>
        <xdr:cNvPr id="191" name="Picture 190" descr=" 1, 1, 2, 2,">
          <a:extLst>
            <a:ext uri="{FF2B5EF4-FFF2-40B4-BE49-F238E27FC236}">
              <a16:creationId xmlns:a16="http://schemas.microsoft.com/office/drawing/2014/main" id="{31FDC91F-D8E5-F94B-866C-413CB51A6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1250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57150</xdr:colOff>
      <xdr:row>1</xdr:row>
      <xdr:rowOff>73025</xdr:rowOff>
    </xdr:from>
    <xdr:to>
      <xdr:col>21</xdr:col>
      <xdr:colOff>831150</xdr:colOff>
      <xdr:row>1</xdr:row>
      <xdr:rowOff>847025</xdr:rowOff>
    </xdr:to>
    <xdr:pic>
      <xdr:nvPicPr>
        <xdr:cNvPr id="192" name="Picture 191" descr=" 1, 1, 2, 2,">
          <a:extLst>
            <a:ext uri="{FF2B5EF4-FFF2-40B4-BE49-F238E27FC236}">
              <a16:creationId xmlns:a16="http://schemas.microsoft.com/office/drawing/2014/main" id="{E15DA6A2-845C-1546-A166-E16DE5BA34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594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82550</xdr:rowOff>
    </xdr:from>
    <xdr:to>
      <xdr:col>22</xdr:col>
      <xdr:colOff>824800</xdr:colOff>
      <xdr:row>1</xdr:row>
      <xdr:rowOff>856550</xdr:rowOff>
    </xdr:to>
    <xdr:pic>
      <xdr:nvPicPr>
        <xdr:cNvPr id="193" name="Picture 192" descr=" 1, 1, 2, 2,">
          <a:extLst>
            <a:ext uri="{FF2B5EF4-FFF2-40B4-BE49-F238E27FC236}">
              <a16:creationId xmlns:a16="http://schemas.microsoft.com/office/drawing/2014/main" id="{86659061-CA45-AE42-91DC-3EF4511E3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0300" y="93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60325</xdr:colOff>
      <xdr:row>4</xdr:row>
      <xdr:rowOff>44450</xdr:rowOff>
    </xdr:from>
    <xdr:to>
      <xdr:col>22</xdr:col>
      <xdr:colOff>834325</xdr:colOff>
      <xdr:row>4</xdr:row>
      <xdr:rowOff>818450</xdr:rowOff>
    </xdr:to>
    <xdr:pic>
      <xdr:nvPicPr>
        <xdr:cNvPr id="194" name="Picture 193" descr=" 1, 1, 2, 2,">
          <a:extLst>
            <a:ext uri="{FF2B5EF4-FFF2-40B4-BE49-F238E27FC236}">
              <a16:creationId xmlns:a16="http://schemas.microsoft.com/office/drawing/2014/main" id="{900E36AF-F322-044F-A9E1-43562D1082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19825" y="3473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85725</xdr:colOff>
      <xdr:row>5</xdr:row>
      <xdr:rowOff>22225</xdr:rowOff>
    </xdr:from>
    <xdr:to>
      <xdr:col>23</xdr:col>
      <xdr:colOff>2475</xdr:colOff>
      <xdr:row>5</xdr:row>
      <xdr:rowOff>796225</xdr:rowOff>
    </xdr:to>
    <xdr:pic>
      <xdr:nvPicPr>
        <xdr:cNvPr id="195" name="Picture 194" descr=" 1, 1, 2, 2,">
          <a:extLst>
            <a:ext uri="{FF2B5EF4-FFF2-40B4-BE49-F238E27FC236}">
              <a16:creationId xmlns:a16="http://schemas.microsoft.com/office/drawing/2014/main" id="{F34D8C87-ED21-D042-AEF7-687317F636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94522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7</xdr:row>
      <xdr:rowOff>63500</xdr:rowOff>
    </xdr:from>
    <xdr:to>
      <xdr:col>19</xdr:col>
      <xdr:colOff>853375</xdr:colOff>
      <xdr:row>7</xdr:row>
      <xdr:rowOff>837500</xdr:rowOff>
    </xdr:to>
    <xdr:pic>
      <xdr:nvPicPr>
        <xdr:cNvPr id="196" name="Picture 195" descr=" 1, 1, 2, 2,">
          <a:extLst>
            <a:ext uri="{FF2B5EF4-FFF2-40B4-BE49-F238E27FC236}">
              <a16:creationId xmlns:a16="http://schemas.microsoft.com/office/drawing/2014/main" id="{D250F5D3-A68A-0045-8406-194C97E6D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6064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44450</xdr:colOff>
      <xdr:row>6</xdr:row>
      <xdr:rowOff>44450</xdr:rowOff>
    </xdr:from>
    <xdr:to>
      <xdr:col>23</xdr:col>
      <xdr:colOff>818450</xdr:colOff>
      <xdr:row>6</xdr:row>
      <xdr:rowOff>818450</xdr:rowOff>
    </xdr:to>
    <xdr:pic>
      <xdr:nvPicPr>
        <xdr:cNvPr id="197" name="Picture 196" descr=" 1, 1, 2, 2,">
          <a:extLst>
            <a:ext uri="{FF2B5EF4-FFF2-40B4-BE49-F238E27FC236}">
              <a16:creationId xmlns:a16="http://schemas.microsoft.com/office/drawing/2014/main" id="{B7C1D4D6-B550-684B-8F9F-FAE1CE904C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61200" y="5187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69850</xdr:colOff>
      <xdr:row>8</xdr:row>
      <xdr:rowOff>38100</xdr:rowOff>
    </xdr:from>
    <xdr:to>
      <xdr:col>23</xdr:col>
      <xdr:colOff>843850</xdr:colOff>
      <xdr:row>8</xdr:row>
      <xdr:rowOff>812100</xdr:rowOff>
    </xdr:to>
    <xdr:pic>
      <xdr:nvPicPr>
        <xdr:cNvPr id="198" name="Picture 197" descr=" 1, 1, 2, 2,">
          <a:extLst>
            <a:ext uri="{FF2B5EF4-FFF2-40B4-BE49-F238E27FC236}">
              <a16:creationId xmlns:a16="http://schemas.microsoft.com/office/drawing/2014/main" id="{C1FC3EF4-8C4F-F744-97E2-553F2D66E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786600" y="689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76200</xdr:colOff>
      <xdr:row>7</xdr:row>
      <xdr:rowOff>69850</xdr:rowOff>
    </xdr:from>
    <xdr:to>
      <xdr:col>21</xdr:col>
      <xdr:colOff>850200</xdr:colOff>
      <xdr:row>7</xdr:row>
      <xdr:rowOff>843850</xdr:rowOff>
    </xdr:to>
    <xdr:pic>
      <xdr:nvPicPr>
        <xdr:cNvPr id="199" name="Picture 198" descr=" 9,10, 2, 1,">
          <a:extLst>
            <a:ext uri="{FF2B5EF4-FFF2-40B4-BE49-F238E27FC236}">
              <a16:creationId xmlns:a16="http://schemas.microsoft.com/office/drawing/2014/main" id="{54BB38A6-4F9D-E74E-BC49-E31A097C4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807845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38100</xdr:colOff>
      <xdr:row>7</xdr:row>
      <xdr:rowOff>44450</xdr:rowOff>
    </xdr:from>
    <xdr:to>
      <xdr:col>16</xdr:col>
      <xdr:colOff>812100</xdr:colOff>
      <xdr:row>7</xdr:row>
      <xdr:rowOff>818450</xdr:rowOff>
    </xdr:to>
    <xdr:pic>
      <xdr:nvPicPr>
        <xdr:cNvPr id="200" name="Picture 199" descr=" 4, 5, 1, 2,">
          <a:extLst>
            <a:ext uri="{FF2B5EF4-FFF2-40B4-BE49-F238E27FC236}">
              <a16:creationId xmlns:a16="http://schemas.microsoft.com/office/drawing/2014/main" id="{FC710557-FE54-2E49-B3DA-0C3F149D4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754100" y="604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50800</xdr:rowOff>
    </xdr:from>
    <xdr:to>
      <xdr:col>17</xdr:col>
      <xdr:colOff>824800</xdr:colOff>
      <xdr:row>7</xdr:row>
      <xdr:rowOff>824800</xdr:rowOff>
    </xdr:to>
    <xdr:pic>
      <xdr:nvPicPr>
        <xdr:cNvPr id="201" name="Picture 200" descr=" 1, 1, 2, 2,">
          <a:extLst>
            <a:ext uri="{FF2B5EF4-FFF2-40B4-BE49-F238E27FC236}">
              <a16:creationId xmlns:a16="http://schemas.microsoft.com/office/drawing/2014/main" id="{E21ED356-77FE-0340-AADA-3807FE75C5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24050" y="6051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15875</xdr:colOff>
      <xdr:row>5</xdr:row>
      <xdr:rowOff>15875</xdr:rowOff>
    </xdr:from>
    <xdr:to>
      <xdr:col>21</xdr:col>
      <xdr:colOff>789875</xdr:colOff>
      <xdr:row>5</xdr:row>
      <xdr:rowOff>789875</xdr:rowOff>
    </xdr:to>
    <xdr:pic>
      <xdr:nvPicPr>
        <xdr:cNvPr id="70" name="Picture 69" descr=" 1, 1, 2, 2,">
          <a:extLst>
            <a:ext uri="{FF2B5EF4-FFF2-40B4-BE49-F238E27FC236}">
              <a16:creationId xmlns:a16="http://schemas.microsoft.com/office/drawing/2014/main" id="{8D9879DC-9B6E-FF4A-A632-258204ECF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18125" y="430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</xdr:row>
      <xdr:rowOff>66675</xdr:rowOff>
    </xdr:from>
    <xdr:to>
      <xdr:col>20</xdr:col>
      <xdr:colOff>840675</xdr:colOff>
      <xdr:row>1</xdr:row>
      <xdr:rowOff>840675</xdr:rowOff>
    </xdr:to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F9D3BB1A-2143-D042-80A6-199D591445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11675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53975</xdr:colOff>
      <xdr:row>5</xdr:row>
      <xdr:rowOff>6350</xdr:rowOff>
    </xdr:from>
    <xdr:to>
      <xdr:col>19</xdr:col>
      <xdr:colOff>827975</xdr:colOff>
      <xdr:row>5</xdr:row>
      <xdr:rowOff>780350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E22F24BB-C576-9D43-A6D0-18B73D103E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1725" y="429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79375</xdr:colOff>
      <xdr:row>4</xdr:row>
      <xdr:rowOff>15875</xdr:rowOff>
    </xdr:from>
    <xdr:to>
      <xdr:col>19</xdr:col>
      <xdr:colOff>853375</xdr:colOff>
      <xdr:row>4</xdr:row>
      <xdr:rowOff>789875</xdr:rowOff>
    </xdr:to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B9C854A3-2D43-D04F-8191-07A2717958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67125" y="344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60325</xdr:colOff>
      <xdr:row>3</xdr:row>
      <xdr:rowOff>44450</xdr:rowOff>
    </xdr:from>
    <xdr:to>
      <xdr:col>19</xdr:col>
      <xdr:colOff>834325</xdr:colOff>
      <xdr:row>3</xdr:row>
      <xdr:rowOff>818450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A1F6C576-AA17-A34A-8A4C-351F4F929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48075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69850</xdr:colOff>
      <xdr:row>6</xdr:row>
      <xdr:rowOff>22225</xdr:rowOff>
    </xdr:from>
    <xdr:to>
      <xdr:col>19</xdr:col>
      <xdr:colOff>843850</xdr:colOff>
      <xdr:row>6</xdr:row>
      <xdr:rowOff>796225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90AFFBE-302D-0D43-932B-4284036A78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576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88900</xdr:colOff>
      <xdr:row>8</xdr:row>
      <xdr:rowOff>41275</xdr:rowOff>
    </xdr:from>
    <xdr:to>
      <xdr:col>22</xdr:col>
      <xdr:colOff>5650</xdr:colOff>
      <xdr:row>8</xdr:row>
      <xdr:rowOff>815275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7A54D94F-1FFA-784D-A70A-5B170010F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1150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50800</xdr:colOff>
      <xdr:row>6</xdr:row>
      <xdr:rowOff>50800</xdr:rowOff>
    </xdr:from>
    <xdr:to>
      <xdr:col>24</xdr:col>
      <xdr:colOff>824800</xdr:colOff>
      <xdr:row>6</xdr:row>
      <xdr:rowOff>824800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E78F08D9-9EA0-8F46-A9D0-6A84F6FD5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24800" y="5194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60325</xdr:colOff>
      <xdr:row>8</xdr:row>
      <xdr:rowOff>28575</xdr:rowOff>
    </xdr:from>
    <xdr:to>
      <xdr:col>24</xdr:col>
      <xdr:colOff>834325</xdr:colOff>
      <xdr:row>8</xdr:row>
      <xdr:rowOff>802575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5ED1EB1-12EB-AE4E-B7E1-02B601E804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34325" y="688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57150</xdr:colOff>
      <xdr:row>7</xdr:row>
      <xdr:rowOff>73025</xdr:rowOff>
    </xdr:from>
    <xdr:to>
      <xdr:col>20</xdr:col>
      <xdr:colOff>831150</xdr:colOff>
      <xdr:row>7</xdr:row>
      <xdr:rowOff>847025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763EF8E-135A-8443-8355-040092BFD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202150" y="6073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6</xdr:row>
      <xdr:rowOff>47625</xdr:rowOff>
    </xdr:from>
    <xdr:to>
      <xdr:col>20</xdr:col>
      <xdr:colOff>821625</xdr:colOff>
      <xdr:row>6</xdr:row>
      <xdr:rowOff>821625</xdr:rowOff>
    </xdr:to>
    <xdr:pic>
      <xdr:nvPicPr>
        <xdr:cNvPr id="94" name="Picture 93" descr="12,12, 7, 7,">
          <a:extLst>
            <a:ext uri="{FF2B5EF4-FFF2-40B4-BE49-F238E27FC236}">
              <a16:creationId xmlns:a16="http://schemas.microsoft.com/office/drawing/2014/main" id="{51C60ED1-7B00-1D46-BB31-B7CB6849B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19262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5</xdr:row>
      <xdr:rowOff>22225</xdr:rowOff>
    </xdr:from>
    <xdr:to>
      <xdr:col>20</xdr:col>
      <xdr:colOff>815275</xdr:colOff>
      <xdr:row>5</xdr:row>
      <xdr:rowOff>796225</xdr:rowOff>
    </xdr:to>
    <xdr:pic>
      <xdr:nvPicPr>
        <xdr:cNvPr id="95" name="Picture 94" descr=" 8, 8,12,12,">
          <a:extLst>
            <a:ext uri="{FF2B5EF4-FFF2-40B4-BE49-F238E27FC236}">
              <a16:creationId xmlns:a16="http://schemas.microsoft.com/office/drawing/2014/main" id="{7A5CCB18-405D-854B-8557-E4CC65578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7186275" y="4308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69" name="Picture 68" descr="42,42,42,42, ">
          <a:extLst>
            <a:ext uri="{FF2B5EF4-FFF2-40B4-BE49-F238E27FC236}">
              <a16:creationId xmlns:a16="http://schemas.microsoft.com/office/drawing/2014/main" id="{8EA516E7-C4AB-F94E-8778-73402F41D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662237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97" name="Picture 96" descr="43,43,43,43, ">
          <a:extLst>
            <a:ext uri="{FF2B5EF4-FFF2-40B4-BE49-F238E27FC236}">
              <a16:creationId xmlns:a16="http://schemas.microsoft.com/office/drawing/2014/main" id="{4AC137BA-0420-4345-98F9-47A61C2069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6638249" y="10318749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47625</xdr:rowOff>
    </xdr:from>
    <xdr:to>
      <xdr:col>2</xdr:col>
      <xdr:colOff>825501</xdr:colOff>
      <xdr:row>3</xdr:row>
      <xdr:rowOff>825501</xdr:rowOff>
    </xdr:to>
    <xdr:pic>
      <xdr:nvPicPr>
        <xdr:cNvPr id="98" name="Picture 97" descr=" 0, 5, 6, 2, ">
          <a:extLst>
            <a:ext uri="{FF2B5EF4-FFF2-40B4-BE49-F238E27FC236}">
              <a16:creationId xmlns:a16="http://schemas.microsoft.com/office/drawing/2014/main" id="{E187FEA4-8EE5-0549-A604-D481E5B3E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1762125" y="2619375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47625</xdr:rowOff>
    </xdr:from>
    <xdr:to>
      <xdr:col>2</xdr:col>
      <xdr:colOff>809625</xdr:colOff>
      <xdr:row>4</xdr:row>
      <xdr:rowOff>809625</xdr:rowOff>
    </xdr:to>
    <xdr:pic>
      <xdr:nvPicPr>
        <xdr:cNvPr id="99" name="Picture 98" descr=" 9, 0, 2,11, ">
          <a:extLst>
            <a:ext uri="{FF2B5EF4-FFF2-40B4-BE49-F238E27FC236}">
              <a16:creationId xmlns:a16="http://schemas.microsoft.com/office/drawing/2014/main" id="{1CAFFF00-B80E-E94C-A6D0-BBEF31EBED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1762125" y="3476625"/>
          <a:ext cx="762000" cy="7620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BE4711A8-4870-8D4B-8E05-55CDA33FA2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E8D36C4-50FD-0249-A00B-77FCAC2EF5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338E1D79-9AED-C641-A122-D72E36D71F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1986DEEE-BD0F-5945-AD3C-E9BC46C71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BDB02848-D94A-E74C-9FA6-0164774DB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F6A1317-6E96-8348-9EB7-497867C8F1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AE01236-B4FC-184D-A7BA-5BFFD8E939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5D576A94-EDD6-4848-B528-3F77DDDA1C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CF1792B3-BC79-0742-B25A-0F1E2448B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7B496179-396A-1842-9886-3F1CCD9B1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EC54173-6A22-9344-95B8-6BF626AFC5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4C99B408-03AD-8C4C-B85F-654F3EEA0D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5C40A174-161D-6A4B-9AB7-AC825E391D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8862DA0-968D-6846-BCCB-6CC320DB5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A8BCDC5-C5A0-F043-89C3-802140487D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1DA617-B91E-0745-803F-1DAF2C8CA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8FE3F846-0E6E-7146-8871-4629C5A3EC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7410923-ADAB-9148-B680-C49CAA19C2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F59ADA-7780-1B4C-B924-A25C60E89D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055684B-A22F-7940-BC69-E8AE21DB3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92918CE7-CA90-B84B-AFF1-0AAE7897E0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28A27A33-17B4-DF4B-95D0-1E86EFC81D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27144EC7-7938-1749-ACF8-BF414CFAE1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EA320B9A-DD83-6D4E-8BD8-7CF3649E53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F4D4D5A-AD48-7642-B25A-67D602D8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9D8E180F-4BD5-3844-983D-A050927CDD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7F3FB91-8AB7-364F-B277-A6DF289E07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0410E82C-630C-0446-9219-15879BA18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BB3636BF-00FF-FF4A-92E0-0306BAC91B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9572625"/>
          <a:ext cx="778233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B64966DA-E1D5-0540-A9A9-6D1EA00C1E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9308E487-086F-1049-B9E4-47F0CC58BF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5FE4E319-B3D6-C743-92F9-B69EB6682F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9572625"/>
          <a:ext cx="778234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1069FBA7-E43C-7342-A55C-B1B9F8B90D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38258C0A-271D-2A4B-9B02-92840DCCE1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2AEE3F8C-8993-5340-93D8-7567726296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57FC2E62-CE31-A54B-A9B1-38CF3A254E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DBBA76CA-24D6-904B-A3A8-1A179271655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C1744A3F-171A-8446-9D10-5282D9BE55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024D7738-46CB-A043-844F-60B499C253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10397835"/>
          <a:ext cx="823797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287E806-B670-644C-8610-D26D720E2B5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2AB8E2A-6826-084D-8BB4-015EB58CFC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568AE4AE-3EAF-5A4D-9DD4-666C325FA0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CA80994F-6E26-9E4C-A701-EE0172AFAD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C5590C8F-E074-1A4D-9319-FD9197CFAC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0601C5BB-A665-E448-AB63-5E3DB6531F7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209BA75-117C-AC49-982B-89DF06532F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11</xdr:row>
      <xdr:rowOff>48745</xdr:rowOff>
    </xdr:from>
    <xdr:to>
      <xdr:col>20</xdr:col>
      <xdr:colOff>1283</xdr:colOff>
      <xdr:row>11</xdr:row>
      <xdr:rowOff>856928</xdr:rowOff>
    </xdr:to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22EB5084-8E93-0D47-87E9-D7727EEFE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954834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2D25221-6562-5F4F-A172-19291F60AD8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E564FF1C-E3AC-9E4A-89E6-C0C81CFDAB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48747</xdr:colOff>
      <xdr:row>12</xdr:row>
      <xdr:rowOff>34635</xdr:rowOff>
    </xdr:from>
    <xdr:to>
      <xdr:col>14</xdr:col>
      <xdr:colOff>845384</xdr:colOff>
      <xdr:row>12</xdr:row>
      <xdr:rowOff>831273</xdr:rowOff>
    </xdr:to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88B693D3-A1ED-9941-A5A3-1F9CF9D6972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1039783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16</xdr:col>
      <xdr:colOff>25658</xdr:colOff>
      <xdr:row>12</xdr:row>
      <xdr:rowOff>20526</xdr:rowOff>
    </xdr:from>
    <xdr:to>
      <xdr:col>16</xdr:col>
      <xdr:colOff>832251</xdr:colOff>
      <xdr:row>12</xdr:row>
      <xdr:rowOff>818445</xdr:rowOff>
    </xdr:to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09C18C47-37CF-EB41-8F6E-1EEBA4BCB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10383726"/>
          <a:ext cx="806593" cy="797919"/>
        </a:xfrm>
        <a:prstGeom prst="rect">
          <a:avLst/>
        </a:prstGeom>
      </xdr:spPr>
    </xdr:pic>
    <xdr:clientData/>
  </xdr:twoCellAnchor>
  <xdr:twoCellAnchor editAs="oneCell">
    <xdr:from>
      <xdr:col>17</xdr:col>
      <xdr:colOff>51315</xdr:colOff>
      <xdr:row>12</xdr:row>
      <xdr:rowOff>20525</xdr:rowOff>
    </xdr:from>
    <xdr:to>
      <xdr:col>17</xdr:col>
      <xdr:colOff>835124</xdr:colOff>
      <xdr:row>12</xdr:row>
      <xdr:rowOff>804334</xdr:rowOff>
    </xdr:to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C9C301BC-16B6-C94C-81AA-4CD8EDF568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10383725"/>
          <a:ext cx="783809" cy="783809"/>
        </a:xfrm>
        <a:prstGeom prst="rect">
          <a:avLst/>
        </a:prstGeom>
      </xdr:spPr>
    </xdr:pic>
    <xdr:clientData/>
  </xdr:twoCellAnchor>
  <xdr:twoCellAnchor editAs="oneCell">
    <xdr:from>
      <xdr:col>7</xdr:col>
      <xdr:colOff>58208</xdr:colOff>
      <xdr:row>6</xdr:row>
      <xdr:rowOff>40569</xdr:rowOff>
    </xdr:from>
    <xdr:to>
      <xdr:col>9</xdr:col>
      <xdr:colOff>820207</xdr:colOff>
      <xdr:row>7</xdr:row>
      <xdr:rowOff>833384</xdr:rowOff>
    </xdr:to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FA7D5A5F-F1B5-524C-A4FF-08A59E553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6058958" y="51840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18</xdr:col>
      <xdr:colOff>70556</xdr:colOff>
      <xdr:row>12</xdr:row>
      <xdr:rowOff>28222</xdr:rowOff>
    </xdr:from>
    <xdr:to>
      <xdr:col>19</xdr:col>
      <xdr:colOff>1</xdr:colOff>
      <xdr:row>12</xdr:row>
      <xdr:rowOff>804334</xdr:rowOff>
    </xdr:to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AA5731E0-FB26-A145-8FB4-5943E9EF3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10391422"/>
          <a:ext cx="780345" cy="776112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11</xdr:row>
      <xdr:rowOff>56445</xdr:rowOff>
    </xdr:from>
    <xdr:to>
      <xdr:col>16</xdr:col>
      <xdr:colOff>832555</xdr:colOff>
      <xdr:row>12</xdr:row>
      <xdr:rowOff>1</xdr:rowOff>
    </xdr:to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F93BD1F0-BD49-304B-B37A-5BDFFE5E27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9556045"/>
          <a:ext cx="804333" cy="807156"/>
        </a:xfrm>
        <a:prstGeom prst="rect">
          <a:avLst/>
        </a:prstGeom>
      </xdr:spPr>
    </xdr:pic>
    <xdr:clientData/>
  </xdr:twoCellAnchor>
  <xdr:twoCellAnchor editAs="oneCell">
    <xdr:from>
      <xdr:col>17</xdr:col>
      <xdr:colOff>42332</xdr:colOff>
      <xdr:row>11</xdr:row>
      <xdr:rowOff>56445</xdr:rowOff>
    </xdr:from>
    <xdr:to>
      <xdr:col>17</xdr:col>
      <xdr:colOff>846666</xdr:colOff>
      <xdr:row>12</xdr:row>
      <xdr:rowOff>2</xdr:rowOff>
    </xdr:to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0DDCB32F-2E60-B34F-BE1F-0F9F8F0146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9556045"/>
          <a:ext cx="804334" cy="807157"/>
        </a:xfrm>
        <a:prstGeom prst="rect">
          <a:avLst/>
        </a:prstGeom>
      </xdr:spPr>
    </xdr:pic>
    <xdr:clientData/>
  </xdr:twoCellAnchor>
  <xdr:twoCellAnchor editAs="oneCell">
    <xdr:from>
      <xdr:col>7</xdr:col>
      <xdr:colOff>56444</xdr:colOff>
      <xdr:row>11</xdr:row>
      <xdr:rowOff>42332</xdr:rowOff>
    </xdr:from>
    <xdr:to>
      <xdr:col>8</xdr:col>
      <xdr:colOff>2</xdr:colOff>
      <xdr:row>11</xdr:row>
      <xdr:rowOff>832556</xdr:rowOff>
    </xdr:to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2240AC7E-FFF1-834C-BD7A-FD195049B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9541932"/>
          <a:ext cx="794458" cy="790224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11</xdr:row>
      <xdr:rowOff>42332</xdr:rowOff>
    </xdr:from>
    <xdr:to>
      <xdr:col>6</xdr:col>
      <xdr:colOff>818445</xdr:colOff>
      <xdr:row>11</xdr:row>
      <xdr:rowOff>818444</xdr:rowOff>
    </xdr:to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F4FC3A8D-851D-1646-B84C-9B099427DE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9541932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9</xdr:col>
      <xdr:colOff>42333</xdr:colOff>
      <xdr:row>11</xdr:row>
      <xdr:rowOff>42332</xdr:rowOff>
    </xdr:from>
    <xdr:to>
      <xdr:col>9</xdr:col>
      <xdr:colOff>818444</xdr:colOff>
      <xdr:row>11</xdr:row>
      <xdr:rowOff>818443</xdr:rowOff>
    </xdr:to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EC20EE87-E1E3-AF48-8060-AA24942859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954193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8</xdr:col>
      <xdr:colOff>28221</xdr:colOff>
      <xdr:row>11</xdr:row>
      <xdr:rowOff>42331</xdr:rowOff>
    </xdr:from>
    <xdr:to>
      <xdr:col>8</xdr:col>
      <xdr:colOff>804334</xdr:colOff>
      <xdr:row>11</xdr:row>
      <xdr:rowOff>818444</xdr:rowOff>
    </xdr:to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C29B992A-A303-0B4A-BE89-205FBB2755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9541931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15</xdr:col>
      <xdr:colOff>42332</xdr:colOff>
      <xdr:row>12</xdr:row>
      <xdr:rowOff>42332</xdr:rowOff>
    </xdr:from>
    <xdr:to>
      <xdr:col>15</xdr:col>
      <xdr:colOff>832555</xdr:colOff>
      <xdr:row>12</xdr:row>
      <xdr:rowOff>832555</xdr:rowOff>
    </xdr:to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C56138C-7822-5A41-8C64-4F4EBBFC73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10405532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19</xdr:col>
      <xdr:colOff>56443</xdr:colOff>
      <xdr:row>12</xdr:row>
      <xdr:rowOff>42332</xdr:rowOff>
    </xdr:from>
    <xdr:to>
      <xdr:col>19</xdr:col>
      <xdr:colOff>832556</xdr:colOff>
      <xdr:row>12</xdr:row>
      <xdr:rowOff>818445</xdr:rowOff>
    </xdr:to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1F92A969-36FC-2140-90C2-F07C358A6A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1040553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11</xdr:row>
      <xdr:rowOff>42332</xdr:rowOff>
    </xdr:from>
    <xdr:to>
      <xdr:col>21</xdr:col>
      <xdr:colOff>0</xdr:colOff>
      <xdr:row>11</xdr:row>
      <xdr:rowOff>846666</xdr:rowOff>
    </xdr:to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98DD23A3-DB42-B640-8B8F-8FEABA056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9541932"/>
          <a:ext cx="808567" cy="804334"/>
        </a:xfrm>
        <a:prstGeom prst="rect">
          <a:avLst/>
        </a:prstGeom>
      </xdr:spPr>
    </xdr:pic>
    <xdr:clientData/>
  </xdr:twoCellAnchor>
  <xdr:twoCellAnchor editAs="oneCell">
    <xdr:from>
      <xdr:col>21</xdr:col>
      <xdr:colOff>42333</xdr:colOff>
      <xdr:row>11</xdr:row>
      <xdr:rowOff>42333</xdr:rowOff>
    </xdr:from>
    <xdr:to>
      <xdr:col>21</xdr:col>
      <xdr:colOff>832555</xdr:colOff>
      <xdr:row>11</xdr:row>
      <xdr:rowOff>832555</xdr:rowOff>
    </xdr:to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E7EEB70-1C1C-294D-9B4B-AFD7DCEC0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20</xdr:col>
      <xdr:colOff>42333</xdr:colOff>
      <xdr:row>12</xdr:row>
      <xdr:rowOff>28222</xdr:rowOff>
    </xdr:from>
    <xdr:to>
      <xdr:col>20</xdr:col>
      <xdr:colOff>818444</xdr:colOff>
      <xdr:row>12</xdr:row>
      <xdr:rowOff>804333</xdr:rowOff>
    </xdr:to>
    <xdr:pic>
      <xdr:nvPicPr>
        <xdr:cNvPr id="66" name="Picture 65">
          <a:extLst>
            <a:ext uri="{FF2B5EF4-FFF2-40B4-BE49-F238E27FC236}">
              <a16:creationId xmlns:a16="http://schemas.microsoft.com/office/drawing/2014/main" id="{9D997DED-EFC2-3F44-85AF-5375AB67D4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10391422"/>
          <a:ext cx="776111" cy="776111"/>
        </a:xfrm>
        <a:prstGeom prst="rect">
          <a:avLst/>
        </a:prstGeom>
      </xdr:spPr>
    </xdr:pic>
    <xdr:clientData/>
  </xdr:twoCellAnchor>
  <xdr:twoCellAnchor editAs="oneCell">
    <xdr:from>
      <xdr:col>21</xdr:col>
      <xdr:colOff>28221</xdr:colOff>
      <xdr:row>12</xdr:row>
      <xdr:rowOff>28221</xdr:rowOff>
    </xdr:from>
    <xdr:to>
      <xdr:col>21</xdr:col>
      <xdr:colOff>818444</xdr:colOff>
      <xdr:row>12</xdr:row>
      <xdr:rowOff>818444</xdr:rowOff>
    </xdr:to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DD36F11-9B1F-974E-B99D-F6B6201D1A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10391421"/>
          <a:ext cx="790223" cy="790223"/>
        </a:xfrm>
        <a:prstGeom prst="rect">
          <a:avLst/>
        </a:prstGeom>
      </xdr:spPr>
    </xdr:pic>
    <xdr:clientData/>
  </xdr:twoCellAnchor>
  <xdr:twoCellAnchor editAs="oneCell">
    <xdr:from>
      <xdr:col>29</xdr:col>
      <xdr:colOff>28223</xdr:colOff>
      <xdr:row>11</xdr:row>
      <xdr:rowOff>42333</xdr:rowOff>
    </xdr:from>
    <xdr:to>
      <xdr:col>29</xdr:col>
      <xdr:colOff>818445</xdr:colOff>
      <xdr:row>11</xdr:row>
      <xdr:rowOff>832555</xdr:rowOff>
    </xdr:to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4947F0C0-B656-4F4A-AAAB-A22488949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9541933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6</xdr:col>
      <xdr:colOff>43391</xdr:colOff>
      <xdr:row>8</xdr:row>
      <xdr:rowOff>46920</xdr:rowOff>
    </xdr:from>
    <xdr:to>
      <xdr:col>6</xdr:col>
      <xdr:colOff>817391</xdr:colOff>
      <xdr:row>8</xdr:row>
      <xdr:rowOff>820920</xdr:rowOff>
    </xdr:to>
    <xdr:pic>
      <xdr:nvPicPr>
        <xdr:cNvPr id="69" name="Picture 68" descr=" 1, 1, 2, 2,">
          <a:extLst>
            <a:ext uri="{FF2B5EF4-FFF2-40B4-BE49-F238E27FC236}">
              <a16:creationId xmlns:a16="http://schemas.microsoft.com/office/drawing/2014/main" id="{85CEE126-D8F1-084B-9268-FD434B4FE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86891" y="690492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56444</xdr:colOff>
      <xdr:row>8</xdr:row>
      <xdr:rowOff>42333</xdr:rowOff>
    </xdr:from>
    <xdr:to>
      <xdr:col>5</xdr:col>
      <xdr:colOff>830444</xdr:colOff>
      <xdr:row>8</xdr:row>
      <xdr:rowOff>816333</xdr:rowOff>
    </xdr:to>
    <xdr:pic>
      <xdr:nvPicPr>
        <xdr:cNvPr id="70" name="Picture 69" descr=" 4, 5, 1, 2,">
          <a:extLst>
            <a:ext uri="{FF2B5EF4-FFF2-40B4-BE49-F238E27FC236}">
              <a16:creationId xmlns:a16="http://schemas.microsoft.com/office/drawing/2014/main" id="{61D456AD-E083-784B-ACFE-CD64266F5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342694" y="69003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22609</xdr:colOff>
      <xdr:row>5</xdr:row>
      <xdr:rowOff>55642</xdr:rowOff>
    </xdr:from>
    <xdr:to>
      <xdr:col>29</xdr:col>
      <xdr:colOff>841375</xdr:colOff>
      <xdr:row>5</xdr:row>
      <xdr:rowOff>852280</xdr:rowOff>
    </xdr:to>
    <xdr:pic>
      <xdr:nvPicPr>
        <xdr:cNvPr id="71" name="Picture 70" descr="Item:Chakana,Pos:1">
          <a:extLst>
            <a:ext uri="{FF2B5EF4-FFF2-40B4-BE49-F238E27FC236}">
              <a16:creationId xmlns:a16="http://schemas.microsoft.com/office/drawing/2014/main" id="{FDB6427E-ABE9-1E40-AC6C-90687E17A8A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4882859" y="4341892"/>
          <a:ext cx="818766" cy="796638"/>
        </a:xfrm>
        <a:prstGeom prst="rect">
          <a:avLst/>
        </a:prstGeom>
      </xdr:spPr>
    </xdr:pic>
    <xdr:clientData/>
  </xdr:twoCellAnchor>
  <xdr:twoCellAnchor editAs="oneCell">
    <xdr:from>
      <xdr:col>1</xdr:col>
      <xdr:colOff>28222</xdr:colOff>
      <xdr:row>1</xdr:row>
      <xdr:rowOff>56445</xdr:rowOff>
    </xdr:from>
    <xdr:to>
      <xdr:col>1</xdr:col>
      <xdr:colOff>804334</xdr:colOff>
      <xdr:row>1</xdr:row>
      <xdr:rowOff>832557</xdr:rowOff>
    </xdr:to>
    <xdr:pic>
      <xdr:nvPicPr>
        <xdr:cNvPr id="72" name="Picture 71" descr="18,18,18,18,">
          <a:extLst>
            <a:ext uri="{FF2B5EF4-FFF2-40B4-BE49-F238E27FC236}">
              <a16:creationId xmlns:a16="http://schemas.microsoft.com/office/drawing/2014/main" id="{F57B2B0C-1A01-0D46-82B3-E8D09298BC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920045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42332</xdr:colOff>
      <xdr:row>8</xdr:row>
      <xdr:rowOff>28223</xdr:rowOff>
    </xdr:from>
    <xdr:to>
      <xdr:col>29</xdr:col>
      <xdr:colOff>818444</xdr:colOff>
      <xdr:row>8</xdr:row>
      <xdr:rowOff>804335</xdr:rowOff>
    </xdr:to>
    <xdr:pic>
      <xdr:nvPicPr>
        <xdr:cNvPr id="73" name="Picture 72" descr="18,18,18,18,">
          <a:extLst>
            <a:ext uri="{FF2B5EF4-FFF2-40B4-BE49-F238E27FC236}">
              <a16:creationId xmlns:a16="http://schemas.microsoft.com/office/drawing/2014/main" id="{A14A645A-2D0C-5A41-A976-BD8D88C108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24902582" y="6886223"/>
          <a:ext cx="776112" cy="776112"/>
        </a:xfrm>
        <a:prstGeom prst="rect">
          <a:avLst/>
        </a:prstGeom>
      </xdr:spPr>
    </xdr:pic>
    <xdr:clientData/>
  </xdr:twoCellAnchor>
  <xdr:twoCellAnchor editAs="oneCell">
    <xdr:from>
      <xdr:col>29</xdr:col>
      <xdr:colOff>47625</xdr:colOff>
      <xdr:row>12</xdr:row>
      <xdr:rowOff>31750</xdr:rowOff>
    </xdr:from>
    <xdr:to>
      <xdr:col>30</xdr:col>
      <xdr:colOff>0</xdr:colOff>
      <xdr:row>12</xdr:row>
      <xdr:rowOff>841375</xdr:rowOff>
    </xdr:to>
    <xdr:pic>
      <xdr:nvPicPr>
        <xdr:cNvPr id="74" name="Picture 73" descr="Item:Poker,Pos:1">
          <a:extLst>
            <a:ext uri="{FF2B5EF4-FFF2-40B4-BE49-F238E27FC236}">
              <a16:creationId xmlns:a16="http://schemas.microsoft.com/office/drawing/2014/main" id="{060D9E8F-CEAB-6241-AA8F-EC50668EE8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10394950"/>
          <a:ext cx="803275" cy="809625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41276</xdr:colOff>
      <xdr:row>6</xdr:row>
      <xdr:rowOff>41276</xdr:rowOff>
    </xdr:from>
    <xdr:to>
      <xdr:col>15</xdr:col>
      <xdr:colOff>841376</xdr:colOff>
      <xdr:row>6</xdr:row>
      <xdr:rowOff>841376</xdr:rowOff>
    </xdr:to>
    <xdr:pic>
      <xdr:nvPicPr>
        <xdr:cNvPr id="75" name="Picture 74" descr="Item:Poker,Pos:1">
          <a:extLst>
            <a:ext uri="{FF2B5EF4-FFF2-40B4-BE49-F238E27FC236}">
              <a16:creationId xmlns:a16="http://schemas.microsoft.com/office/drawing/2014/main" id="{EA1093E3-45D5-3A45-B896-B9E066A00C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12900026" y="5184776"/>
          <a:ext cx="800100" cy="800100"/>
        </a:xfrm>
        <a:prstGeom prst="rect">
          <a:avLst/>
        </a:prstGeom>
      </xdr:spPr>
    </xdr:pic>
    <xdr:clientData/>
  </xdr:twoCellAnchor>
  <xdr:twoCellAnchor editAs="oneCell">
    <xdr:from>
      <xdr:col>13</xdr:col>
      <xdr:colOff>63500</xdr:colOff>
      <xdr:row>8</xdr:row>
      <xdr:rowOff>47625</xdr:rowOff>
    </xdr:from>
    <xdr:to>
      <xdr:col>13</xdr:col>
      <xdr:colOff>837500</xdr:colOff>
      <xdr:row>8</xdr:row>
      <xdr:rowOff>821625</xdr:rowOff>
    </xdr:to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DE0EDA29-14EA-614F-95EF-CCC3F63B3C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07750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7</xdr:row>
      <xdr:rowOff>41275</xdr:rowOff>
    </xdr:from>
    <xdr:to>
      <xdr:col>11</xdr:col>
      <xdr:colOff>815275</xdr:colOff>
      <xdr:row>7</xdr:row>
      <xdr:rowOff>815275</xdr:rowOff>
    </xdr:to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33323724-DF49-7E44-9D6C-347BD543F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1025" y="6042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60325</xdr:colOff>
      <xdr:row>5</xdr:row>
      <xdr:rowOff>60325</xdr:rowOff>
    </xdr:from>
    <xdr:to>
      <xdr:col>12</xdr:col>
      <xdr:colOff>834325</xdr:colOff>
      <xdr:row>5</xdr:row>
      <xdr:rowOff>834325</xdr:rowOff>
    </xdr:to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2288ECFF-1BEE-B548-A33F-CE3B7B6408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47325" y="4346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38100</xdr:colOff>
      <xdr:row>8</xdr:row>
      <xdr:rowOff>53975</xdr:rowOff>
    </xdr:from>
    <xdr:to>
      <xdr:col>12</xdr:col>
      <xdr:colOff>812100</xdr:colOff>
      <xdr:row>8</xdr:row>
      <xdr:rowOff>827975</xdr:rowOff>
    </xdr:to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126DE7C4-ED60-8B40-B41B-150164B80B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5100" y="6911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104775</xdr:colOff>
      <xdr:row>8</xdr:row>
      <xdr:rowOff>41275</xdr:rowOff>
    </xdr:from>
    <xdr:to>
      <xdr:col>24</xdr:col>
      <xdr:colOff>21525</xdr:colOff>
      <xdr:row>8</xdr:row>
      <xdr:rowOff>815275</xdr:rowOff>
    </xdr:to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A2D21908-D433-6643-9400-5B7C30892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821525" y="6899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7</xdr:row>
      <xdr:rowOff>34925</xdr:rowOff>
    </xdr:from>
    <xdr:to>
      <xdr:col>16</xdr:col>
      <xdr:colOff>824800</xdr:colOff>
      <xdr:row>7</xdr:row>
      <xdr:rowOff>808925</xdr:rowOff>
    </xdr:to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CC99CFB8-9C5D-EE4D-ABA7-7F75C52F74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6800" y="6035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60325</xdr:colOff>
      <xdr:row>7</xdr:row>
      <xdr:rowOff>28575</xdr:rowOff>
    </xdr:from>
    <xdr:to>
      <xdr:col>15</xdr:col>
      <xdr:colOff>834325</xdr:colOff>
      <xdr:row>7</xdr:row>
      <xdr:rowOff>802575</xdr:rowOff>
    </xdr:to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B285B587-B43F-5740-B5EA-5E4D3C4F8C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9075" y="602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76200</xdr:colOff>
      <xdr:row>5</xdr:row>
      <xdr:rowOff>76200</xdr:rowOff>
    </xdr:from>
    <xdr:to>
      <xdr:col>7</xdr:col>
      <xdr:colOff>850200</xdr:colOff>
      <xdr:row>5</xdr:row>
      <xdr:rowOff>850200</xdr:rowOff>
    </xdr:to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5DF4FCE3-D5D8-BB49-96EA-3FA3E31F51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769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53974</xdr:colOff>
      <xdr:row>8</xdr:row>
      <xdr:rowOff>43392</xdr:rowOff>
    </xdr:from>
    <xdr:to>
      <xdr:col>10</xdr:col>
      <xdr:colOff>827974</xdr:colOff>
      <xdr:row>8</xdr:row>
      <xdr:rowOff>817392</xdr:rowOff>
    </xdr:to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0444CF50-9ABA-CF4B-9488-85CA2E2832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26474" y="690139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8</xdr:row>
      <xdr:rowOff>31750</xdr:rowOff>
    </xdr:from>
    <xdr:to>
      <xdr:col>14</xdr:col>
      <xdr:colOff>821625</xdr:colOff>
      <xdr:row>8</xdr:row>
      <xdr:rowOff>805750</xdr:rowOff>
    </xdr:to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FB111C45-86BF-2645-BF01-DF2F401DA3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49125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850900</xdr:colOff>
      <xdr:row>6</xdr:row>
      <xdr:rowOff>25400</xdr:rowOff>
    </xdr:from>
    <xdr:to>
      <xdr:col>27</xdr:col>
      <xdr:colOff>767650</xdr:colOff>
      <xdr:row>6</xdr:row>
      <xdr:rowOff>799400</xdr:rowOff>
    </xdr:to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DF872DBA-7AE0-8244-8595-DDD9FE0672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139400" y="516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19050</xdr:rowOff>
    </xdr:from>
    <xdr:to>
      <xdr:col>28</xdr:col>
      <xdr:colOff>777175</xdr:colOff>
      <xdr:row>6</xdr:row>
      <xdr:rowOff>793050</xdr:rowOff>
    </xdr:to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ED5F7808-4271-EE46-B548-1946FEC0E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006175" y="516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63500</xdr:colOff>
      <xdr:row>5</xdr:row>
      <xdr:rowOff>31750</xdr:rowOff>
    </xdr:from>
    <xdr:to>
      <xdr:col>18</xdr:col>
      <xdr:colOff>837500</xdr:colOff>
      <xdr:row>5</xdr:row>
      <xdr:rowOff>805750</xdr:rowOff>
    </xdr:to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D6C9822-2D87-1C40-935A-DBBB289589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94000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15875</xdr:colOff>
      <xdr:row>5</xdr:row>
      <xdr:rowOff>47625</xdr:rowOff>
    </xdr:from>
    <xdr:to>
      <xdr:col>19</xdr:col>
      <xdr:colOff>789875</xdr:colOff>
      <xdr:row>5</xdr:row>
      <xdr:rowOff>821625</xdr:rowOff>
    </xdr:to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06A1373B-11C7-2646-B031-71F3A0520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303625" y="433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15875</xdr:colOff>
      <xdr:row>5</xdr:row>
      <xdr:rowOff>31750</xdr:rowOff>
    </xdr:from>
    <xdr:to>
      <xdr:col>20</xdr:col>
      <xdr:colOff>789875</xdr:colOff>
      <xdr:row>5</xdr:row>
      <xdr:rowOff>805750</xdr:rowOff>
    </xdr:to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1EA31E75-241E-9745-A7F0-F82545D3F8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60875" y="4318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29</xdr:col>
      <xdr:colOff>15875</xdr:colOff>
      <xdr:row>6</xdr:row>
      <xdr:rowOff>31750</xdr:rowOff>
    </xdr:from>
    <xdr:to>
      <xdr:col>29</xdr:col>
      <xdr:colOff>789875</xdr:colOff>
      <xdr:row>6</xdr:row>
      <xdr:rowOff>805750</xdr:rowOff>
    </xdr:to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EE4A6D1A-23CA-9441-8C95-D5CAE10C34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76125" y="517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4</xdr:row>
      <xdr:rowOff>47625</xdr:rowOff>
    </xdr:from>
    <xdr:to>
      <xdr:col>19</xdr:col>
      <xdr:colOff>821170</xdr:colOff>
      <xdr:row>5</xdr:row>
      <xdr:rowOff>8819</xdr:rowOff>
    </xdr:to>
    <xdr:pic>
      <xdr:nvPicPr>
        <xdr:cNvPr id="94" name="Picture 93" descr="Item:Potion,Pos:1">
          <a:extLst>
            <a:ext uri="{FF2B5EF4-FFF2-40B4-BE49-F238E27FC236}">
              <a16:creationId xmlns:a16="http://schemas.microsoft.com/office/drawing/2014/main" id="{D8478DF5-4798-B648-8002-4982108747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335375" y="3476625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27</xdr:col>
      <xdr:colOff>851958</xdr:colOff>
      <xdr:row>8</xdr:row>
      <xdr:rowOff>17639</xdr:rowOff>
    </xdr:from>
    <xdr:to>
      <xdr:col>28</xdr:col>
      <xdr:colOff>784930</xdr:colOff>
      <xdr:row>8</xdr:row>
      <xdr:rowOff>807861</xdr:rowOff>
    </xdr:to>
    <xdr:pic>
      <xdr:nvPicPr>
        <xdr:cNvPr id="95" name="Picture 94" descr="Enemy:Archer_LH,Pos:1">
          <a:extLst>
            <a:ext uri="{FF2B5EF4-FFF2-40B4-BE49-F238E27FC236}">
              <a16:creationId xmlns:a16="http://schemas.microsoft.com/office/drawing/2014/main" id="{9D7B05A3-53F4-8E44-8243-0BA6B004B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3997708" y="6875639"/>
          <a:ext cx="790222" cy="790222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3</xdr:row>
      <xdr:rowOff>44450</xdr:rowOff>
    </xdr:from>
    <xdr:to>
      <xdr:col>1</xdr:col>
      <xdr:colOff>793050</xdr:colOff>
      <xdr:row>3</xdr:row>
      <xdr:rowOff>818450</xdr:rowOff>
    </xdr:to>
    <xdr:pic>
      <xdr:nvPicPr>
        <xdr:cNvPr id="96" name="Picture 95" descr=" 9,10, 2, 1,">
          <a:extLst>
            <a:ext uri="{FF2B5EF4-FFF2-40B4-BE49-F238E27FC236}">
              <a16:creationId xmlns:a16="http://schemas.microsoft.com/office/drawing/2014/main" id="{44700499-72BC-4A4E-86A2-FDE9310808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9950" y="26352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69850</xdr:colOff>
      <xdr:row>8</xdr:row>
      <xdr:rowOff>31750</xdr:rowOff>
    </xdr:from>
    <xdr:to>
      <xdr:col>24</xdr:col>
      <xdr:colOff>843850</xdr:colOff>
      <xdr:row>8</xdr:row>
      <xdr:rowOff>805750</xdr:rowOff>
    </xdr:to>
    <xdr:pic>
      <xdr:nvPicPr>
        <xdr:cNvPr id="99" name="Picture 98" descr=" 9,10, 2, 1,">
          <a:extLst>
            <a:ext uri="{FF2B5EF4-FFF2-40B4-BE49-F238E27FC236}">
              <a16:creationId xmlns:a16="http://schemas.microsoft.com/office/drawing/2014/main" id="{A4949C51-B0BA-FD40-9E9D-4C571F48CD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6438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77611</xdr:colOff>
      <xdr:row>8</xdr:row>
      <xdr:rowOff>38805</xdr:rowOff>
    </xdr:from>
    <xdr:to>
      <xdr:col>20</xdr:col>
      <xdr:colOff>851611</xdr:colOff>
      <xdr:row>8</xdr:row>
      <xdr:rowOff>812805</xdr:rowOff>
    </xdr:to>
    <xdr:pic>
      <xdr:nvPicPr>
        <xdr:cNvPr id="104" name="Picture 103" descr=" 4, 5, 1, 2,">
          <a:extLst>
            <a:ext uri="{FF2B5EF4-FFF2-40B4-BE49-F238E27FC236}">
              <a16:creationId xmlns:a16="http://schemas.microsoft.com/office/drawing/2014/main" id="{8DD23E41-9BD1-A24E-BDE5-9E2F14949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222611" y="68968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54679</xdr:colOff>
      <xdr:row>8</xdr:row>
      <xdr:rowOff>33512</xdr:rowOff>
    </xdr:from>
    <xdr:to>
      <xdr:col>21</xdr:col>
      <xdr:colOff>830792</xdr:colOff>
      <xdr:row>8</xdr:row>
      <xdr:rowOff>809625</xdr:rowOff>
    </xdr:to>
    <xdr:pic>
      <xdr:nvPicPr>
        <xdr:cNvPr id="105" name="Picture 104" descr="28,28, 2, 2,">
          <a:extLst>
            <a:ext uri="{FF2B5EF4-FFF2-40B4-BE49-F238E27FC236}">
              <a16:creationId xmlns:a16="http://schemas.microsoft.com/office/drawing/2014/main" id="{D3B2B675-DB45-9F4F-9377-944DAB3632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056929" y="6891512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22</xdr:col>
      <xdr:colOff>80079</xdr:colOff>
      <xdr:row>8</xdr:row>
      <xdr:rowOff>43037</xdr:rowOff>
    </xdr:from>
    <xdr:to>
      <xdr:col>22</xdr:col>
      <xdr:colOff>856192</xdr:colOff>
      <xdr:row>8</xdr:row>
      <xdr:rowOff>819150</xdr:rowOff>
    </xdr:to>
    <xdr:pic>
      <xdr:nvPicPr>
        <xdr:cNvPr id="106" name="Picture 105" descr="28,28, 2, 2,">
          <a:extLst>
            <a:ext uri="{FF2B5EF4-FFF2-40B4-BE49-F238E27FC236}">
              <a16:creationId xmlns:a16="http://schemas.microsoft.com/office/drawing/2014/main" id="{B9A596D5-85EC-6241-A7A9-3B2B93110C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18939579" y="6901037"/>
          <a:ext cx="776113" cy="776113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8</xdr:row>
      <xdr:rowOff>15875</xdr:rowOff>
    </xdr:from>
    <xdr:to>
      <xdr:col>26</xdr:col>
      <xdr:colOff>805750</xdr:colOff>
      <xdr:row>8</xdr:row>
      <xdr:rowOff>789875</xdr:rowOff>
    </xdr:to>
    <xdr:pic>
      <xdr:nvPicPr>
        <xdr:cNvPr id="107" name="Picture 106" descr="12,12, 7, 7,">
          <a:extLst>
            <a:ext uri="{FF2B5EF4-FFF2-40B4-BE49-F238E27FC236}">
              <a16:creationId xmlns:a16="http://schemas.microsoft.com/office/drawing/2014/main" id="{B5105CDE-1626-5F46-80BF-FDB1B6144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320250" y="6873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31750</xdr:colOff>
      <xdr:row>7</xdr:row>
      <xdr:rowOff>15875</xdr:rowOff>
    </xdr:from>
    <xdr:to>
      <xdr:col>26</xdr:col>
      <xdr:colOff>805750</xdr:colOff>
      <xdr:row>7</xdr:row>
      <xdr:rowOff>789875</xdr:rowOff>
    </xdr:to>
    <xdr:pic>
      <xdr:nvPicPr>
        <xdr:cNvPr id="108" name="Picture 107" descr="12,12,12,12,">
          <a:extLst>
            <a:ext uri="{FF2B5EF4-FFF2-40B4-BE49-F238E27FC236}">
              <a16:creationId xmlns:a16="http://schemas.microsoft.com/office/drawing/2014/main" id="{0D8E7894-E13D-2A45-A18B-C6D6982C17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320250" y="601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25400</xdr:colOff>
      <xdr:row>6</xdr:row>
      <xdr:rowOff>22225</xdr:rowOff>
    </xdr:from>
    <xdr:to>
      <xdr:col>26</xdr:col>
      <xdr:colOff>799400</xdr:colOff>
      <xdr:row>6</xdr:row>
      <xdr:rowOff>796225</xdr:rowOff>
    </xdr:to>
    <xdr:pic>
      <xdr:nvPicPr>
        <xdr:cNvPr id="109" name="Picture 108" descr=" 8, 8,12,12,">
          <a:extLst>
            <a:ext uri="{FF2B5EF4-FFF2-40B4-BE49-F238E27FC236}">
              <a16:creationId xmlns:a16="http://schemas.microsoft.com/office/drawing/2014/main" id="{FF541314-2901-C34E-88FA-55014CB97A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313900" y="516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8</xdr:row>
      <xdr:rowOff>63500</xdr:rowOff>
    </xdr:from>
    <xdr:to>
      <xdr:col>8</xdr:col>
      <xdr:colOff>838559</xdr:colOff>
      <xdr:row>8</xdr:row>
      <xdr:rowOff>837500</xdr:rowOff>
    </xdr:to>
    <xdr:pic>
      <xdr:nvPicPr>
        <xdr:cNvPr id="110" name="Picture 109" descr=" 0, 0,38,38,">
          <a:extLst>
            <a:ext uri="{FF2B5EF4-FFF2-40B4-BE49-F238E27FC236}">
              <a16:creationId xmlns:a16="http://schemas.microsoft.com/office/drawing/2014/main" id="{925C7986-161E-CD46-A1B8-E8DA52131A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6911975" y="6921500"/>
          <a:ext cx="784584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35983</xdr:colOff>
      <xdr:row>11</xdr:row>
      <xdr:rowOff>34219</xdr:rowOff>
    </xdr:from>
    <xdr:to>
      <xdr:col>28</xdr:col>
      <xdr:colOff>797982</xdr:colOff>
      <xdr:row>12</xdr:row>
      <xdr:rowOff>827034</xdr:rowOff>
    </xdr:to>
    <xdr:pic>
      <xdr:nvPicPr>
        <xdr:cNvPr id="111" name="Picture 110" descr="Item:SwingingVine">
          <a:extLst>
            <a:ext uri="{FF2B5EF4-FFF2-40B4-BE49-F238E27FC236}">
              <a16:creationId xmlns:a16="http://schemas.microsoft.com/office/drawing/2014/main" id="{62595188-C0EB-9A47-B60E-094F40B335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324483" y="9463969"/>
          <a:ext cx="2476499" cy="1650065"/>
        </a:xfrm>
        <a:prstGeom prst="rect">
          <a:avLst/>
        </a:prstGeom>
      </xdr:spPr>
    </xdr:pic>
    <xdr:clientData/>
  </xdr:twoCellAnchor>
  <xdr:twoCellAnchor editAs="oneCell">
    <xdr:from>
      <xdr:col>9</xdr:col>
      <xdr:colOff>79375</xdr:colOff>
      <xdr:row>8</xdr:row>
      <xdr:rowOff>47625</xdr:rowOff>
    </xdr:from>
    <xdr:to>
      <xdr:col>10</xdr:col>
      <xdr:colOff>6708</xdr:colOff>
      <xdr:row>8</xdr:row>
      <xdr:rowOff>821625</xdr:rowOff>
    </xdr:to>
    <xdr:pic>
      <xdr:nvPicPr>
        <xdr:cNvPr id="112" name="Picture 111" descr=" 0, 0,39,39,">
          <a:extLst>
            <a:ext uri="{FF2B5EF4-FFF2-40B4-BE49-F238E27FC236}">
              <a16:creationId xmlns:a16="http://schemas.microsoft.com/office/drawing/2014/main" id="{DF5C1D5C-559B-8048-A3FF-92674838A96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7794625" y="6905625"/>
          <a:ext cx="784583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25400</xdr:colOff>
      <xdr:row>8</xdr:row>
      <xdr:rowOff>31750</xdr:rowOff>
    </xdr:from>
    <xdr:to>
      <xdr:col>7</xdr:col>
      <xdr:colOff>799400</xdr:colOff>
      <xdr:row>8</xdr:row>
      <xdr:rowOff>805750</xdr:rowOff>
    </xdr:to>
    <xdr:pic>
      <xdr:nvPicPr>
        <xdr:cNvPr id="113" name="Picture 112" descr=" 0, 0,40,40,">
          <a:extLst>
            <a:ext uri="{FF2B5EF4-FFF2-40B4-BE49-F238E27FC236}">
              <a16:creationId xmlns:a16="http://schemas.microsoft.com/office/drawing/2014/main" id="{925B97C0-D7DE-114F-B423-3C10E909A5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6026150" y="688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53975</xdr:colOff>
      <xdr:row>5</xdr:row>
      <xdr:rowOff>69850</xdr:rowOff>
    </xdr:from>
    <xdr:to>
      <xdr:col>8</xdr:col>
      <xdr:colOff>827975</xdr:colOff>
      <xdr:row>5</xdr:row>
      <xdr:rowOff>843850</xdr:rowOff>
    </xdr:to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3D0C299D-AE79-CF49-A420-B66BC869C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1975" y="4356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47625</xdr:colOff>
      <xdr:row>5</xdr:row>
      <xdr:rowOff>63500</xdr:rowOff>
    </xdr:from>
    <xdr:to>
      <xdr:col>9</xdr:col>
      <xdr:colOff>821625</xdr:colOff>
      <xdr:row>5</xdr:row>
      <xdr:rowOff>837500</xdr:rowOff>
    </xdr:to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BF174362-6736-EE4F-8B13-EBDA7702DB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62875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47624</xdr:colOff>
      <xdr:row>8</xdr:row>
      <xdr:rowOff>52917</xdr:rowOff>
    </xdr:from>
    <xdr:to>
      <xdr:col>11</xdr:col>
      <xdr:colOff>821624</xdr:colOff>
      <xdr:row>8</xdr:row>
      <xdr:rowOff>826917</xdr:rowOff>
    </xdr:to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07320745-9281-7D41-AC05-DE59A6704E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4" y="69109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48138</xdr:colOff>
      <xdr:row>6</xdr:row>
      <xdr:rowOff>39220</xdr:rowOff>
    </xdr:from>
    <xdr:to>
      <xdr:col>13</xdr:col>
      <xdr:colOff>855358</xdr:colOff>
      <xdr:row>6</xdr:row>
      <xdr:rowOff>847403</xdr:rowOff>
    </xdr:to>
    <xdr:pic>
      <xdr:nvPicPr>
        <xdr:cNvPr id="117" name="Picture 116" descr="Item:SwingyThing,Pos:1">
          <a:extLst>
            <a:ext uri="{FF2B5EF4-FFF2-40B4-BE49-F238E27FC236}">
              <a16:creationId xmlns:a16="http://schemas.microsoft.com/office/drawing/2014/main" id="{41141DF4-0267-EE47-AFB1-EF39947F44F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0335138" y="5182720"/>
          <a:ext cx="1664470" cy="808183"/>
        </a:xfrm>
        <a:prstGeom prst="rect">
          <a:avLst/>
        </a:prstGeom>
      </xdr:spPr>
    </xdr:pic>
    <xdr:clientData/>
  </xdr:twoCellAnchor>
  <xdr:twoCellAnchor editAs="oneCell">
    <xdr:from>
      <xdr:col>13</xdr:col>
      <xdr:colOff>53975</xdr:colOff>
      <xdr:row>5</xdr:row>
      <xdr:rowOff>53975</xdr:rowOff>
    </xdr:from>
    <xdr:to>
      <xdr:col>13</xdr:col>
      <xdr:colOff>827975</xdr:colOff>
      <xdr:row>5</xdr:row>
      <xdr:rowOff>827975</xdr:rowOff>
    </xdr:to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E53F7959-1178-9B47-ACFE-DFAE9D579D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98225" y="43402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6</xdr:row>
      <xdr:rowOff>47625</xdr:rowOff>
    </xdr:from>
    <xdr:to>
      <xdr:col>10</xdr:col>
      <xdr:colOff>827975</xdr:colOff>
      <xdr:row>6</xdr:row>
      <xdr:rowOff>821625</xdr:rowOff>
    </xdr:to>
    <xdr:pic>
      <xdr:nvPicPr>
        <xdr:cNvPr id="119" name="Picture 118" descr="33,33,31,31,">
          <a:extLst>
            <a:ext uri="{FF2B5EF4-FFF2-40B4-BE49-F238E27FC236}">
              <a16:creationId xmlns:a16="http://schemas.microsoft.com/office/drawing/2014/main" id="{E83761DA-71AB-6E4C-9429-F04816D519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626475" y="5191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44450</xdr:colOff>
      <xdr:row>7</xdr:row>
      <xdr:rowOff>31750</xdr:rowOff>
    </xdr:from>
    <xdr:to>
      <xdr:col>10</xdr:col>
      <xdr:colOff>818450</xdr:colOff>
      <xdr:row>7</xdr:row>
      <xdr:rowOff>805750</xdr:rowOff>
    </xdr:to>
    <xdr:pic>
      <xdr:nvPicPr>
        <xdr:cNvPr id="120" name="Picture 119" descr="31,31,32,32,">
          <a:extLst>
            <a:ext uri="{FF2B5EF4-FFF2-40B4-BE49-F238E27FC236}">
              <a16:creationId xmlns:a16="http://schemas.microsoft.com/office/drawing/2014/main" id="{863594F1-BB92-9147-B62D-9850811C55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8616950" y="6032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41275</xdr:colOff>
      <xdr:row>5</xdr:row>
      <xdr:rowOff>57150</xdr:rowOff>
    </xdr:from>
    <xdr:to>
      <xdr:col>10</xdr:col>
      <xdr:colOff>815275</xdr:colOff>
      <xdr:row>5</xdr:row>
      <xdr:rowOff>831150</xdr:rowOff>
    </xdr:to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D85984BF-9EF9-5B43-AE2B-D5FF6D15E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13775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34925</xdr:colOff>
      <xdr:row>5</xdr:row>
      <xdr:rowOff>50800</xdr:rowOff>
    </xdr:from>
    <xdr:to>
      <xdr:col>11</xdr:col>
      <xdr:colOff>808925</xdr:colOff>
      <xdr:row>5</xdr:row>
      <xdr:rowOff>824800</xdr:rowOff>
    </xdr:to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DC3971CF-9274-FA4B-AC60-9BB7ECE2CF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64675" y="43370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8</xdr:row>
      <xdr:rowOff>47625</xdr:rowOff>
    </xdr:from>
    <xdr:to>
      <xdr:col>17</xdr:col>
      <xdr:colOff>834325</xdr:colOff>
      <xdr:row>8</xdr:row>
      <xdr:rowOff>821625</xdr:rowOff>
    </xdr:to>
    <xdr:pic>
      <xdr:nvPicPr>
        <xdr:cNvPr id="123" name="Picture 122" descr="31,31,32,32,">
          <a:extLst>
            <a:ext uri="{FF2B5EF4-FFF2-40B4-BE49-F238E27FC236}">
              <a16:creationId xmlns:a16="http://schemas.microsoft.com/office/drawing/2014/main" id="{39EEB624-3F70-8441-B4A1-04DF2CDA62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4633575" y="690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50800</xdr:colOff>
      <xdr:row>7</xdr:row>
      <xdr:rowOff>47625</xdr:rowOff>
    </xdr:from>
    <xdr:to>
      <xdr:col>17</xdr:col>
      <xdr:colOff>824800</xdr:colOff>
      <xdr:row>7</xdr:row>
      <xdr:rowOff>821625</xdr:rowOff>
    </xdr:to>
    <xdr:pic>
      <xdr:nvPicPr>
        <xdr:cNvPr id="124" name="Picture 123" descr="31,31,31,31,">
          <a:extLst>
            <a:ext uri="{FF2B5EF4-FFF2-40B4-BE49-F238E27FC236}">
              <a16:creationId xmlns:a16="http://schemas.microsoft.com/office/drawing/2014/main" id="{EAE5C7D9-E7FF-C744-804D-F07B0B2EC0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24050" y="6048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60325</xdr:colOff>
      <xdr:row>6</xdr:row>
      <xdr:rowOff>57150</xdr:rowOff>
    </xdr:from>
    <xdr:to>
      <xdr:col>17</xdr:col>
      <xdr:colOff>834325</xdr:colOff>
      <xdr:row>6</xdr:row>
      <xdr:rowOff>831150</xdr:rowOff>
    </xdr:to>
    <xdr:pic>
      <xdr:nvPicPr>
        <xdr:cNvPr id="125" name="Picture 124" descr="31,31,31,31,">
          <a:extLst>
            <a:ext uri="{FF2B5EF4-FFF2-40B4-BE49-F238E27FC236}">
              <a16:creationId xmlns:a16="http://schemas.microsoft.com/office/drawing/2014/main" id="{2CE8A003-FB67-4D4B-9820-32B4FF0986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3575" y="5200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69850</xdr:colOff>
      <xdr:row>5</xdr:row>
      <xdr:rowOff>66675</xdr:rowOff>
    </xdr:from>
    <xdr:to>
      <xdr:col>17</xdr:col>
      <xdr:colOff>843850</xdr:colOff>
      <xdr:row>5</xdr:row>
      <xdr:rowOff>840675</xdr:rowOff>
    </xdr:to>
    <xdr:pic>
      <xdr:nvPicPr>
        <xdr:cNvPr id="126" name="Picture 125" descr="31,31,31,31,">
          <a:extLst>
            <a:ext uri="{FF2B5EF4-FFF2-40B4-BE49-F238E27FC236}">
              <a16:creationId xmlns:a16="http://schemas.microsoft.com/office/drawing/2014/main" id="{8088CCC2-3568-704A-A057-5098029B1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43100" y="4352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3</xdr:row>
      <xdr:rowOff>47625</xdr:rowOff>
    </xdr:from>
    <xdr:to>
      <xdr:col>17</xdr:col>
      <xdr:colOff>812100</xdr:colOff>
      <xdr:row>3</xdr:row>
      <xdr:rowOff>821625</xdr:rowOff>
    </xdr:to>
    <xdr:pic>
      <xdr:nvPicPr>
        <xdr:cNvPr id="128" name="Picture 127" descr="33,33,31,31,">
          <a:extLst>
            <a:ext uri="{FF2B5EF4-FFF2-40B4-BE49-F238E27FC236}">
              <a16:creationId xmlns:a16="http://schemas.microsoft.com/office/drawing/2014/main" id="{AF3A4CE8-CB5E-8F48-8E1D-CF2EB110C6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4611350" y="2619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81844</xdr:colOff>
      <xdr:row>7</xdr:row>
      <xdr:rowOff>35983</xdr:rowOff>
    </xdr:from>
    <xdr:to>
      <xdr:col>14</xdr:col>
      <xdr:colOff>855844</xdr:colOff>
      <xdr:row>7</xdr:row>
      <xdr:rowOff>809983</xdr:rowOff>
    </xdr:to>
    <xdr:pic>
      <xdr:nvPicPr>
        <xdr:cNvPr id="129" name="Picture 128" descr=" 4, 5, 1, 2,">
          <a:extLst>
            <a:ext uri="{FF2B5EF4-FFF2-40B4-BE49-F238E27FC236}">
              <a16:creationId xmlns:a16="http://schemas.microsoft.com/office/drawing/2014/main" id="{1A4085B5-7825-9B4F-AAAE-1FECAB0C44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083344" y="60367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63500</xdr:colOff>
      <xdr:row>4</xdr:row>
      <xdr:rowOff>60325</xdr:rowOff>
    </xdr:from>
    <xdr:to>
      <xdr:col>17</xdr:col>
      <xdr:colOff>837500</xdr:colOff>
      <xdr:row>4</xdr:row>
      <xdr:rowOff>834325</xdr:rowOff>
    </xdr:to>
    <xdr:pic>
      <xdr:nvPicPr>
        <xdr:cNvPr id="130" name="Picture 129" descr="31,31,31,31,">
          <a:extLst>
            <a:ext uri="{FF2B5EF4-FFF2-40B4-BE49-F238E27FC236}">
              <a16:creationId xmlns:a16="http://schemas.microsoft.com/office/drawing/2014/main" id="{0827C3A6-C8DE-9C43-8C17-8B7F4B81E8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4636750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38100</xdr:colOff>
      <xdr:row>2</xdr:row>
      <xdr:rowOff>69850</xdr:rowOff>
    </xdr:from>
    <xdr:to>
      <xdr:col>17</xdr:col>
      <xdr:colOff>812100</xdr:colOff>
      <xdr:row>2</xdr:row>
      <xdr:rowOff>843850</xdr:rowOff>
    </xdr:to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977629A5-6FBC-DB4D-92AC-EF29075395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611350" y="1784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2</xdr:row>
      <xdr:rowOff>47625</xdr:rowOff>
    </xdr:from>
    <xdr:to>
      <xdr:col>16</xdr:col>
      <xdr:colOff>805750</xdr:colOff>
      <xdr:row>2</xdr:row>
      <xdr:rowOff>821625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D2420B07-2988-7F44-93C0-CBABB1800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47750" y="17621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</xdr:row>
      <xdr:rowOff>57150</xdr:rowOff>
    </xdr:from>
    <xdr:to>
      <xdr:col>18</xdr:col>
      <xdr:colOff>831150</xdr:colOff>
      <xdr:row>2</xdr:row>
      <xdr:rowOff>831150</xdr:rowOff>
    </xdr:to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E46FEC34-960C-1447-9327-AA0174416E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7650" y="1771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53975</xdr:colOff>
      <xdr:row>4</xdr:row>
      <xdr:rowOff>38100</xdr:rowOff>
    </xdr:from>
    <xdr:to>
      <xdr:col>15</xdr:col>
      <xdr:colOff>827975</xdr:colOff>
      <xdr:row>4</xdr:row>
      <xdr:rowOff>812100</xdr:rowOff>
    </xdr:to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0C1BC8FE-D5F1-764E-9D0A-BD7F0B8748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912725" y="346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69850</xdr:colOff>
      <xdr:row>4</xdr:row>
      <xdr:rowOff>53975</xdr:rowOff>
    </xdr:from>
    <xdr:to>
      <xdr:col>10</xdr:col>
      <xdr:colOff>843850</xdr:colOff>
      <xdr:row>4</xdr:row>
      <xdr:rowOff>827975</xdr:rowOff>
    </xdr:to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56BB5192-10CC-6F43-ADA2-2B8A10EF4C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642350" y="34829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47625</xdr:colOff>
      <xdr:row>4</xdr:row>
      <xdr:rowOff>47625</xdr:rowOff>
    </xdr:from>
    <xdr:to>
      <xdr:col>11</xdr:col>
      <xdr:colOff>821625</xdr:colOff>
      <xdr:row>4</xdr:row>
      <xdr:rowOff>821625</xdr:rowOff>
    </xdr:to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C3B7CA4B-F2DC-2942-9F14-98BED5E31B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477375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4</xdr:row>
      <xdr:rowOff>41275</xdr:rowOff>
    </xdr:from>
    <xdr:to>
      <xdr:col>12</xdr:col>
      <xdr:colOff>815275</xdr:colOff>
      <xdr:row>4</xdr:row>
      <xdr:rowOff>815275</xdr:rowOff>
    </xdr:to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E291A66F-0E92-2249-A2E8-4F71C8B21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28275" y="347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47625</xdr:colOff>
      <xdr:row>4</xdr:row>
      <xdr:rowOff>31750</xdr:rowOff>
    </xdr:from>
    <xdr:to>
      <xdr:col>16</xdr:col>
      <xdr:colOff>821625</xdr:colOff>
      <xdr:row>4</xdr:row>
      <xdr:rowOff>805750</xdr:rowOff>
    </xdr:to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64041C48-1DA9-D246-B122-A0B703F719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63625" y="346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34925</xdr:colOff>
      <xdr:row>4</xdr:row>
      <xdr:rowOff>34925</xdr:rowOff>
    </xdr:from>
    <xdr:to>
      <xdr:col>13</xdr:col>
      <xdr:colOff>808925</xdr:colOff>
      <xdr:row>4</xdr:row>
      <xdr:rowOff>808925</xdr:rowOff>
    </xdr:to>
    <xdr:pic>
      <xdr:nvPicPr>
        <xdr:cNvPr id="139" name="Picture 138" descr=" 1, 1, 2, 2,">
          <a:extLst>
            <a:ext uri="{FF2B5EF4-FFF2-40B4-BE49-F238E27FC236}">
              <a16:creationId xmlns:a16="http://schemas.microsoft.com/office/drawing/2014/main" id="{F777DF89-D348-D54B-A7C6-821A97DE3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79175" y="346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28575</xdr:colOff>
      <xdr:row>4</xdr:row>
      <xdr:rowOff>28575</xdr:rowOff>
    </xdr:from>
    <xdr:to>
      <xdr:col>14</xdr:col>
      <xdr:colOff>802575</xdr:colOff>
      <xdr:row>4</xdr:row>
      <xdr:rowOff>802575</xdr:rowOff>
    </xdr:to>
    <xdr:pic>
      <xdr:nvPicPr>
        <xdr:cNvPr id="140" name="Picture 139" descr=" 1, 1, 2, 2,">
          <a:extLst>
            <a:ext uri="{FF2B5EF4-FFF2-40B4-BE49-F238E27FC236}">
              <a16:creationId xmlns:a16="http://schemas.microsoft.com/office/drawing/2014/main" id="{3F134FE7-A2E7-F94A-8C47-3AD07344D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30075" y="345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44161</xdr:colOff>
      <xdr:row>3</xdr:row>
      <xdr:rowOff>47335</xdr:rowOff>
    </xdr:from>
    <xdr:to>
      <xdr:col>10</xdr:col>
      <xdr:colOff>829252</xdr:colOff>
      <xdr:row>3</xdr:row>
      <xdr:rowOff>855518</xdr:rowOff>
    </xdr:to>
    <xdr:pic>
      <xdr:nvPicPr>
        <xdr:cNvPr id="143" name="Picture 142" descr="Item:Flame,Pos:1">
          <a:extLst>
            <a:ext uri="{FF2B5EF4-FFF2-40B4-BE49-F238E27FC236}">
              <a16:creationId xmlns:a16="http://schemas.microsoft.com/office/drawing/2014/main" id="{8E14E3A4-8309-2141-AF49-CFFB5FC988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8616661" y="261908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9</xdr:col>
      <xdr:colOff>63500</xdr:colOff>
      <xdr:row>4</xdr:row>
      <xdr:rowOff>47625</xdr:rowOff>
    </xdr:from>
    <xdr:to>
      <xdr:col>9</xdr:col>
      <xdr:colOff>837500</xdr:colOff>
      <xdr:row>4</xdr:row>
      <xdr:rowOff>821625</xdr:rowOff>
    </xdr:to>
    <xdr:pic>
      <xdr:nvPicPr>
        <xdr:cNvPr id="144" name="Picture 143" descr=" 1, 1, 2, 2,">
          <a:extLst>
            <a:ext uri="{FF2B5EF4-FFF2-40B4-BE49-F238E27FC236}">
              <a16:creationId xmlns:a16="http://schemas.microsoft.com/office/drawing/2014/main" id="{4DC6C4CA-224B-6040-81FC-B325239D95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8750" y="3476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4</xdr:row>
      <xdr:rowOff>57150</xdr:rowOff>
    </xdr:from>
    <xdr:to>
      <xdr:col>8</xdr:col>
      <xdr:colOff>831150</xdr:colOff>
      <xdr:row>4</xdr:row>
      <xdr:rowOff>831150</xdr:rowOff>
    </xdr:to>
    <xdr:pic>
      <xdr:nvPicPr>
        <xdr:cNvPr id="145" name="Picture 144" descr=" 1, 1, 2, 2,">
          <a:extLst>
            <a:ext uri="{FF2B5EF4-FFF2-40B4-BE49-F238E27FC236}">
              <a16:creationId xmlns:a16="http://schemas.microsoft.com/office/drawing/2014/main" id="{3CB74FDB-BABE-8740-8388-1626D449A5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151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66675</xdr:colOff>
      <xdr:row>3</xdr:row>
      <xdr:rowOff>50800</xdr:rowOff>
    </xdr:from>
    <xdr:to>
      <xdr:col>8</xdr:col>
      <xdr:colOff>840675</xdr:colOff>
      <xdr:row>3</xdr:row>
      <xdr:rowOff>824800</xdr:rowOff>
    </xdr:to>
    <xdr:pic>
      <xdr:nvPicPr>
        <xdr:cNvPr id="146" name="Picture 145" descr=" 1, 1, 2, 2,">
          <a:extLst>
            <a:ext uri="{FF2B5EF4-FFF2-40B4-BE49-F238E27FC236}">
              <a16:creationId xmlns:a16="http://schemas.microsoft.com/office/drawing/2014/main" id="{5B3A996F-C1B7-6648-BFC2-04564981EC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24675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3</xdr:row>
      <xdr:rowOff>0</xdr:rowOff>
    </xdr:from>
    <xdr:to>
      <xdr:col>14</xdr:col>
      <xdr:colOff>796637</xdr:colOff>
      <xdr:row>3</xdr:row>
      <xdr:rowOff>796638</xdr:rowOff>
    </xdr:to>
    <xdr:pic>
      <xdr:nvPicPr>
        <xdr:cNvPr id="147" name="Picture 146" descr="Item:Lever_LH,Pos:1,Data:2">
          <a:extLst>
            <a:ext uri="{FF2B5EF4-FFF2-40B4-BE49-F238E27FC236}">
              <a16:creationId xmlns:a16="http://schemas.microsoft.com/office/drawing/2014/main" id="{BA21343E-BB11-3740-96EC-7AB0754EF1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2001500" y="25717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12</xdr:col>
      <xdr:colOff>41275</xdr:colOff>
      <xdr:row>3</xdr:row>
      <xdr:rowOff>25400</xdr:rowOff>
    </xdr:from>
    <xdr:to>
      <xdr:col>12</xdr:col>
      <xdr:colOff>837912</xdr:colOff>
      <xdr:row>3</xdr:row>
      <xdr:rowOff>822038</xdr:rowOff>
    </xdr:to>
    <xdr:pic>
      <xdr:nvPicPr>
        <xdr:cNvPr id="148" name="Picture 147" descr="Item:Lever_LH,Pos:1,Data:1">
          <a:extLst>
            <a:ext uri="{FF2B5EF4-FFF2-40B4-BE49-F238E27FC236}">
              <a16:creationId xmlns:a16="http://schemas.microsoft.com/office/drawing/2014/main" id="{9250963E-C6C0-9447-B997-128D9B8C7D3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0328275" y="2597150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13</xdr:col>
      <xdr:colOff>35631</xdr:colOff>
      <xdr:row>3</xdr:row>
      <xdr:rowOff>40922</xdr:rowOff>
    </xdr:from>
    <xdr:to>
      <xdr:col>13</xdr:col>
      <xdr:colOff>822326</xdr:colOff>
      <xdr:row>3</xdr:row>
      <xdr:rowOff>817034</xdr:rowOff>
    </xdr:to>
    <xdr:pic>
      <xdr:nvPicPr>
        <xdr:cNvPr id="149" name="Picture 148" descr="Item:Lever_Portal_Auto_Closed,Pos:2,Data:256">
          <a:extLst>
            <a:ext uri="{FF2B5EF4-FFF2-40B4-BE49-F238E27FC236}">
              <a16:creationId xmlns:a16="http://schemas.microsoft.com/office/drawing/2014/main" id="{605E999B-58D4-7B45-AB8F-661A48390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1179881" y="2612672"/>
          <a:ext cx="786695" cy="776112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47625</xdr:colOff>
      <xdr:row>11</xdr:row>
      <xdr:rowOff>31750</xdr:rowOff>
    </xdr:from>
    <xdr:to>
      <xdr:col>31</xdr:col>
      <xdr:colOff>841375</xdr:colOff>
      <xdr:row>11</xdr:row>
      <xdr:rowOff>825500</xdr:rowOff>
    </xdr:to>
    <xdr:pic>
      <xdr:nvPicPr>
        <xdr:cNvPr id="78" name="Picture 77" descr="42,42,42,42, ">
          <a:extLst>
            <a:ext uri="{FF2B5EF4-FFF2-40B4-BE49-F238E27FC236}">
              <a16:creationId xmlns:a16="http://schemas.microsoft.com/office/drawing/2014/main" id="{CD4B79F5-7E04-6C48-A304-265D70589A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6622375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15874</xdr:rowOff>
    </xdr:from>
    <xdr:to>
      <xdr:col>32</xdr:col>
      <xdr:colOff>15874</xdr:colOff>
      <xdr:row>12</xdr:row>
      <xdr:rowOff>825499</xdr:rowOff>
    </xdr:to>
    <xdr:pic>
      <xdr:nvPicPr>
        <xdr:cNvPr id="81" name="Picture 80" descr="43,43,43,43, ">
          <a:extLst>
            <a:ext uri="{FF2B5EF4-FFF2-40B4-BE49-F238E27FC236}">
              <a16:creationId xmlns:a16="http://schemas.microsoft.com/office/drawing/2014/main" id="{9ACF3EF9-DF69-B842-8F7F-1916794E8F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6638249" y="1030287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3</xdr:row>
      <xdr:rowOff>31750</xdr:rowOff>
    </xdr:from>
    <xdr:to>
      <xdr:col>2</xdr:col>
      <xdr:colOff>825501</xdr:colOff>
      <xdr:row>3</xdr:row>
      <xdr:rowOff>809626</xdr:rowOff>
    </xdr:to>
    <xdr:pic>
      <xdr:nvPicPr>
        <xdr:cNvPr id="97" name="Picture 96" descr=" 0, 5, 6, 2, ">
          <a:extLst>
            <a:ext uri="{FF2B5EF4-FFF2-40B4-BE49-F238E27FC236}">
              <a16:creationId xmlns:a16="http://schemas.microsoft.com/office/drawing/2014/main" id="{1D031B74-46F6-EF41-BEC7-8F6C96C9BF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62125" y="2603500"/>
          <a:ext cx="777876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47625</xdr:colOff>
      <xdr:row>4</xdr:row>
      <xdr:rowOff>31750</xdr:rowOff>
    </xdr:from>
    <xdr:to>
      <xdr:col>2</xdr:col>
      <xdr:colOff>809625</xdr:colOff>
      <xdr:row>4</xdr:row>
      <xdr:rowOff>793750</xdr:rowOff>
    </xdr:to>
    <xdr:pic>
      <xdr:nvPicPr>
        <xdr:cNvPr id="98" name="Picture 97" descr=" 9, 0, 2,11, ">
          <a:extLst>
            <a:ext uri="{FF2B5EF4-FFF2-40B4-BE49-F238E27FC236}">
              <a16:creationId xmlns:a16="http://schemas.microsoft.com/office/drawing/2014/main" id="{E1F2A33D-B8AE-524F-A1FA-59F916023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62125" y="3460750"/>
          <a:ext cx="762000" cy="762000"/>
        </a:xfrm>
        <a:prstGeom prst="rect">
          <a:avLst/>
        </a:prstGeom>
      </xdr:spPr>
    </xdr:pic>
    <xdr:clientData/>
  </xdr:twoCellAnchor>
  <xdr:twoCellAnchor editAs="oneCell">
    <xdr:from>
      <xdr:col>30</xdr:col>
      <xdr:colOff>31750</xdr:colOff>
      <xdr:row>11</xdr:row>
      <xdr:rowOff>63500</xdr:rowOff>
    </xdr:from>
    <xdr:to>
      <xdr:col>30</xdr:col>
      <xdr:colOff>825500</xdr:colOff>
      <xdr:row>12</xdr:row>
      <xdr:rowOff>0</xdr:rowOff>
    </xdr:to>
    <xdr:pic>
      <xdr:nvPicPr>
        <xdr:cNvPr id="100" name="Picture 99" descr=" 0, 0, 3, 3,">
          <a:extLst>
            <a:ext uri="{FF2B5EF4-FFF2-40B4-BE49-F238E27FC236}">
              <a16:creationId xmlns:a16="http://schemas.microsoft.com/office/drawing/2014/main" id="{22E22675-B57F-EC43-9EEB-144DA9695B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5749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30</xdr:col>
      <xdr:colOff>63499</xdr:colOff>
      <xdr:row>12</xdr:row>
      <xdr:rowOff>63499</xdr:rowOff>
    </xdr:from>
    <xdr:to>
      <xdr:col>30</xdr:col>
      <xdr:colOff>841375</xdr:colOff>
      <xdr:row>12</xdr:row>
      <xdr:rowOff>841375</xdr:rowOff>
    </xdr:to>
    <xdr:pic>
      <xdr:nvPicPr>
        <xdr:cNvPr id="101" name="Picture 100" descr=" 2, 2, 3, 3,">
          <a:extLst>
            <a:ext uri="{FF2B5EF4-FFF2-40B4-BE49-F238E27FC236}">
              <a16:creationId xmlns:a16="http://schemas.microsoft.com/office/drawing/2014/main" id="{7E3FA245-7F77-844C-91D3-2A4B111B92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5780999" y="10350499"/>
          <a:ext cx="777876" cy="7778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4A1C1D43-0309-E046-A412-A64973BD2A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0BC345DB-A148-EC46-B5F7-53669FCB6F8E}"/>
            </a:ext>
            <a:ext uri="{147F2762-F138-4A5C-976F-8EAC2B608ADB}">
              <a16:predDERef xmlns:a16="http://schemas.microsoft.com/office/drawing/2014/main" pred="{25BA3E28-B3C3-4555-B560-8F304722D3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24526F57-AFA6-F84E-8E20-B1694CD8EE8D}"/>
            </a:ext>
            <a:ext uri="{147F2762-F138-4A5C-976F-8EAC2B608ADB}">
              <a16:predDERef xmlns:a16="http://schemas.microsoft.com/office/drawing/2014/main" pred="{FD100459-F6C5-4122-B080-02DD695378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5F9B15C-EDA7-0447-A4F5-455DDFC67CCB}"/>
            </a:ext>
            <a:ext uri="{147F2762-F138-4A5C-976F-8EAC2B608ADB}">
              <a16:predDERef xmlns:a16="http://schemas.microsoft.com/office/drawing/2014/main" pred="{C1F6AE02-3259-45FB-91B0-2E32749821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5E8FA37C-C4F0-5C47-8AD7-E2A750B2754D}"/>
            </a:ext>
            <a:ext uri="{147F2762-F138-4A5C-976F-8EAC2B608ADB}">
              <a16:predDERef xmlns:a16="http://schemas.microsoft.com/office/drawing/2014/main" pred="{49875EEC-487B-4A75-AB59-B68BA42E44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7C6DAF8D-ED80-F44E-8F4C-B0BA0EE03BDC}"/>
            </a:ext>
            <a:ext uri="{147F2762-F138-4A5C-976F-8EAC2B608ADB}">
              <a16:predDERef xmlns:a16="http://schemas.microsoft.com/office/drawing/2014/main" pred="{D05DD657-7DD1-456B-8BC3-977D6DC225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A7BDAE41-5F8C-8047-B9B5-828087FD0166}"/>
            </a:ext>
            <a:ext uri="{147F2762-F138-4A5C-976F-8EAC2B608ADB}">
              <a16:predDERef xmlns:a16="http://schemas.microsoft.com/office/drawing/2014/main" pred="{45FB2F9B-6235-4A23-9342-9E425452B0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BEE04613-09C2-9643-90F8-82B4429E64DB}"/>
            </a:ext>
            <a:ext uri="{147F2762-F138-4A5C-976F-8EAC2B608ADB}">
              <a16:predDERef xmlns:a16="http://schemas.microsoft.com/office/drawing/2014/main" pred="{D0686784-15F0-4B9F-A231-A00ABD4A0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B232656B-73C3-7041-852B-3D58779A524C}"/>
            </a:ext>
            <a:ext uri="{147F2762-F138-4A5C-976F-8EAC2B608ADB}">
              <a16:predDERef xmlns:a16="http://schemas.microsoft.com/office/drawing/2014/main" pred="{5BA074D2-388C-4BC3-B107-E3D182A6F2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8E4EA22-EE56-C644-B5DE-499074CB9074}"/>
            </a:ext>
            <a:ext uri="{147F2762-F138-4A5C-976F-8EAC2B608ADB}">
              <a16:predDERef xmlns:a16="http://schemas.microsoft.com/office/drawing/2014/main" pred="{995E540E-D821-4FA0-A218-F1FBC9B133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35DB94BC-CBDA-0D47-A8B0-26065BD5D410}"/>
            </a:ext>
            <a:ext uri="{147F2762-F138-4A5C-976F-8EAC2B608ADB}">
              <a16:predDERef xmlns:a16="http://schemas.microsoft.com/office/drawing/2014/main" pred="{92371E4D-BE12-4E43-B14C-B56B1711B3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7A5A309A-E498-A84B-A174-DC83068C0D1C}"/>
            </a:ext>
            <a:ext uri="{147F2762-F138-4A5C-976F-8EAC2B608ADB}">
              <a16:predDERef xmlns:a16="http://schemas.microsoft.com/office/drawing/2014/main" pred="{153F1AE2-FE7D-4628-ABB3-F5C581298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9E37C56-DC57-BA44-A9FB-2E8CE86D60B9}"/>
            </a:ext>
            <a:ext uri="{147F2762-F138-4A5C-976F-8EAC2B608ADB}">
              <a16:predDERef xmlns:a16="http://schemas.microsoft.com/office/drawing/2014/main" pred="{59532AEE-FB96-49C5-9F09-B4B0C8F51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F2DDAE9-7E94-C443-BBC6-C90EC8265D03}"/>
            </a:ext>
            <a:ext uri="{147F2762-F138-4A5C-976F-8EAC2B608ADB}">
              <a16:predDERef xmlns:a16="http://schemas.microsoft.com/office/drawing/2014/main" pred="{46DFE4A4-D43B-408D-B072-473E805C69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63ECD32-9A3F-AA48-ADAE-DB0B1ED483D2}"/>
            </a:ext>
            <a:ext uri="{147F2762-F138-4A5C-976F-8EAC2B608ADB}">
              <a16:predDERef xmlns:a16="http://schemas.microsoft.com/office/drawing/2014/main" pred="{26C48802-40CB-490D-9BB3-FF0CEAF9D8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8BA52EFA-226F-3449-89E1-B649FDEA469D}"/>
            </a:ext>
            <a:ext uri="{147F2762-F138-4A5C-976F-8EAC2B608ADB}">
              <a16:predDERef xmlns:a16="http://schemas.microsoft.com/office/drawing/2014/main" pred="{A9E38259-3AFF-42B3-B815-7A85FEA2BD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9C197751-115B-314B-9A37-0B1C0A11B73D}"/>
            </a:ext>
            <a:ext uri="{147F2762-F138-4A5C-976F-8EAC2B608ADB}">
              <a16:predDERef xmlns:a16="http://schemas.microsoft.com/office/drawing/2014/main" pred="{779BD483-F887-44EF-ABC8-58563264F0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AF54827C-AC35-A447-B162-1FA578DE666F}"/>
            </a:ext>
            <a:ext uri="{147F2762-F138-4A5C-976F-8EAC2B608ADB}">
              <a16:predDERef xmlns:a16="http://schemas.microsoft.com/office/drawing/2014/main" pred="{EB5BFB55-E4C0-484C-A91F-A75EC3702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C9B20F86-6E39-1A48-911D-FA5F1D25EEB6}"/>
            </a:ext>
            <a:ext uri="{147F2762-F138-4A5C-976F-8EAC2B608ADB}">
              <a16:predDERef xmlns:a16="http://schemas.microsoft.com/office/drawing/2014/main" pred="{6767806F-386F-433B-8D9D-E5EC78CDCC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45E764B4-7F15-1F4F-A9F3-4B1C435446FE}"/>
            </a:ext>
            <a:ext uri="{147F2762-F138-4A5C-976F-8EAC2B608ADB}">
              <a16:predDERef xmlns:a16="http://schemas.microsoft.com/office/drawing/2014/main" pred="{EC497C55-FB28-4721-B80C-07A885412D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B59DB996-9961-034D-9843-02E89D2A2CE1}"/>
            </a:ext>
            <a:ext uri="{147F2762-F138-4A5C-976F-8EAC2B608ADB}">
              <a16:predDERef xmlns:a16="http://schemas.microsoft.com/office/drawing/2014/main" pred="{466E72D3-C31C-4E4C-8AF9-104A2EA0BD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3FB9A755-F953-2B44-8930-E4F94D9F51F4}"/>
            </a:ext>
            <a:ext uri="{147F2762-F138-4A5C-976F-8EAC2B608ADB}">
              <a16:predDERef xmlns:a16="http://schemas.microsoft.com/office/drawing/2014/main" pred="{235A90A9-6C57-496E-9E41-BD9C4F4759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C74372-4D91-DC4B-A1A6-08E4C082F495}"/>
            </a:ext>
            <a:ext uri="{147F2762-F138-4A5C-976F-8EAC2B608ADB}">
              <a16:predDERef xmlns:a16="http://schemas.microsoft.com/office/drawing/2014/main" pred="{F792A6CC-F36F-4B43-99EE-61A590329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995DA605-666F-2947-8F0F-1CE9ED37570B}"/>
            </a:ext>
            <a:ext uri="{147F2762-F138-4A5C-976F-8EAC2B608ADB}">
              <a16:predDERef xmlns:a16="http://schemas.microsoft.com/office/drawing/2014/main" pred="{7F15BB09-7DB2-42CD-8351-C50EB65D38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EC13739B-599A-514A-BA49-9B0710ED0A9A}"/>
            </a:ext>
            <a:ext uri="{147F2762-F138-4A5C-976F-8EAC2B608ADB}">
              <a16:predDERef xmlns:a16="http://schemas.microsoft.com/office/drawing/2014/main" pred="{CF933093-EEC7-4B39-8408-CD8DB69D7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CF24107D-2FB5-E94F-BA8E-DC7109581260}"/>
            </a:ext>
            <a:ext uri="{147F2762-F138-4A5C-976F-8EAC2B608ADB}">
              <a16:predDERef xmlns:a16="http://schemas.microsoft.com/office/drawing/2014/main" pred="{7BD41A3E-8DE2-4D04-82B1-5129506B47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BF9B34BA-0229-994D-AFDC-24B33F62EC89}"/>
            </a:ext>
            <a:ext uri="{147F2762-F138-4A5C-976F-8EAC2B608ADB}">
              <a16:predDERef xmlns:a16="http://schemas.microsoft.com/office/drawing/2014/main" pred="{A76C8C3E-995C-4781-9BB7-F80F034AF9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3AD27988-DE77-104D-8B55-3C5948B542BE}"/>
            </a:ext>
            <a:ext uri="{147F2762-F138-4A5C-976F-8EAC2B608ADB}">
              <a16:predDERef xmlns:a16="http://schemas.microsoft.com/office/drawing/2014/main" pred="{D465853E-EE18-4220-B62D-2C9B6A66B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32B5C98C-5DF6-6F4B-B74B-33D0EEB8728A}"/>
            </a:ext>
            <a:ext uri="{147F2762-F138-4A5C-976F-8EAC2B608ADB}">
              <a16:predDERef xmlns:a16="http://schemas.microsoft.com/office/drawing/2014/main" pred="{671A7DCA-484F-4A74-B3D3-D54D8108F2D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F35C0E9E-39A9-D247-A1BE-2626C3431086}"/>
            </a:ext>
            <a:ext uri="{147F2762-F138-4A5C-976F-8EAC2B608ADB}">
              <a16:predDERef xmlns:a16="http://schemas.microsoft.com/office/drawing/2014/main" pred="{4FB96A20-3D78-4DE9-8683-8CBC117D489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FAC3894-2C1C-624B-B253-28AE3BBE30A6}"/>
            </a:ext>
            <a:ext uri="{147F2762-F138-4A5C-976F-8EAC2B608ADB}">
              <a16:predDERef xmlns:a16="http://schemas.microsoft.com/office/drawing/2014/main" pred="{E96320D5-1E3D-4910-AFF1-26B3F346E9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9EF44010-05F5-3446-85C7-9DDD24BBF6EB}"/>
            </a:ext>
            <a:ext uri="{147F2762-F138-4A5C-976F-8EAC2B608ADB}">
              <a16:predDERef xmlns:a16="http://schemas.microsoft.com/office/drawing/2014/main" pred="{20D1B02E-7A86-4660-9529-F4D1CF50A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9C0110B7-C557-3A42-8C2A-1990C93ACFAF}"/>
            </a:ext>
            <a:ext uri="{147F2762-F138-4A5C-976F-8EAC2B608ADB}">
              <a16:predDERef xmlns:a16="http://schemas.microsoft.com/office/drawing/2014/main" pred="{AEE8C280-05D3-4CA0-94DD-C3BC697C2E2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546BE3A-EDEF-8E43-BC4E-619C074AE33F}"/>
            </a:ext>
            <a:ext uri="{147F2762-F138-4A5C-976F-8EAC2B608ADB}">
              <a16:predDERef xmlns:a16="http://schemas.microsoft.com/office/drawing/2014/main" pred="{61F87C47-AAEB-4337-B3E6-67C1D16119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E7C424AE-D2F9-ED44-B00E-2632E3DC44A5}"/>
            </a:ext>
            <a:ext uri="{147F2762-F138-4A5C-976F-8EAC2B608ADB}">
              <a16:predDERef xmlns:a16="http://schemas.microsoft.com/office/drawing/2014/main" pred="{4194D7B0-27F4-449A-9CC6-5C970FA92F6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4E9DD803-60FD-EC44-B665-82E6397821BF}"/>
            </a:ext>
            <a:ext uri="{147F2762-F138-4A5C-976F-8EAC2B608ADB}">
              <a16:predDERef xmlns:a16="http://schemas.microsoft.com/office/drawing/2014/main" pred="{E69F0D8F-6EDB-4A9E-837D-D6A9C4794F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361CC38F-A1CA-F64B-89C1-CF3320E99A18}"/>
            </a:ext>
            <a:ext uri="{147F2762-F138-4A5C-976F-8EAC2B608ADB}">
              <a16:predDERef xmlns:a16="http://schemas.microsoft.com/office/drawing/2014/main" pred="{ABBCBE16-577F-4F55-996E-590A993C8D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EBDA0E2C-8999-8C40-813E-BDDCDC7F9B39}"/>
            </a:ext>
            <a:ext uri="{147F2762-F138-4A5C-976F-8EAC2B608ADB}">
              <a16:predDERef xmlns:a16="http://schemas.microsoft.com/office/drawing/2014/main" pred="{146EF60C-D96F-4A5D-A5FA-605688F2C4F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FEFDC375-761A-DE4C-8BBC-9EDDBD37F5B4}"/>
            </a:ext>
            <a:ext uri="{147F2762-F138-4A5C-976F-8EAC2B608ADB}">
              <a16:predDERef xmlns:a16="http://schemas.microsoft.com/office/drawing/2014/main" pred="{1A2D0E4E-2425-4CFF-A646-0ABC5D5FF5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D2304BF8-1C58-084E-A5E4-2DFF444A8271}"/>
            </a:ext>
            <a:ext uri="{147F2762-F138-4A5C-976F-8EAC2B608ADB}">
              <a16:predDERef xmlns:a16="http://schemas.microsoft.com/office/drawing/2014/main" pred="{E90AB9DB-4680-4B7C-99D2-18E42E77B1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9BCF0038-C068-2044-B61A-C2A0016B6AF0}"/>
            </a:ext>
            <a:ext uri="{147F2762-F138-4A5C-976F-8EAC2B608ADB}">
              <a16:predDERef xmlns:a16="http://schemas.microsoft.com/office/drawing/2014/main" pred="{0C10380F-F508-40D1-A327-E45A633C46C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D7016FE4-0D11-4941-A078-10A59810F5D4}"/>
            </a:ext>
            <a:ext uri="{147F2762-F138-4A5C-976F-8EAC2B608ADB}">
              <a16:predDERef xmlns:a16="http://schemas.microsoft.com/office/drawing/2014/main" pred="{BFB7F4D2-647B-4283-B610-95449AF4F9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24A4E34F-9C18-C443-88B3-5BE0F2E6DE0F}"/>
            </a:ext>
            <a:ext uri="{147F2762-F138-4A5C-976F-8EAC2B608ADB}">
              <a16:predDERef xmlns:a16="http://schemas.microsoft.com/office/drawing/2014/main" pred="{A85E3EDD-DBB2-46FD-AD12-C70E72FE3F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58994228-8C62-3640-910F-6288E34B70A2}"/>
            </a:ext>
            <a:ext uri="{147F2762-F138-4A5C-976F-8EAC2B608ADB}">
              <a16:predDERef xmlns:a16="http://schemas.microsoft.com/office/drawing/2014/main" pred="{9B1EB6D5-9CC7-4141-919A-899B835149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D52F233E-6896-EA45-AFB2-6366DAA72ED7}"/>
            </a:ext>
            <a:ext uri="{147F2762-F138-4A5C-976F-8EAC2B608ADB}">
              <a16:predDERef xmlns:a16="http://schemas.microsoft.com/office/drawing/2014/main" pred="{076D18E9-652C-4DD1-B7DE-DAD530287A0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D507ADD1-9FEB-0C4E-9843-867880BC7DCB}"/>
            </a:ext>
            <a:ext uri="{147F2762-F138-4A5C-976F-8EAC2B608ADB}">
              <a16:predDERef xmlns:a16="http://schemas.microsoft.com/office/drawing/2014/main" pred="{5C718EAD-D1C1-46D8-A0D1-A8EFCB49A6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EE5CEC73-D176-2E48-A61B-236755484B0D}"/>
            </a:ext>
            <a:ext uri="{147F2762-F138-4A5C-976F-8EAC2B608ADB}">
              <a16:predDERef xmlns:a16="http://schemas.microsoft.com/office/drawing/2014/main" pred="{14FD7234-59DA-4DF0-B58B-2FB5BEC2BB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551CF73E-448B-F042-A9E9-7A26A59CCA50}"/>
            </a:ext>
            <a:ext uri="{147F2762-F138-4A5C-976F-8EAC2B608ADB}">
              <a16:predDERef xmlns:a16="http://schemas.microsoft.com/office/drawing/2014/main" pred="{C1C94F31-D906-4855-A8C1-AE2F1E6718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674A1CFA-41C3-B14F-9FFD-4BB636C374CF}"/>
            </a:ext>
            <a:ext uri="{147F2762-F138-4A5C-976F-8EAC2B608ADB}">
              <a16:predDERef xmlns:a16="http://schemas.microsoft.com/office/drawing/2014/main" pred="{C8FDB894-8D4E-4E5C-B8E1-543DDAC9E3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FAC65081-90F4-5647-9F4C-460C73FA8A7E}"/>
            </a:ext>
            <a:ext uri="{147F2762-F138-4A5C-976F-8EAC2B608ADB}">
              <a16:predDERef xmlns:a16="http://schemas.microsoft.com/office/drawing/2014/main" pred="{E8110CD6-6DE8-4F90-9B63-60C7EA6B15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D787107E-76B8-224F-84AA-7CF9A1B3861D}"/>
            </a:ext>
            <a:ext uri="{147F2762-F138-4A5C-976F-8EAC2B608ADB}">
              <a16:predDERef xmlns:a16="http://schemas.microsoft.com/office/drawing/2014/main" pred="{D7B5475A-4263-49F1-9A8E-F530F7AC76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9EA85131-7143-1B48-8834-952E2D54F08E}"/>
            </a:ext>
            <a:ext uri="{147F2762-F138-4A5C-976F-8EAC2B608ADB}">
              <a16:predDERef xmlns:a16="http://schemas.microsoft.com/office/drawing/2014/main" pred="{4082BFD9-7C12-464F-99BC-60A44D3300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19272161-8FE3-EA4B-9DD9-7DD838500CBE}"/>
            </a:ext>
            <a:ext uri="{147F2762-F138-4A5C-976F-8EAC2B608ADB}">
              <a16:predDERef xmlns:a16="http://schemas.microsoft.com/office/drawing/2014/main" pred="{0012604C-5DCB-45A2-BD92-7B870550F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72A9790C-D74E-FE43-B1EA-80C1ED187298}"/>
            </a:ext>
            <a:ext uri="{147F2762-F138-4A5C-976F-8EAC2B608ADB}">
              <a16:predDERef xmlns:a16="http://schemas.microsoft.com/office/drawing/2014/main" pred="{3DB16CB7-37E6-47E7-8740-25251D3907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7C3463F0-F226-1C45-9906-3F557B5540FF}"/>
            </a:ext>
            <a:ext uri="{147F2762-F138-4A5C-976F-8EAC2B608ADB}">
              <a16:predDERef xmlns:a16="http://schemas.microsoft.com/office/drawing/2014/main" pred="{F4877BEE-12A4-4208-B61C-8A760A86F5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522B92E7-D5AE-E746-BCEB-6384A2595B9D}"/>
            </a:ext>
            <a:ext uri="{147F2762-F138-4A5C-976F-8EAC2B608ADB}">
              <a16:predDERef xmlns:a16="http://schemas.microsoft.com/office/drawing/2014/main" pred="{35475D78-C0FB-4533-8E74-75B65E65A0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A637AB53-F4E9-894F-8703-EF3F135A7F1F}"/>
            </a:ext>
            <a:ext uri="{147F2762-F138-4A5C-976F-8EAC2B608ADB}">
              <a16:predDERef xmlns:a16="http://schemas.microsoft.com/office/drawing/2014/main" pred="{10A002A3-F88D-420F-BABD-6F32CE0D8E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9387C161-C565-2045-BFE4-CD63345845E4}"/>
            </a:ext>
            <a:ext uri="{147F2762-F138-4A5C-976F-8EAC2B608ADB}">
              <a16:predDERef xmlns:a16="http://schemas.microsoft.com/office/drawing/2014/main" pred="{C2434036-3E21-4AE3-B551-9C522240D9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0C30D974-C400-1445-8BE6-3DAC94ECF976}"/>
            </a:ext>
            <a:ext uri="{147F2762-F138-4A5C-976F-8EAC2B608ADB}">
              <a16:predDERef xmlns:a16="http://schemas.microsoft.com/office/drawing/2014/main" pred="{D63CBA9D-EFA7-4078-A162-B7367AB5C7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5ABE2F6C-AA48-F34F-93C6-332DE4FC5473}"/>
            </a:ext>
            <a:ext uri="{147F2762-F138-4A5C-976F-8EAC2B608ADB}">
              <a16:predDERef xmlns:a16="http://schemas.microsoft.com/office/drawing/2014/main" pred="{842DA9BA-F631-457E-A85A-20BB3E2CF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F423FE6B-CE10-D24C-B251-0F4A01010537}"/>
            </a:ext>
            <a:ext uri="{147F2762-F138-4A5C-976F-8EAC2B608ADB}">
              <a16:predDERef xmlns:a16="http://schemas.microsoft.com/office/drawing/2014/main" pred="{1E6F5E6F-4AD5-4F70-BD5C-FF80DC8D47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CCA72CCE-3B06-3544-9255-12992462A705}"/>
            </a:ext>
            <a:ext uri="{147F2762-F138-4A5C-976F-8EAC2B608ADB}">
              <a16:predDERef xmlns:a16="http://schemas.microsoft.com/office/drawing/2014/main" pred="{F4E3A034-EA07-4EAC-812F-0FFD709FC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4303BFB9-6390-3B4C-9B25-711886023B75}"/>
            </a:ext>
            <a:ext uri="{147F2762-F138-4A5C-976F-8EAC2B608ADB}">
              <a16:predDERef xmlns:a16="http://schemas.microsoft.com/office/drawing/2014/main" pred="{7953E1B0-2670-4B94-81E4-81CD1D6BFE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2BE76E52-85D7-6C49-B29D-FD38D312A124}"/>
            </a:ext>
            <a:ext uri="{147F2762-F138-4A5C-976F-8EAC2B608ADB}">
              <a16:predDERef xmlns:a16="http://schemas.microsoft.com/office/drawing/2014/main" pred="{5913F6F9-1F06-4AD4-8619-C7913C4A51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78A8B97E-FF89-F549-8581-35B1AF41F285}"/>
            </a:ext>
            <a:ext uri="{147F2762-F138-4A5C-976F-8EAC2B608ADB}">
              <a16:predDERef xmlns:a16="http://schemas.microsoft.com/office/drawing/2014/main" pred="{4D828624-6C56-4175-B9B4-FD46E1A248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326F4B63-6668-0C43-B8D0-9CE9A86DEC8B}"/>
            </a:ext>
            <a:ext uri="{147F2762-F138-4A5C-976F-8EAC2B608ADB}">
              <a16:predDERef xmlns:a16="http://schemas.microsoft.com/office/drawing/2014/main" pred="{672E58D1-8226-420C-812B-C05A47CDB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9D2678F4-1A97-3942-B513-F884F0A5BF0E}"/>
            </a:ext>
            <a:ext uri="{147F2762-F138-4A5C-976F-8EAC2B608ADB}">
              <a16:predDERef xmlns:a16="http://schemas.microsoft.com/office/drawing/2014/main" pred="{C405EBCC-EBBC-49A3-93CC-56B7BCA5E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5B84BCDB-FE8E-E64F-B640-0BA5F37D7151}"/>
            </a:ext>
            <a:ext uri="{147F2762-F138-4A5C-976F-8EAC2B608ADB}">
              <a16:predDERef xmlns:a16="http://schemas.microsoft.com/office/drawing/2014/main" pred="{041E0FDF-E394-4734-81E4-96E8993945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0A9D66C2-5F7F-E343-8E4E-AAAB38AF4EBE}"/>
            </a:ext>
            <a:ext uri="{147F2762-F138-4A5C-976F-8EAC2B608ADB}">
              <a16:predDERef xmlns:a16="http://schemas.microsoft.com/office/drawing/2014/main" pred="{6FE8581C-43E1-46F1-A3E2-A2658C3B7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7FCFE57F-BEA4-E240-9AE9-9F918C9F76F8}"/>
            </a:ext>
            <a:ext uri="{147F2762-F138-4A5C-976F-8EAC2B608ADB}">
              <a16:predDERef xmlns:a16="http://schemas.microsoft.com/office/drawing/2014/main" pred="{DD576B68-C0BC-468A-AACB-290142317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6F99F046-D1F2-3A4E-A101-BD899CDAAE10}"/>
            </a:ext>
            <a:ext uri="{147F2762-F138-4A5C-976F-8EAC2B608ADB}">
              <a16:predDERef xmlns:a16="http://schemas.microsoft.com/office/drawing/2014/main" pred="{F748BF7B-690A-488E-B4E0-431822A4B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93D8F825-30B6-3E4F-A420-3165942DC1E5}"/>
            </a:ext>
            <a:ext uri="{147F2762-F138-4A5C-976F-8EAC2B608ADB}">
              <a16:predDERef xmlns:a16="http://schemas.microsoft.com/office/drawing/2014/main" pred="{DF5146E5-7721-4BE8-9220-9709AC495F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4BECE727-3596-D54D-8EEB-91D56D8C8CBA}"/>
            </a:ext>
            <a:ext uri="{147F2762-F138-4A5C-976F-8EAC2B608ADB}">
              <a16:predDERef xmlns:a16="http://schemas.microsoft.com/office/drawing/2014/main" pred="{5B8A6F69-AB66-420E-AC9A-1000361320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774000" cy="774000"/>
    <xdr:pic>
      <xdr:nvPicPr>
        <xdr:cNvPr id="75" name="Picture 74" descr=" 1, 1, 2, 2,">
          <a:extLst>
            <a:ext uri="{FF2B5EF4-FFF2-40B4-BE49-F238E27FC236}">
              <a16:creationId xmlns:a16="http://schemas.microsoft.com/office/drawing/2014/main" id="{10CF5453-A2EB-FC4F-B993-0B786B2342E0}"/>
            </a:ext>
            <a:ext uri="{147F2762-F138-4A5C-976F-8EAC2B608ADB}">
              <a16:predDERef xmlns:a16="http://schemas.microsoft.com/office/drawing/2014/main" pred="{B1DB5CE7-0CEF-4D6C-B8D9-F197E31755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6" name="Picture 75" descr=" 1, 1, 2, 2,">
          <a:extLst>
            <a:ext uri="{FF2B5EF4-FFF2-40B4-BE49-F238E27FC236}">
              <a16:creationId xmlns:a16="http://schemas.microsoft.com/office/drawing/2014/main" id="{9B3D63C6-037A-6843-9C2F-58F3B7564033}"/>
            </a:ext>
            <a:ext uri="{147F2762-F138-4A5C-976F-8EAC2B608ADB}">
              <a16:predDERef xmlns:a16="http://schemas.microsoft.com/office/drawing/2014/main" pred="{BB1C00F8-FFBC-4111-8D99-E4F78BFABC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44433A7C-F0B5-A74E-991C-8079627CBF63}"/>
            </a:ext>
            <a:ext uri="{147F2762-F138-4A5C-976F-8EAC2B608ADB}">
              <a16:predDERef xmlns:a16="http://schemas.microsoft.com/office/drawing/2014/main" pred="{198D0AF3-06F6-44A2-8D22-EA55A75AC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84C1F700-3700-7149-925B-7EDCFF8F20A4}"/>
            </a:ext>
            <a:ext uri="{147F2762-F138-4A5C-976F-8EAC2B608ADB}">
              <a16:predDERef xmlns:a16="http://schemas.microsoft.com/office/drawing/2014/main" pred="{84B2C305-89FF-4628-9A02-F79286D47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02768927-9B35-BA4E-B593-C18595FF72A8}"/>
            </a:ext>
            <a:ext uri="{147F2762-F138-4A5C-976F-8EAC2B608ADB}">
              <a16:predDERef xmlns:a16="http://schemas.microsoft.com/office/drawing/2014/main" pred="{C92AD12A-119E-428B-9919-C0D8D0EC31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A8EE2E31-C681-C84A-AC1E-A5E23255AE75}"/>
            </a:ext>
            <a:ext uri="{147F2762-F138-4A5C-976F-8EAC2B608ADB}">
              <a16:predDERef xmlns:a16="http://schemas.microsoft.com/office/drawing/2014/main" pred="{917C2361-BA5B-4375-8722-CC4E8EAF62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6EBCA63F-BC7F-C64E-BC33-0A1BD3EC0457}"/>
            </a:ext>
            <a:ext uri="{147F2762-F138-4A5C-976F-8EAC2B608ADB}">
              <a16:predDERef xmlns:a16="http://schemas.microsoft.com/office/drawing/2014/main" pred="{855A16AA-875A-4A59-B086-069C4DC1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EE07E53E-0E84-D749-8E80-5AF544230360}"/>
            </a:ext>
            <a:ext uri="{147F2762-F138-4A5C-976F-8EAC2B608ADB}">
              <a16:predDERef xmlns:a16="http://schemas.microsoft.com/office/drawing/2014/main" pred="{1B437BE0-2ECC-46FF-9EF7-A0FE8C71A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31A37B03-E51F-C541-98CE-51F0EE95D5FD}"/>
            </a:ext>
            <a:ext uri="{147F2762-F138-4A5C-976F-8EAC2B608ADB}">
              <a16:predDERef xmlns:a16="http://schemas.microsoft.com/office/drawing/2014/main" pred="{1AD761C2-80EA-4CEA-8F64-6FD7833425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4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412AFB88-A148-2041-9273-D05741648CA9}"/>
            </a:ext>
            <a:ext uri="{147F2762-F138-4A5C-976F-8EAC2B608ADB}">
              <a16:predDERef xmlns:a16="http://schemas.microsoft.com/office/drawing/2014/main" pred="{ABEAC55C-E95B-4D41-A14A-3E73AE54F8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1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988C7A95-3102-0447-8BE7-2F8C7CC3CEAF}"/>
            </a:ext>
            <a:ext uri="{147F2762-F138-4A5C-976F-8EAC2B608ADB}">
              <a16:predDERef xmlns:a16="http://schemas.microsoft.com/office/drawing/2014/main" pred="{065DF7A4-229E-421B-8DB3-A386311938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FB6E1BC2-EA7B-764F-9F29-7CFD81ADCD13}"/>
            </a:ext>
            <a:ext uri="{147F2762-F138-4A5C-976F-8EAC2B608ADB}">
              <a16:predDERef xmlns:a16="http://schemas.microsoft.com/office/drawing/2014/main" pred="{715EE13A-40C8-4D02-B865-58DB2EEBED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70EC9B6B-2DA2-5E46-A48B-1F99E7449B13}"/>
            </a:ext>
            <a:ext uri="{147F2762-F138-4A5C-976F-8EAC2B608ADB}">
              <a16:predDERef xmlns:a16="http://schemas.microsoft.com/office/drawing/2014/main" pred="{85451329-7C7D-4E42-AF32-2D79A9895E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7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4240BE03-6FCD-9147-B423-3BA1FE52AE46}"/>
            </a:ext>
            <a:ext uri="{147F2762-F138-4A5C-976F-8EAC2B608ADB}">
              <a16:predDERef xmlns:a16="http://schemas.microsoft.com/office/drawing/2014/main" pred="{1B001019-970E-4B09-BD40-A9041AE862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23848A5E-121D-6140-8D01-48113AF602D2}"/>
            </a:ext>
            <a:ext uri="{147F2762-F138-4A5C-976F-8EAC2B608ADB}">
              <a16:predDERef xmlns:a16="http://schemas.microsoft.com/office/drawing/2014/main" pred="{18D25CB5-24AF-4173-9E5C-35C593161B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15BD64C2-06BD-BB49-8222-78DDD6D239A6}"/>
            </a:ext>
            <a:ext uri="{147F2762-F138-4A5C-976F-8EAC2B608ADB}">
              <a16:predDERef xmlns:a16="http://schemas.microsoft.com/office/drawing/2014/main" pred="{37B77E53-975E-4A77-9A16-E5208B84F4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CA6D1A09-68B4-2B4C-A08B-EC8DAD156DBB}"/>
            </a:ext>
            <a:ext uri="{147F2762-F138-4A5C-976F-8EAC2B608ADB}">
              <a16:predDERef xmlns:a16="http://schemas.microsoft.com/office/drawing/2014/main" pred="{534BED0B-4E9B-43AD-BFCB-C4B917A858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4BE34B48-4467-1044-8007-EA53635E8160}"/>
            </a:ext>
            <a:ext uri="{147F2762-F138-4A5C-976F-8EAC2B608ADB}">
              <a16:predDERef xmlns:a16="http://schemas.microsoft.com/office/drawing/2014/main" pred="{28916228-FD6E-424A-81AC-1499657F48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8282531-56E2-F846-94BB-117215CD4776}"/>
            </a:ext>
            <a:ext uri="{147F2762-F138-4A5C-976F-8EAC2B608ADB}">
              <a16:predDERef xmlns:a16="http://schemas.microsoft.com/office/drawing/2014/main" pred="{29DCC2AC-EC9D-432C-B7A8-B8976BDD33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7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E1737AD5-AE7D-C24F-B2AA-64C5B1F7203F}"/>
            </a:ext>
            <a:ext uri="{147F2762-F138-4A5C-976F-8EAC2B608ADB}">
              <a16:predDERef xmlns:a16="http://schemas.microsoft.com/office/drawing/2014/main" pred="{748CD204-D03C-4A07-ADB1-406BE6235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8F0CD851-C49A-8C4C-ADD8-543E3B7FC8AA}"/>
            </a:ext>
            <a:ext uri="{147F2762-F138-4A5C-976F-8EAC2B608ADB}">
              <a16:predDERef xmlns:a16="http://schemas.microsoft.com/office/drawing/2014/main" pred="{9FE398E9-0CC5-4DEF-9813-AB849D302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6CB6A936-24C9-E141-96FD-01E6BF77B9F6}"/>
            </a:ext>
            <a:ext uri="{147F2762-F138-4A5C-976F-8EAC2B608ADB}">
              <a16:predDERef xmlns:a16="http://schemas.microsoft.com/office/drawing/2014/main" pred="{C18596B1-919E-4105-AD44-937A2777A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446510CF-39ED-CD41-9D72-E2190E12A42D}"/>
            </a:ext>
            <a:ext uri="{147F2762-F138-4A5C-976F-8EAC2B608ADB}">
              <a16:predDERef xmlns:a16="http://schemas.microsoft.com/office/drawing/2014/main" pred="{7EEC7DC8-229F-430B-860C-02388B06E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011139A6-F649-B34A-B7A8-B7DFEDEBB66F}"/>
            </a:ext>
            <a:ext uri="{147F2762-F138-4A5C-976F-8EAC2B608ADB}">
              <a16:predDERef xmlns:a16="http://schemas.microsoft.com/office/drawing/2014/main" pred="{50DAE225-ACCC-4CFA-BEBD-B70320FEA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10334590-5DE0-0E47-B059-6769FD1DB353}"/>
            </a:ext>
            <a:ext uri="{147F2762-F138-4A5C-976F-8EAC2B608ADB}">
              <a16:predDERef xmlns:a16="http://schemas.microsoft.com/office/drawing/2014/main" pred="{605E9BD1-3D93-48BC-BD59-C32F86103C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17B153BC-6645-8A42-B6E5-19ECF609D8B0}"/>
            </a:ext>
            <a:ext uri="{147F2762-F138-4A5C-976F-8EAC2B608ADB}">
              <a16:predDERef xmlns:a16="http://schemas.microsoft.com/office/drawing/2014/main" pred="{CD6DA37B-2176-4D5B-BF43-CB52A779F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46EB58D9-65B7-4042-A8B3-8ED8C99545EF}"/>
            </a:ext>
            <a:ext uri="{147F2762-F138-4A5C-976F-8EAC2B608ADB}">
              <a16:predDERef xmlns:a16="http://schemas.microsoft.com/office/drawing/2014/main" pred="{82908B9B-9118-4E5E-A27D-9790ECD81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4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59C9B6E8-DCA5-5045-B7EA-779B1BD6681E}"/>
            </a:ext>
            <a:ext uri="{147F2762-F138-4A5C-976F-8EAC2B608ADB}">
              <a16:predDERef xmlns:a16="http://schemas.microsoft.com/office/drawing/2014/main" pred="{6845D6BA-2E6F-43A1-B772-CE82B5B3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6FD82D50-1E06-0B4B-BA22-E435B25ADE42}"/>
            </a:ext>
            <a:ext uri="{147F2762-F138-4A5C-976F-8EAC2B608ADB}">
              <a16:predDERef xmlns:a16="http://schemas.microsoft.com/office/drawing/2014/main" pred="{36C93B60-53E1-457D-A113-DC7DFD662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9881773E-F1D8-5F42-AE71-A1555635BABC}"/>
            </a:ext>
            <a:ext uri="{147F2762-F138-4A5C-976F-8EAC2B608ADB}">
              <a16:predDERef xmlns:a16="http://schemas.microsoft.com/office/drawing/2014/main" pred="{63E85AA9-31EC-4F00-A73B-451C652B4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190500A3-D267-5B40-B7D0-786A5E25B967}"/>
            </a:ext>
            <a:ext uri="{147F2762-F138-4A5C-976F-8EAC2B608ADB}">
              <a16:predDERef xmlns:a16="http://schemas.microsoft.com/office/drawing/2014/main" pred="{A826291B-5E89-4284-95E3-5137A0BFE8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DC72291-F33F-614C-9DCE-D742048166D0}"/>
            </a:ext>
            <a:ext uri="{147F2762-F138-4A5C-976F-8EAC2B608ADB}">
              <a16:predDERef xmlns:a16="http://schemas.microsoft.com/office/drawing/2014/main" pred="{9F59E120-FED1-407D-9995-E5AA63FA7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6CBFE393-B7BE-4D48-8C98-B5246CB44EB9}"/>
            </a:ext>
            <a:ext uri="{147F2762-F138-4A5C-976F-8EAC2B608ADB}">
              <a16:predDERef xmlns:a16="http://schemas.microsoft.com/office/drawing/2014/main" pred="{E5F338E6-DDAB-47BF-AABF-8E9521B93F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AC07E0D7-51FF-CD4F-A738-CC83279D266E}"/>
            </a:ext>
            <a:ext uri="{147F2762-F138-4A5C-976F-8EAC2B608ADB}">
              <a16:predDERef xmlns:a16="http://schemas.microsoft.com/office/drawing/2014/main" pred="{151F921D-20CC-4A2E-903E-4F62E26260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62E105A8-9618-F845-A519-249E9A2E930C}"/>
            </a:ext>
            <a:ext uri="{147F2762-F138-4A5C-976F-8EAC2B608ADB}">
              <a16:predDERef xmlns:a16="http://schemas.microsoft.com/office/drawing/2014/main" pred="{07A3F0D3-E2F7-436C-BA2C-CFC6474A1A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C0A19010-9DA0-DF4E-8E4F-55ABAFF496BC}"/>
            </a:ext>
            <a:ext uri="{147F2762-F138-4A5C-976F-8EAC2B608ADB}">
              <a16:predDERef xmlns:a16="http://schemas.microsoft.com/office/drawing/2014/main" pred="{6073D49C-FFA9-49D4-86FC-AB76C2F301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71F52775-C44C-894E-9DD9-DC3B54E96AA2}"/>
            </a:ext>
            <a:ext uri="{147F2762-F138-4A5C-976F-8EAC2B608ADB}">
              <a16:predDERef xmlns:a16="http://schemas.microsoft.com/office/drawing/2014/main" pred="{BF1F7A24-5EBA-46C0-A175-E1FF371D40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CEB4B857-D48A-4047-9625-70D00009757F}"/>
            </a:ext>
            <a:ext uri="{147F2762-F138-4A5C-976F-8EAC2B608ADB}">
              <a16:predDERef xmlns:a16="http://schemas.microsoft.com/office/drawing/2014/main" pred="{967DE061-4ECA-4BB4-953C-E2EB9AA22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7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33510F22-7E26-6D49-983E-887BEDB25CF3}"/>
            </a:ext>
            <a:ext uri="{147F2762-F138-4A5C-976F-8EAC2B608ADB}">
              <a16:predDERef xmlns:a16="http://schemas.microsoft.com/office/drawing/2014/main" pred="{4F45015B-C0E7-43E7-9856-D9BA90C0FD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8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0951C23-144D-E147-B0E8-5F051F1687A3}"/>
            </a:ext>
            <a:ext uri="{147F2762-F138-4A5C-976F-8EAC2B608ADB}">
              <a16:predDERef xmlns:a16="http://schemas.microsoft.com/office/drawing/2014/main" pred="{7E48DAEB-4FBE-4B4D-A5BD-D903251D0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1D6F8C7E-06C2-174E-AF5D-43E7DB4276C3}"/>
            </a:ext>
            <a:ext uri="{147F2762-F138-4A5C-976F-8EAC2B608ADB}">
              <a16:predDERef xmlns:a16="http://schemas.microsoft.com/office/drawing/2014/main" pred="{2605B002-0434-4DD3-9080-2B993134C2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F91E3F93-B85D-0945-977B-4414F3E306EA}"/>
            </a:ext>
            <a:ext uri="{147F2762-F138-4A5C-976F-8EAC2B608ADB}">
              <a16:predDERef xmlns:a16="http://schemas.microsoft.com/office/drawing/2014/main" pred="{7039EB8F-8D02-4B7F-99EA-CDF0E867EF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2EFFA183-3F63-8241-81EE-CB19E062410D}"/>
            </a:ext>
            <a:ext uri="{147F2762-F138-4A5C-976F-8EAC2B608ADB}">
              <a16:predDERef xmlns:a16="http://schemas.microsoft.com/office/drawing/2014/main" pred="{09E0CCC3-E6C0-48CD-B5B0-0C32D1C7A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BDC4D4F7-9C99-C042-B2E2-1173CED0050D}"/>
            </a:ext>
            <a:ext uri="{147F2762-F138-4A5C-976F-8EAC2B608ADB}">
              <a16:predDERef xmlns:a16="http://schemas.microsoft.com/office/drawing/2014/main" pred="{CE6A3839-E177-4631-A000-725F3CC831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8</xdr:row>
      <xdr:rowOff>0</xdr:rowOff>
    </xdr:from>
    <xdr:ext cx="774000" cy="774000"/>
    <xdr:pic>
      <xdr:nvPicPr>
        <xdr:cNvPr id="119" name="Picture 118" descr=" 1, 1, 2, 2,">
          <a:extLst>
            <a:ext uri="{FF2B5EF4-FFF2-40B4-BE49-F238E27FC236}">
              <a16:creationId xmlns:a16="http://schemas.microsoft.com/office/drawing/2014/main" id="{4BD8FF0F-AD54-B845-AC69-C6988847DF0D}"/>
            </a:ext>
            <a:ext uri="{147F2762-F138-4A5C-976F-8EAC2B608ADB}">
              <a16:predDERef xmlns:a16="http://schemas.microsoft.com/office/drawing/2014/main" pred="{A0D002C1-13CF-4550-A33C-1E8950207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20" name="Picture 119" descr=" 1, 1, 2, 2,">
          <a:extLst>
            <a:ext uri="{FF2B5EF4-FFF2-40B4-BE49-F238E27FC236}">
              <a16:creationId xmlns:a16="http://schemas.microsoft.com/office/drawing/2014/main" id="{53692B9A-07EF-CC4E-B29E-18F9EBE43628}"/>
            </a:ext>
            <a:ext uri="{147F2762-F138-4A5C-976F-8EAC2B608ADB}">
              <a16:predDERef xmlns:a16="http://schemas.microsoft.com/office/drawing/2014/main" pred="{FB69FCA8-5BD2-4BEF-822E-DFE4D8B65D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A488B3EC-6E39-1045-B6C3-7F2995E3FF61}"/>
            </a:ext>
            <a:ext uri="{147F2762-F138-4A5C-976F-8EAC2B608ADB}">
              <a16:predDERef xmlns:a16="http://schemas.microsoft.com/office/drawing/2014/main" pred="{ABAB89FB-3595-4042-9D76-1BE75585CA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E07B00D-226F-4C48-AC0D-A5942FE20A3A}"/>
            </a:ext>
            <a:ext uri="{147F2762-F138-4A5C-976F-8EAC2B608ADB}">
              <a16:predDERef xmlns:a16="http://schemas.microsoft.com/office/drawing/2014/main" pred="{6AB24663-622B-4099-B233-23B6A30743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4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9F23ADFE-23D8-B445-AF84-F1795BB1851E}"/>
            </a:ext>
            <a:ext uri="{147F2762-F138-4A5C-976F-8EAC2B608ADB}">
              <a16:predDERef xmlns:a16="http://schemas.microsoft.com/office/drawing/2014/main" pred="{78149146-D52E-4CE1-B4DA-256BC87F9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E9A4FDF-BCBB-2641-A2CB-35AAB7DF1D5B}"/>
            </a:ext>
            <a:ext uri="{147F2762-F138-4A5C-976F-8EAC2B608ADB}">
              <a16:predDERef xmlns:a16="http://schemas.microsoft.com/office/drawing/2014/main" pred="{F21F475B-5C02-4EE7-8926-A7C37AF4AE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1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56937379-B55F-C842-BD0D-67EB172509AE}"/>
            </a:ext>
            <a:ext uri="{147F2762-F138-4A5C-976F-8EAC2B608ADB}">
              <a16:predDERef xmlns:a16="http://schemas.microsoft.com/office/drawing/2014/main" pred="{91C695B9-3E3B-4087-80C0-4A1767151F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A9360C0B-6998-3945-BDC3-FC816ECF9180}"/>
            </a:ext>
            <a:ext uri="{147F2762-F138-4A5C-976F-8EAC2B608ADB}">
              <a16:predDERef xmlns:a16="http://schemas.microsoft.com/office/drawing/2014/main" pred="{69FCEEFB-F9ED-4A1A-B4B5-D5D74E82D7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6F6A35C3-6A43-FE45-9CFB-59830277A925}"/>
            </a:ext>
            <a:ext uri="{147F2762-F138-4A5C-976F-8EAC2B608ADB}">
              <a16:predDERef xmlns:a16="http://schemas.microsoft.com/office/drawing/2014/main" pred="{37B6EE4C-A5B7-4FA4-A222-C513CA3597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3BBDFEE4-FFD9-AE4F-8E96-0B1639884F19}"/>
            </a:ext>
            <a:ext uri="{147F2762-F138-4A5C-976F-8EAC2B608ADB}">
              <a16:predDERef xmlns:a16="http://schemas.microsoft.com/office/drawing/2014/main" pred="{2E0330C1-0093-4508-A8D9-F3BE8420C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B98012E-8BD6-D748-9C9D-E4EAFFE337BE}"/>
            </a:ext>
            <a:ext uri="{147F2762-F138-4A5C-976F-8EAC2B608ADB}">
              <a16:predDERef xmlns:a16="http://schemas.microsoft.com/office/drawing/2014/main" pred="{6B4FAA72-C27B-440D-ADCD-035EA8382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808183" cy="796638"/>
    <xdr:pic>
      <xdr:nvPicPr>
        <xdr:cNvPr id="130" name="Picture 129" descr="Item:Chakana,Pos:1">
          <a:extLst>
            <a:ext uri="{FF2B5EF4-FFF2-40B4-BE49-F238E27FC236}">
              <a16:creationId xmlns:a16="http://schemas.microsoft.com/office/drawing/2014/main" id="{350EC868-E2B7-084F-B93F-2E6C4B083A89}"/>
            </a:ext>
            <a:ext uri="{147F2762-F138-4A5C-976F-8EAC2B608ADB}">
              <a16:predDERef xmlns:a16="http://schemas.microsoft.com/office/drawing/2014/main" pred="{B7A79EE3-8E18-4C29-AAB8-FD759747877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5105400" y="121920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131" name="Picture 130" descr="12,12, 7, 7,">
          <a:extLst>
            <a:ext uri="{FF2B5EF4-FFF2-40B4-BE49-F238E27FC236}">
              <a16:creationId xmlns:a16="http://schemas.microsoft.com/office/drawing/2014/main" id="{83CCBC03-5F3A-0249-9A08-888AA733B083}"/>
            </a:ext>
            <a:ext uri="{147F2762-F138-4A5C-976F-8EAC2B608ADB}">
              <a16:predDERef xmlns:a16="http://schemas.microsoft.com/office/drawing/2014/main" pred="{B35C4B87-5A59-4AB8-B95F-6337C2AA17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132" name="Picture 131" descr="12,12,12,12,">
          <a:extLst>
            <a:ext uri="{FF2B5EF4-FFF2-40B4-BE49-F238E27FC236}">
              <a16:creationId xmlns:a16="http://schemas.microsoft.com/office/drawing/2014/main" id="{DEF0ED53-836A-6346-AA7E-19CD1062D98A}"/>
            </a:ext>
            <a:ext uri="{147F2762-F138-4A5C-976F-8EAC2B608ADB}">
              <a16:predDERef xmlns:a16="http://schemas.microsoft.com/office/drawing/2014/main" pred="{E1631EE3-7315-44BA-B83A-6DB50CA2D8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133" name="Picture 132" descr="12,12,12,12,">
          <a:extLst>
            <a:ext uri="{FF2B5EF4-FFF2-40B4-BE49-F238E27FC236}">
              <a16:creationId xmlns:a16="http://schemas.microsoft.com/office/drawing/2014/main" id="{FBF35CF6-8D9F-B14A-99C6-FB9E12C6174F}"/>
            </a:ext>
            <a:ext uri="{147F2762-F138-4A5C-976F-8EAC2B608ADB}">
              <a16:predDERef xmlns:a16="http://schemas.microsoft.com/office/drawing/2014/main" pred="{3EC6AD8D-FBB0-4DFC-8752-091E953C1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62000" cy="762000"/>
    <xdr:pic>
      <xdr:nvPicPr>
        <xdr:cNvPr id="134" name="Picture 133" descr=" 9, 0, 2,11, ">
          <a:extLst>
            <a:ext uri="{FF2B5EF4-FFF2-40B4-BE49-F238E27FC236}">
              <a16:creationId xmlns:a16="http://schemas.microsoft.com/office/drawing/2014/main" id="{2E439821-2A38-1F46-AEA9-C0F648959B3B}"/>
            </a:ext>
            <a:ext uri="{147F2762-F138-4A5C-976F-8EAC2B608ADB}">
              <a16:predDERef xmlns:a16="http://schemas.microsoft.com/office/drawing/2014/main" pred="{6AE69865-300B-4848-8A44-3A6D1137DE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212725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DE9A6281-3E22-7140-B010-DEB269D99B9B}"/>
            </a:ext>
            <a:ext uri="{147F2762-F138-4A5C-976F-8EAC2B608ADB}">
              <a16:predDERef xmlns:a16="http://schemas.microsoft.com/office/drawing/2014/main" pred="{D32A44B0-47A7-4978-BEC3-CE93441C8A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3D35B0FD-E608-A345-9B4E-1717556C1AE3}"/>
            </a:ext>
            <a:ext uri="{147F2762-F138-4A5C-976F-8EAC2B608ADB}">
              <a16:predDERef xmlns:a16="http://schemas.microsoft.com/office/drawing/2014/main" pred="{BC5BCD01-E076-4CFF-B08A-EE4AAA47FA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37" name="Picture 136" descr="12,12, 7, 7,">
          <a:extLst>
            <a:ext uri="{FF2B5EF4-FFF2-40B4-BE49-F238E27FC236}">
              <a16:creationId xmlns:a16="http://schemas.microsoft.com/office/drawing/2014/main" id="{5E462194-53C3-A849-BEE5-1C602754EA3D}"/>
            </a:ext>
            <a:ext uri="{147F2762-F138-4A5C-976F-8EAC2B608ADB}">
              <a16:predDERef xmlns:a16="http://schemas.microsoft.com/office/drawing/2014/main" pred="{0E795DAA-FEA7-4677-84FB-6DA4EB1D0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138" name="Picture 137" descr="12,12, 7, 7,">
          <a:extLst>
            <a:ext uri="{FF2B5EF4-FFF2-40B4-BE49-F238E27FC236}">
              <a16:creationId xmlns:a16="http://schemas.microsoft.com/office/drawing/2014/main" id="{49592246-82BD-474F-AEE9-D02D3A4B6E89}"/>
            </a:ext>
            <a:ext uri="{147F2762-F138-4A5C-976F-8EAC2B608ADB}">
              <a16:predDERef xmlns:a16="http://schemas.microsoft.com/office/drawing/2014/main" pred="{6626D01F-A15C-4389-B29A-765F01BE9C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39" name="Picture 138" descr="12,12,12,12,">
          <a:extLst>
            <a:ext uri="{FF2B5EF4-FFF2-40B4-BE49-F238E27FC236}">
              <a16:creationId xmlns:a16="http://schemas.microsoft.com/office/drawing/2014/main" id="{8115C7B9-AC89-2B47-9DE5-A6D944DCC3BC}"/>
            </a:ext>
            <a:ext uri="{147F2762-F138-4A5C-976F-8EAC2B608ADB}">
              <a16:predDERef xmlns:a16="http://schemas.microsoft.com/office/drawing/2014/main" pred="{E0E2BA08-6694-4C52-9032-B608B4FF87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40" name="Picture 139" descr="12,12,12,12,">
          <a:extLst>
            <a:ext uri="{FF2B5EF4-FFF2-40B4-BE49-F238E27FC236}">
              <a16:creationId xmlns:a16="http://schemas.microsoft.com/office/drawing/2014/main" id="{1DCC2089-3796-D24B-BD5B-C9A83EBE12FE}"/>
            </a:ext>
            <a:ext uri="{147F2762-F138-4A5C-976F-8EAC2B608ADB}">
              <a16:predDERef xmlns:a16="http://schemas.microsoft.com/office/drawing/2014/main" pred="{7AF02F41-5E9E-489F-845A-7D8E0BD03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1" name="Picture 140" descr="12,12,12,12,">
          <a:extLst>
            <a:ext uri="{FF2B5EF4-FFF2-40B4-BE49-F238E27FC236}">
              <a16:creationId xmlns:a16="http://schemas.microsoft.com/office/drawing/2014/main" id="{810CEF59-47FD-864A-88FC-07099BEC4BE0}"/>
            </a:ext>
            <a:ext uri="{147F2762-F138-4A5C-976F-8EAC2B608ADB}">
              <a16:predDERef xmlns:a16="http://schemas.microsoft.com/office/drawing/2014/main" pred="{9BD58E39-EAA3-4966-97C8-D63992A782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1C1802CA-C24A-724B-924A-A380AADA0DE6}"/>
            </a:ext>
            <a:ext uri="{147F2762-F138-4A5C-976F-8EAC2B608ADB}">
              <a16:predDERef xmlns:a16="http://schemas.microsoft.com/office/drawing/2014/main" pred="{7D20C31F-F5D6-4C9E-9937-A37BD40ED9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4</xdr:row>
      <xdr:rowOff>0</xdr:rowOff>
    </xdr:from>
    <xdr:ext cx="786484" cy="774000"/>
    <xdr:pic>
      <xdr:nvPicPr>
        <xdr:cNvPr id="143" name="Picture 142" descr=" 8, 8, 7, 7,">
          <a:extLst>
            <a:ext uri="{FF2B5EF4-FFF2-40B4-BE49-F238E27FC236}">
              <a16:creationId xmlns:a16="http://schemas.microsoft.com/office/drawing/2014/main" id="{A8A343C0-AD37-644C-AB09-C479E9ED9B75}"/>
            </a:ext>
            <a:ext uri="{147F2762-F138-4A5C-976F-8EAC2B608ADB}">
              <a16:predDERef xmlns:a16="http://schemas.microsoft.com/office/drawing/2014/main" pred="{8F1DD3E9-1E17-4E8A-9A22-9DD2DA7046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27635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86484" cy="774000"/>
    <xdr:pic>
      <xdr:nvPicPr>
        <xdr:cNvPr id="144" name="Picture 143" descr=" 8, 8, 7, 7,">
          <a:extLst>
            <a:ext uri="{FF2B5EF4-FFF2-40B4-BE49-F238E27FC236}">
              <a16:creationId xmlns:a16="http://schemas.microsoft.com/office/drawing/2014/main" id="{87CB66DE-418F-0D4F-9161-856A827036BF}"/>
            </a:ext>
            <a:ext uri="{147F2762-F138-4A5C-976F-8EAC2B608ADB}">
              <a16:predDERef xmlns:a16="http://schemas.microsoft.com/office/drawing/2014/main" pred="{D7A696CC-AB54-4982-A8F2-A9DB20C81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87198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96637" cy="796638"/>
    <xdr:pic>
      <xdr:nvPicPr>
        <xdr:cNvPr id="145" name="Picture 144" descr="Item:Lever_LH,Pos:1,Data:1">
          <a:extLst>
            <a:ext uri="{FF2B5EF4-FFF2-40B4-BE49-F238E27FC236}">
              <a16:creationId xmlns:a16="http://schemas.microsoft.com/office/drawing/2014/main" id="{0E21501E-9661-AF45-8A48-8DE4BC3889B3}"/>
            </a:ext>
            <a:ext uri="{147F2762-F138-4A5C-976F-8EAC2B608ADB}">
              <a16:predDERef xmlns:a16="http://schemas.microsoft.com/office/drawing/2014/main" pred="{47EDCD97-8FA6-485B-B5B9-838BF96E2DF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38252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7876" cy="777876"/>
    <xdr:pic>
      <xdr:nvPicPr>
        <xdr:cNvPr id="146" name="Picture 145" descr=" 0, 5, 6, 2, ">
          <a:extLst>
            <a:ext uri="{FF2B5EF4-FFF2-40B4-BE49-F238E27FC236}">
              <a16:creationId xmlns:a16="http://schemas.microsoft.com/office/drawing/2014/main" id="{7A431C2C-888D-2C4C-B8DB-8EED0EDE607B}"/>
            </a:ext>
            <a:ext uri="{147F2762-F138-4A5C-976F-8EAC2B608ADB}">
              <a16:predDERef xmlns:a16="http://schemas.microsoft.com/office/drawing/2014/main" pred="{78D7C4E6-69CC-47D2-BEF3-794956BCBB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04216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7" name="Picture 146" descr=" 1, 1, 2, 2,">
          <a:extLst>
            <a:ext uri="{FF2B5EF4-FFF2-40B4-BE49-F238E27FC236}">
              <a16:creationId xmlns:a16="http://schemas.microsoft.com/office/drawing/2014/main" id="{B86D0C9B-EFF4-8742-BD15-58CDCFBE8C84}"/>
            </a:ext>
            <a:ext uri="{147F2762-F138-4A5C-976F-8EAC2B608ADB}">
              <a16:predDERef xmlns:a16="http://schemas.microsoft.com/office/drawing/2014/main" pred="{8221324D-9A7C-4021-B07C-D6F7DD9112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806593" cy="797919"/>
    <xdr:pic>
      <xdr:nvPicPr>
        <xdr:cNvPr id="148" name="Picture 147" descr="Item:Lever_Portal_Closed,Pos:2">
          <a:extLst>
            <a:ext uri="{FF2B5EF4-FFF2-40B4-BE49-F238E27FC236}">
              <a16:creationId xmlns:a16="http://schemas.microsoft.com/office/drawing/2014/main" id="{74B1B4B7-DC76-4242-8165-96F50930D993}"/>
            </a:ext>
            <a:ext uri="{147F2762-F138-4A5C-976F-8EAC2B608ADB}">
              <a16:predDERef xmlns:a16="http://schemas.microsoft.com/office/drawing/2014/main" pred="{82040CC4-7707-4EA3-BF5D-201F0E7220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21272500" y="609600"/>
          <a:ext cx="806593" cy="797919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49" name="Picture 148" descr=" 1, 1, 2, 2,">
          <a:extLst>
            <a:ext uri="{FF2B5EF4-FFF2-40B4-BE49-F238E27FC236}">
              <a16:creationId xmlns:a16="http://schemas.microsoft.com/office/drawing/2014/main" id="{2C9F4E59-9F2B-9E4C-951E-CA82D1FDE876}"/>
            </a:ext>
            <a:ext uri="{147F2762-F138-4A5C-976F-8EAC2B608ADB}">
              <a16:predDERef xmlns:a16="http://schemas.microsoft.com/office/drawing/2014/main" pred="{872313FB-9300-4AE4-8B9C-7A52EEB773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90223" cy="790223"/>
    <xdr:pic>
      <xdr:nvPicPr>
        <xdr:cNvPr id="150" name="Picture 149" descr="Item:Lever_RH,Pos:1,Data:1">
          <a:extLst>
            <a:ext uri="{FF2B5EF4-FFF2-40B4-BE49-F238E27FC236}">
              <a16:creationId xmlns:a16="http://schemas.microsoft.com/office/drawing/2014/main" id="{86E2EDA4-4F2A-354C-A1B4-DE15A829F05A}"/>
            </a:ext>
            <a:ext uri="{147F2762-F138-4A5C-976F-8EAC2B608ADB}">
              <a16:predDERef xmlns:a16="http://schemas.microsoft.com/office/drawing/2014/main" pred="{F210DFDE-BC71-43F6-9FB7-C23FACCFF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22974300" y="609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86695" cy="776112"/>
    <xdr:pic>
      <xdr:nvPicPr>
        <xdr:cNvPr id="151" name="Picture 150" descr="Item:Lever_Portal_Auto_Closed,Pos:2,Data:256">
          <a:extLst>
            <a:ext uri="{FF2B5EF4-FFF2-40B4-BE49-F238E27FC236}">
              <a16:creationId xmlns:a16="http://schemas.microsoft.com/office/drawing/2014/main" id="{D8F97216-29AC-4246-AACE-C204082281BD}"/>
            </a:ext>
            <a:ext uri="{147F2762-F138-4A5C-976F-8EAC2B608ADB}">
              <a16:predDERef xmlns:a16="http://schemas.microsoft.com/office/drawing/2014/main" pred="{778F2818-6DD0-47D5-9A12-125FFD623D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7018000" y="6096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62000" cy="762000"/>
    <xdr:pic>
      <xdr:nvPicPr>
        <xdr:cNvPr id="152" name="Picture 151" descr=" 9, 0, 2,11, ">
          <a:extLst>
            <a:ext uri="{FF2B5EF4-FFF2-40B4-BE49-F238E27FC236}">
              <a16:creationId xmlns:a16="http://schemas.microsoft.com/office/drawing/2014/main" id="{34159615-DD9A-9248-8AA7-B871059EB631}"/>
            </a:ext>
            <a:ext uri="{147F2762-F138-4A5C-976F-8EAC2B608ADB}">
              <a16:predDERef xmlns:a16="http://schemas.microsoft.com/office/drawing/2014/main" pred="{ABF4FF2E-C3DE-4813-BA7B-326F10D1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5316200" y="609600"/>
          <a:ext cx="762000" cy="762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62000" cy="762000"/>
    <xdr:pic>
      <xdr:nvPicPr>
        <xdr:cNvPr id="153" name="Picture 152" descr=" 9, 0, 2,11, ">
          <a:extLst>
            <a:ext uri="{FF2B5EF4-FFF2-40B4-BE49-F238E27FC236}">
              <a16:creationId xmlns:a16="http://schemas.microsoft.com/office/drawing/2014/main" id="{2B35751B-2AFF-AA42-8DB9-997943F365DF}"/>
            </a:ext>
            <a:ext uri="{147F2762-F138-4A5C-976F-8EAC2B608ADB}">
              <a16:predDERef xmlns:a16="http://schemas.microsoft.com/office/drawing/2014/main" pred="{3D158B5B-9265-42F2-B898-3445FAD10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8689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BED81968-145F-9841-A426-5444780F04FF}"/>
            </a:ext>
            <a:ext uri="{147F2762-F138-4A5C-976F-8EAC2B608ADB}">
              <a16:predDERef xmlns:a16="http://schemas.microsoft.com/office/drawing/2014/main" pred="{8F98262D-DC1D-4AD5-9C6F-9EAB571AD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4775B2EC-E7B7-9A4A-A7EA-3A11921AA330}"/>
            </a:ext>
            <a:ext uri="{147F2762-F138-4A5C-976F-8EAC2B608ADB}">
              <a16:predDERef xmlns:a16="http://schemas.microsoft.com/office/drawing/2014/main" pred="{9B655383-8915-4A4C-9194-A447060510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56" name="Picture 155" descr=" 1, 1, 2, 2,">
          <a:extLst>
            <a:ext uri="{FF2B5EF4-FFF2-40B4-BE49-F238E27FC236}">
              <a16:creationId xmlns:a16="http://schemas.microsoft.com/office/drawing/2014/main" id="{E6E46062-9C1D-2046-936F-7F79FDC8231A}"/>
            </a:ext>
            <a:ext uri="{147F2762-F138-4A5C-976F-8EAC2B608ADB}">
              <a16:predDERef xmlns:a16="http://schemas.microsoft.com/office/drawing/2014/main" pred="{FA991F6D-8C5B-4426-9841-C14B16507C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57" name="Picture 156" descr=" 1, 1, 2, 2,">
          <a:extLst>
            <a:ext uri="{FF2B5EF4-FFF2-40B4-BE49-F238E27FC236}">
              <a16:creationId xmlns:a16="http://schemas.microsoft.com/office/drawing/2014/main" id="{E488A710-50E0-1E40-9921-667170C23631}"/>
            </a:ext>
            <a:ext uri="{147F2762-F138-4A5C-976F-8EAC2B608ADB}">
              <a16:predDERef xmlns:a16="http://schemas.microsoft.com/office/drawing/2014/main" pred="{95A97FBC-C706-42A1-8BE2-A852579C3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4</xdr:row>
      <xdr:rowOff>0</xdr:rowOff>
    </xdr:from>
    <xdr:ext cx="762000" cy="762000"/>
    <xdr:pic>
      <xdr:nvPicPr>
        <xdr:cNvPr id="158" name="Picture 157" descr=" 9, 0, 2,11, ">
          <a:extLst>
            <a:ext uri="{FF2B5EF4-FFF2-40B4-BE49-F238E27FC236}">
              <a16:creationId xmlns:a16="http://schemas.microsoft.com/office/drawing/2014/main" id="{174ECC7D-726B-5345-A79A-9252FC00C131}"/>
            </a:ext>
            <a:ext uri="{147F2762-F138-4A5C-976F-8EAC2B608ADB}">
              <a16:predDERef xmlns:a16="http://schemas.microsoft.com/office/drawing/2014/main" pred="{1A431ACC-77FB-4386-B14D-1627B6651F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0210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2</xdr:row>
      <xdr:rowOff>0</xdr:rowOff>
    </xdr:from>
    <xdr:ext cx="762000" cy="762000"/>
    <xdr:pic>
      <xdr:nvPicPr>
        <xdr:cNvPr id="159" name="Picture 158" descr=" 9, 0, 2,11, ">
          <a:extLst>
            <a:ext uri="{FF2B5EF4-FFF2-40B4-BE49-F238E27FC236}">
              <a16:creationId xmlns:a16="http://schemas.microsoft.com/office/drawing/2014/main" id="{E8B069A0-1E16-7144-B470-937D30BBB484}"/>
            </a:ext>
            <a:ext uri="{147F2762-F138-4A5C-976F-8EAC2B608ADB}">
              <a16:predDERef xmlns:a16="http://schemas.microsoft.com/office/drawing/2014/main" pred="{672B8E90-2DB7-437B-9845-CCB0853FC1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10617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1</xdr:row>
      <xdr:rowOff>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228FF822-E0E0-884B-9A9C-832BED3D2E89}"/>
            </a:ext>
            <a:ext uri="{147F2762-F138-4A5C-976F-8EAC2B608ADB}">
              <a16:predDERef xmlns:a16="http://schemas.microsoft.com/office/drawing/2014/main" pred="{922D78EE-2B04-40A5-9DEF-B4EA8C4E15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0210800" y="203200"/>
          <a:ext cx="762000" cy="762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1605C7EC-BC74-8E42-AE59-7E37C99609CD}"/>
            </a:ext>
            <a:ext uri="{147F2762-F138-4A5C-976F-8EAC2B608ADB}">
              <a16:predDERef xmlns:a16="http://schemas.microsoft.com/office/drawing/2014/main" pred="{87356B3F-C8E3-4821-A49B-F797C0A04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D0D44A7F-1315-F24B-9851-AA950956C48A}"/>
            </a:ext>
            <a:ext uri="{147F2762-F138-4A5C-976F-8EAC2B608ADB}">
              <a16:predDERef xmlns:a16="http://schemas.microsoft.com/office/drawing/2014/main" pred="{EB0156CE-C4C7-4703-B478-7C2E78BC1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62000" cy="762000"/>
    <xdr:pic>
      <xdr:nvPicPr>
        <xdr:cNvPr id="163" name="Picture 162" descr=" 9, 0, 2,11, ">
          <a:extLst>
            <a:ext uri="{FF2B5EF4-FFF2-40B4-BE49-F238E27FC236}">
              <a16:creationId xmlns:a16="http://schemas.microsoft.com/office/drawing/2014/main" id="{625CE8EA-371E-8D44-A69D-13B013DB4F70}"/>
            </a:ext>
            <a:ext uri="{147F2762-F138-4A5C-976F-8EAC2B608ADB}">
              <a16:predDERef xmlns:a16="http://schemas.microsoft.com/office/drawing/2014/main" pred="{600AA56A-E86B-4439-B248-A7D70D5A2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6807200" y="406400"/>
          <a:ext cx="762000" cy="762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90223" cy="790223"/>
    <xdr:pic>
      <xdr:nvPicPr>
        <xdr:cNvPr id="164" name="Picture 163" descr="Item:Lever_RH,Pos:1,Data:1">
          <a:extLst>
            <a:ext uri="{FF2B5EF4-FFF2-40B4-BE49-F238E27FC236}">
              <a16:creationId xmlns:a16="http://schemas.microsoft.com/office/drawing/2014/main" id="{5E22992E-5EB7-9E47-81AB-692090E78DBA}"/>
            </a:ext>
            <a:ext uri="{147F2762-F138-4A5C-976F-8EAC2B608ADB}">
              <a16:predDERef xmlns:a16="http://schemas.microsoft.com/office/drawing/2014/main" pred="{635A9104-521B-4B7E-AD29-37483A5C92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1912600" y="1422400"/>
          <a:ext cx="790223" cy="79022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6113" cy="776113"/>
    <xdr:pic>
      <xdr:nvPicPr>
        <xdr:cNvPr id="165" name="Picture 164" descr="Item:Lever_Portal_Auto_Open,Pos:2,Data:256">
          <a:extLst>
            <a:ext uri="{FF2B5EF4-FFF2-40B4-BE49-F238E27FC236}">
              <a16:creationId xmlns:a16="http://schemas.microsoft.com/office/drawing/2014/main" id="{DABF0D4A-3D6E-CC46-B8A0-7034E1686B9D}"/>
            </a:ext>
            <a:ext uri="{147F2762-F138-4A5C-976F-8EAC2B608ADB}">
              <a16:predDERef xmlns:a16="http://schemas.microsoft.com/office/drawing/2014/main" pred="{5B83409E-5BC6-4E7F-BE73-3CF2DC632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6807200" y="609600"/>
          <a:ext cx="776113" cy="77611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74000" cy="774000"/>
    <xdr:pic>
      <xdr:nvPicPr>
        <xdr:cNvPr id="166" name="Picture 165" descr=" 1, 1, 2, 2,">
          <a:extLst>
            <a:ext uri="{FF2B5EF4-FFF2-40B4-BE49-F238E27FC236}">
              <a16:creationId xmlns:a16="http://schemas.microsoft.com/office/drawing/2014/main" id="{E3C9FF61-0F50-8142-8E63-A445CC0E5ABF}"/>
            </a:ext>
            <a:ext uri="{147F2762-F138-4A5C-976F-8EAC2B608ADB}">
              <a16:predDERef xmlns:a16="http://schemas.microsoft.com/office/drawing/2014/main" pred="{E5BE35EF-721B-4599-8B68-942147DE5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774000" cy="774000"/>
    <xdr:pic>
      <xdr:nvPicPr>
        <xdr:cNvPr id="167" name="Picture 166" descr=" 1, 1, 2, 2,">
          <a:extLst>
            <a:ext uri="{FF2B5EF4-FFF2-40B4-BE49-F238E27FC236}">
              <a16:creationId xmlns:a16="http://schemas.microsoft.com/office/drawing/2014/main" id="{CB5DFCFB-4B86-AF41-91FF-F0C3CC7A5007}"/>
            </a:ext>
            <a:ext uri="{147F2762-F138-4A5C-976F-8EAC2B608ADB}">
              <a16:predDERef xmlns:a16="http://schemas.microsoft.com/office/drawing/2014/main" pred="{23675AA3-BB0A-43E1-A0B2-BF31A7E60B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86484" cy="774000"/>
    <xdr:pic>
      <xdr:nvPicPr>
        <xdr:cNvPr id="168" name="Picture 167" descr=" 8, 8, 7, 7,">
          <a:extLst>
            <a:ext uri="{FF2B5EF4-FFF2-40B4-BE49-F238E27FC236}">
              <a16:creationId xmlns:a16="http://schemas.microsoft.com/office/drawing/2014/main" id="{9022F1D4-2A54-A34B-ABAE-AED7152787A7}"/>
            </a:ext>
            <a:ext uri="{147F2762-F138-4A5C-976F-8EAC2B608ADB}">
              <a16:predDERef xmlns:a16="http://schemas.microsoft.com/office/drawing/2014/main" pred="{971E8A1E-D313-4991-8FD6-6ACAD0DAB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59563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69" name="Picture 168" descr="12,12,12,12,">
          <a:extLst>
            <a:ext uri="{FF2B5EF4-FFF2-40B4-BE49-F238E27FC236}">
              <a16:creationId xmlns:a16="http://schemas.microsoft.com/office/drawing/2014/main" id="{665A6D7D-DB82-0C42-8E12-6D8295EEF1F5}"/>
            </a:ext>
            <a:ext uri="{147F2762-F138-4A5C-976F-8EAC2B608ADB}">
              <a16:predDERef xmlns:a16="http://schemas.microsoft.com/office/drawing/2014/main" pred="{42EF3D6E-B7A8-46C9-918F-02EE517E5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4</xdr:row>
      <xdr:rowOff>0</xdr:rowOff>
    </xdr:from>
    <xdr:ext cx="774000" cy="774000"/>
    <xdr:pic>
      <xdr:nvPicPr>
        <xdr:cNvPr id="170" name="Picture 169" descr="12,12,12,12,">
          <a:extLst>
            <a:ext uri="{FF2B5EF4-FFF2-40B4-BE49-F238E27FC236}">
              <a16:creationId xmlns:a16="http://schemas.microsoft.com/office/drawing/2014/main" id="{0491D658-F64D-024C-852F-1C561A50D3E1}"/>
            </a:ext>
            <a:ext uri="{147F2762-F138-4A5C-976F-8EAC2B608ADB}">
              <a16:predDERef xmlns:a16="http://schemas.microsoft.com/office/drawing/2014/main" pred="{0243848C-3D6C-4591-BE84-2B57D8FF53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56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830147" cy="808183"/>
    <xdr:pic>
      <xdr:nvPicPr>
        <xdr:cNvPr id="171" name="Picture 170" descr="Item:MysteryCrate,Pos:1,ItemType:17">
          <a:extLst>
            <a:ext uri="{FF2B5EF4-FFF2-40B4-BE49-F238E27FC236}">
              <a16:creationId xmlns:a16="http://schemas.microsoft.com/office/drawing/2014/main" id="{66096A24-78FE-5947-8995-EE0EBD65F2FF}"/>
            </a:ext>
            <a:ext uri="{147F2762-F138-4A5C-976F-8EAC2B608ADB}">
              <a16:predDERef xmlns:a16="http://schemas.microsoft.com/office/drawing/2014/main" pred="{122FA53B-1957-4CC7-86E1-00600B3496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7658100" y="609600"/>
          <a:ext cx="830147" cy="80818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85091" cy="819727"/>
    <xdr:pic>
      <xdr:nvPicPr>
        <xdr:cNvPr id="172" name="Picture 171" descr="Item:PinchBar,Pos:1">
          <a:extLst>
            <a:ext uri="{FF2B5EF4-FFF2-40B4-BE49-F238E27FC236}">
              <a16:creationId xmlns:a16="http://schemas.microsoft.com/office/drawing/2014/main" id="{5C524B49-D462-CA4B-9FA8-A0D2FC74C546}"/>
            </a:ext>
            <a:ext uri="{147F2762-F138-4A5C-976F-8EAC2B608ADB}">
              <a16:predDERef xmlns:a16="http://schemas.microsoft.com/office/drawing/2014/main" pred="{93162AD5-F321-454C-A994-9068215A207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15316200" y="1016000"/>
          <a:ext cx="785091" cy="819727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73" name="Picture 172" descr=" 1, 1, 2, 2,">
          <a:extLst>
            <a:ext uri="{FF2B5EF4-FFF2-40B4-BE49-F238E27FC236}">
              <a16:creationId xmlns:a16="http://schemas.microsoft.com/office/drawing/2014/main" id="{71BB6A4D-F0E6-2F41-8DF3-7102073D8D16}"/>
            </a:ext>
            <a:ext uri="{147F2762-F138-4A5C-976F-8EAC2B608ADB}">
              <a16:predDERef xmlns:a16="http://schemas.microsoft.com/office/drawing/2014/main" pred="{DC4AA3AF-E577-4C97-809B-81CE3DE0CC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174" name="Picture 173" descr="33,33,31,31,">
          <a:extLst>
            <a:ext uri="{FF2B5EF4-FFF2-40B4-BE49-F238E27FC236}">
              <a16:creationId xmlns:a16="http://schemas.microsoft.com/office/drawing/2014/main" id="{FE0C5EC9-F1BB-F14F-A2EE-98A80F0832D8}"/>
            </a:ext>
            <a:ext uri="{147F2762-F138-4A5C-976F-8EAC2B608ADB}">
              <a16:predDERef xmlns:a16="http://schemas.microsoft.com/office/drawing/2014/main" pred="{908A319D-64F7-4F11-B41C-612AF94E3E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8</xdr:row>
      <xdr:rowOff>0</xdr:rowOff>
    </xdr:from>
    <xdr:ext cx="774000" cy="774000"/>
    <xdr:pic>
      <xdr:nvPicPr>
        <xdr:cNvPr id="175" name="Picture 174" descr="31,31,32,32,">
          <a:extLst>
            <a:ext uri="{FF2B5EF4-FFF2-40B4-BE49-F238E27FC236}">
              <a16:creationId xmlns:a16="http://schemas.microsoft.com/office/drawing/2014/main" id="{B92CC9E6-E43E-584D-9292-E03A21AC9A87}"/>
            </a:ext>
            <a:ext uri="{147F2762-F138-4A5C-976F-8EAC2B608ADB}">
              <a16:predDERef xmlns:a16="http://schemas.microsoft.com/office/drawing/2014/main" pred="{E36D03AF-5DEE-42BB-B36A-DE6AA90C6A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6167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76" name="Picture 175" descr="31,31,31,31,">
          <a:extLst>
            <a:ext uri="{FF2B5EF4-FFF2-40B4-BE49-F238E27FC236}">
              <a16:creationId xmlns:a16="http://schemas.microsoft.com/office/drawing/2014/main" id="{2A2788E7-1F0B-0E4D-93BC-DEFF667E5B69}"/>
            </a:ext>
            <a:ext uri="{147F2762-F138-4A5C-976F-8EAC2B608ADB}">
              <a16:predDERef xmlns:a16="http://schemas.microsoft.com/office/drawing/2014/main" pred="{6AB1E409-3620-483E-AF4B-FD4AE06C2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177" name="Picture 176" descr="31,31,31,31,">
          <a:extLst>
            <a:ext uri="{FF2B5EF4-FFF2-40B4-BE49-F238E27FC236}">
              <a16:creationId xmlns:a16="http://schemas.microsoft.com/office/drawing/2014/main" id="{A2EF33AD-0DD2-D34A-BE7D-EC8EA19E79BB}"/>
            </a:ext>
            <a:ext uri="{147F2762-F138-4A5C-976F-8EAC2B608ADB}">
              <a16:predDERef xmlns:a16="http://schemas.microsoft.com/office/drawing/2014/main" pred="{21AEFBE6-8899-48C2-811D-4F6E415F8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31</xdr:col>
      <xdr:colOff>63500</xdr:colOff>
      <xdr:row>11</xdr:row>
      <xdr:rowOff>15875</xdr:rowOff>
    </xdr:from>
    <xdr:to>
      <xdr:col>32</xdr:col>
      <xdr:colOff>0</xdr:colOff>
      <xdr:row>11</xdr:row>
      <xdr:rowOff>809625</xdr:rowOff>
    </xdr:to>
    <xdr:pic>
      <xdr:nvPicPr>
        <xdr:cNvPr id="178" name="Picture 177" descr="42,42,42,42, ">
          <a:extLst>
            <a:ext uri="{FF2B5EF4-FFF2-40B4-BE49-F238E27FC236}">
              <a16:creationId xmlns:a16="http://schemas.microsoft.com/office/drawing/2014/main" id="{3F50BDDD-861B-3844-911E-CF2EFD30CE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638250" y="94456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79374</xdr:colOff>
      <xdr:row>11</xdr:row>
      <xdr:rowOff>857249</xdr:rowOff>
    </xdr:from>
    <xdr:to>
      <xdr:col>32</xdr:col>
      <xdr:colOff>31749</xdr:colOff>
      <xdr:row>12</xdr:row>
      <xdr:rowOff>809624</xdr:rowOff>
    </xdr:to>
    <xdr:pic>
      <xdr:nvPicPr>
        <xdr:cNvPr id="179" name="Picture 178" descr="43,43,43,43, ">
          <a:extLst>
            <a:ext uri="{FF2B5EF4-FFF2-40B4-BE49-F238E27FC236}">
              <a16:creationId xmlns:a16="http://schemas.microsoft.com/office/drawing/2014/main" id="{77E00AB8-E414-DE44-BCAC-039A1B8975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654124" y="10286999"/>
          <a:ext cx="809625" cy="80962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C84B9D48-FE4C-FC45-8B1C-22B9D4FF5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DA947D8D-A54B-F841-B1BA-FF443D2946F9}"/>
            </a:ext>
            <a:ext uri="{147F2762-F138-4A5C-976F-8EAC2B608ADB}">
              <a16:predDERef xmlns:a16="http://schemas.microsoft.com/office/drawing/2014/main" pred="{9D85CB8F-5FEB-4218-AFF1-CFC1B30BA1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CC665B4C-55D9-6A45-8974-ACEB92659610}"/>
            </a:ext>
            <a:ext uri="{147F2762-F138-4A5C-976F-8EAC2B608ADB}">
              <a16:predDERef xmlns:a16="http://schemas.microsoft.com/office/drawing/2014/main" pred="{F6A8F300-F18D-467B-9A36-B36C296E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8A0CC39-18CD-2D40-AE13-A6D1ABE3476D}"/>
            </a:ext>
            <a:ext uri="{147F2762-F138-4A5C-976F-8EAC2B608ADB}">
              <a16:predDERef xmlns:a16="http://schemas.microsoft.com/office/drawing/2014/main" pred="{37D104C8-C77B-42A2-8FD4-31467661B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A5E06E19-729D-724E-8802-DEF141E079D3}"/>
            </a:ext>
            <a:ext uri="{147F2762-F138-4A5C-976F-8EAC2B608ADB}">
              <a16:predDERef xmlns:a16="http://schemas.microsoft.com/office/drawing/2014/main" pred="{370BDACD-6D9E-46DE-9451-7B2FB24655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40E23180-15E0-4447-B01A-12825DDB581B}"/>
            </a:ext>
            <a:ext uri="{147F2762-F138-4A5C-976F-8EAC2B608ADB}">
              <a16:predDERef xmlns:a16="http://schemas.microsoft.com/office/drawing/2014/main" pred="{4661D189-61EF-4E3C-9007-CD886B443C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9686FF48-9C85-B940-BFBD-E5C891B2F2B7}"/>
            </a:ext>
            <a:ext uri="{147F2762-F138-4A5C-976F-8EAC2B608ADB}">
              <a16:predDERef xmlns:a16="http://schemas.microsoft.com/office/drawing/2014/main" pred="{E57227AB-E8D7-4FA3-84CC-7B0871822A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CBED61C1-8D9B-5C40-9376-9F937B3B4DA0}"/>
            </a:ext>
            <a:ext uri="{147F2762-F138-4A5C-976F-8EAC2B608ADB}">
              <a16:predDERef xmlns:a16="http://schemas.microsoft.com/office/drawing/2014/main" pred="{AC8E35FB-D30D-4DA4-A2FA-8FB95476FC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4EFDE7D-2219-6147-BA2D-7190275B3BC1}"/>
            </a:ext>
            <a:ext uri="{147F2762-F138-4A5C-976F-8EAC2B608ADB}">
              <a16:predDERef xmlns:a16="http://schemas.microsoft.com/office/drawing/2014/main" pred="{2F28DD7B-4032-481E-BC7A-0B1DD3BC0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E2EDC799-214E-064F-8518-B096FEE8292D}"/>
            </a:ext>
            <a:ext uri="{147F2762-F138-4A5C-976F-8EAC2B608ADB}">
              <a16:predDERef xmlns:a16="http://schemas.microsoft.com/office/drawing/2014/main" pred="{972D2166-C1B9-47AB-A38E-08F9FFC83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A19C5C9-B8F7-2840-A7E7-F42440A73118}"/>
            </a:ext>
            <a:ext uri="{147F2762-F138-4A5C-976F-8EAC2B608ADB}">
              <a16:predDERef xmlns:a16="http://schemas.microsoft.com/office/drawing/2014/main" pred="{10B5DD81-FC80-4263-8B84-4BAE8906DD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F66257F-037B-6E4E-9DB9-2F2CCF9B9D39}"/>
            </a:ext>
            <a:ext uri="{147F2762-F138-4A5C-976F-8EAC2B608ADB}">
              <a16:predDERef xmlns:a16="http://schemas.microsoft.com/office/drawing/2014/main" pred="{47394940-8BBD-44E1-9268-C26209C37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287C15D2-A7FA-554C-BED5-509D527C9E10}"/>
            </a:ext>
            <a:ext uri="{147F2762-F138-4A5C-976F-8EAC2B608ADB}">
              <a16:predDERef xmlns:a16="http://schemas.microsoft.com/office/drawing/2014/main" pred="{7701B4C2-E977-48DA-826D-30651F7143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201F3BF9-CF05-5E46-BCCA-F23FFAA7A97F}"/>
            </a:ext>
            <a:ext uri="{147F2762-F138-4A5C-976F-8EAC2B608ADB}">
              <a16:predDERef xmlns:a16="http://schemas.microsoft.com/office/drawing/2014/main" pred="{0E19FCFD-7CDE-42E1-8350-282FD659F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31555AEB-289D-A14A-9127-2EB456051CFE}"/>
            </a:ext>
            <a:ext uri="{147F2762-F138-4A5C-976F-8EAC2B608ADB}">
              <a16:predDERef xmlns:a16="http://schemas.microsoft.com/office/drawing/2014/main" pred="{FC03C4AF-E308-46B9-9E7D-0E05E22FA1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FB880E52-5D41-AE4D-A528-6CD2F27D88A7}"/>
            </a:ext>
            <a:ext uri="{147F2762-F138-4A5C-976F-8EAC2B608ADB}">
              <a16:predDERef xmlns:a16="http://schemas.microsoft.com/office/drawing/2014/main" pred="{2F650A01-5B30-4684-9397-F38E96088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5C54AE0A-9444-8C43-B9C3-2E6C328026A6}"/>
            </a:ext>
            <a:ext uri="{147F2762-F138-4A5C-976F-8EAC2B608ADB}">
              <a16:predDERef xmlns:a16="http://schemas.microsoft.com/office/drawing/2014/main" pred="{1C0D686E-8BBB-4DB1-9E81-5441C2C6FE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49A83FB4-1DD5-9141-B6C6-7D338CEFF62A}"/>
            </a:ext>
            <a:ext uri="{147F2762-F138-4A5C-976F-8EAC2B608ADB}">
              <a16:predDERef xmlns:a16="http://schemas.microsoft.com/office/drawing/2014/main" pred="{37D37CDD-86F3-4779-A420-274EB3DEBF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551D1280-5E6E-8A41-AF37-142C585928CF}"/>
            </a:ext>
            <a:ext uri="{147F2762-F138-4A5C-976F-8EAC2B608ADB}">
              <a16:predDERef xmlns:a16="http://schemas.microsoft.com/office/drawing/2014/main" pred="{27E8A4E5-49BE-46B9-8FF6-8B3E713A0D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8B67A04-D04E-7D4E-AB1C-3A5A63B1E975}"/>
            </a:ext>
            <a:ext uri="{147F2762-F138-4A5C-976F-8EAC2B608ADB}">
              <a16:predDERef xmlns:a16="http://schemas.microsoft.com/office/drawing/2014/main" pred="{2C6C9693-D8CB-4B30-A3D0-8AD52AF6D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61BEF2DE-E370-6E43-B322-E574ABCF78EA}"/>
            </a:ext>
            <a:ext uri="{147F2762-F138-4A5C-976F-8EAC2B608ADB}">
              <a16:predDERef xmlns:a16="http://schemas.microsoft.com/office/drawing/2014/main" pred="{F0A7A7AB-BC58-4CD6-9591-3FEFF6028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78556320-2D99-3D41-8F35-FC6D499B0DD7}"/>
            </a:ext>
            <a:ext uri="{147F2762-F138-4A5C-976F-8EAC2B608ADB}">
              <a16:predDERef xmlns:a16="http://schemas.microsoft.com/office/drawing/2014/main" pred="{1B8090CE-791C-4801-A460-83B40ED28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C4FA0CBD-E1EF-F54B-8948-76D444262414}"/>
            </a:ext>
            <a:ext uri="{147F2762-F138-4A5C-976F-8EAC2B608ADB}">
              <a16:predDERef xmlns:a16="http://schemas.microsoft.com/office/drawing/2014/main" pred="{7943F1D0-CD21-48E6-AB12-25CE79828E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0F14ADE-775A-AC45-BD0F-94E24F774C78}"/>
            </a:ext>
            <a:ext uri="{147F2762-F138-4A5C-976F-8EAC2B608ADB}">
              <a16:predDERef xmlns:a16="http://schemas.microsoft.com/office/drawing/2014/main" pred="{03B45876-3CFA-4189-AF9F-47CFCD51AB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C22A8B8C-6386-034F-BEC6-6C03B237B9F7}"/>
            </a:ext>
            <a:ext uri="{147F2762-F138-4A5C-976F-8EAC2B608ADB}">
              <a16:predDERef xmlns:a16="http://schemas.microsoft.com/office/drawing/2014/main" pred="{C7E5E38D-3B26-4E88-B033-FC39DE9D8A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8FE8D0F2-09AE-A640-9280-8BD84A86120E}"/>
            </a:ext>
            <a:ext uri="{147F2762-F138-4A5C-976F-8EAC2B608ADB}">
              <a16:predDERef xmlns:a16="http://schemas.microsoft.com/office/drawing/2014/main" pred="{EB1A2009-553F-4B8B-BA80-70905B5540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79DF2E73-63E7-2E47-8423-D6AF6E949479}"/>
            </a:ext>
            <a:ext uri="{147F2762-F138-4A5C-976F-8EAC2B608ADB}">
              <a16:predDERef xmlns:a16="http://schemas.microsoft.com/office/drawing/2014/main" pred="{E833A5ED-39CE-498D-B2F7-E30261CF9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EB05E331-59C0-2442-BF2B-64ABEF3182B6}"/>
            </a:ext>
            <a:ext uri="{147F2762-F138-4A5C-976F-8EAC2B608ADB}">
              <a16:predDERef xmlns:a16="http://schemas.microsoft.com/office/drawing/2014/main" pred="{EC18C049-A63B-4FE8-BC4B-35A52BF26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4851D119-359C-5047-B29C-9DC804D05290}"/>
            </a:ext>
            <a:ext uri="{147F2762-F138-4A5C-976F-8EAC2B608ADB}">
              <a16:predDERef xmlns:a16="http://schemas.microsoft.com/office/drawing/2014/main" pred="{0E94E82B-C47A-4D79-B36C-4BDA671284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93408FE-43B3-8F4D-B485-EEF71456953E}"/>
            </a:ext>
            <a:ext uri="{147F2762-F138-4A5C-976F-8EAC2B608ADB}">
              <a16:predDERef xmlns:a16="http://schemas.microsoft.com/office/drawing/2014/main" pred="{37407106-D1BB-4955-9D17-C3C6BBFAE89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A07033CF-D3FF-634F-9EE0-47D47064316D}"/>
            </a:ext>
            <a:ext uri="{147F2762-F138-4A5C-976F-8EAC2B608ADB}">
              <a16:predDERef xmlns:a16="http://schemas.microsoft.com/office/drawing/2014/main" pred="{F821F812-EB08-482E-AD27-B90C00CC5F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63A70E96-3FBC-1F40-BA98-7572FD5CA34B}"/>
            </a:ext>
            <a:ext uri="{147F2762-F138-4A5C-976F-8EAC2B608ADB}">
              <a16:predDERef xmlns:a16="http://schemas.microsoft.com/office/drawing/2014/main" pred="{81954B4C-1BCF-493B-8479-7AE4E46B4E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CD3CACFF-1044-0944-8199-B904F81B6372}"/>
            </a:ext>
            <a:ext uri="{147F2762-F138-4A5C-976F-8EAC2B608ADB}">
              <a16:predDERef xmlns:a16="http://schemas.microsoft.com/office/drawing/2014/main" pred="{B2E26F6E-47D2-4BB9-B351-DFF8D7D90A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601221DF-AA0E-C540-9B23-7CC842552D84}"/>
            </a:ext>
            <a:ext uri="{147F2762-F138-4A5C-976F-8EAC2B608ADB}">
              <a16:predDERef xmlns:a16="http://schemas.microsoft.com/office/drawing/2014/main" pred="{0EF3BF61-14A0-4492-9712-4AB173F641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DB500201-E69D-6F4E-A990-5D331BA7C19A}"/>
            </a:ext>
            <a:ext uri="{147F2762-F138-4A5C-976F-8EAC2B608ADB}">
              <a16:predDERef xmlns:a16="http://schemas.microsoft.com/office/drawing/2014/main" pred="{01CFFDEA-CFD8-45DE-A119-ABA9842ED4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AEE83F19-F12F-044A-9B20-B609E034E74C}"/>
            </a:ext>
            <a:ext uri="{147F2762-F138-4A5C-976F-8EAC2B608ADB}">
              <a16:predDERef xmlns:a16="http://schemas.microsoft.com/office/drawing/2014/main" pred="{7325D342-CAD6-411F-84CD-BD11C838B0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410A577-C93E-2441-809A-B4A41DA10D58}"/>
            </a:ext>
            <a:ext uri="{147F2762-F138-4A5C-976F-8EAC2B608ADB}">
              <a16:predDERef xmlns:a16="http://schemas.microsoft.com/office/drawing/2014/main" pred="{387C7F2E-76EC-4A8C-B59E-7DE144C320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99A73042-19D8-EE47-9747-CFFA9F728841}"/>
            </a:ext>
            <a:ext uri="{147F2762-F138-4A5C-976F-8EAC2B608ADB}">
              <a16:predDERef xmlns:a16="http://schemas.microsoft.com/office/drawing/2014/main" pred="{20514282-E0DD-4661-8A67-7257926BD4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232F63BE-E071-CD49-823F-102630717246}"/>
            </a:ext>
            <a:ext uri="{147F2762-F138-4A5C-976F-8EAC2B608ADB}">
              <a16:predDERef xmlns:a16="http://schemas.microsoft.com/office/drawing/2014/main" pred="{B2D92882-1A56-4CB5-9F4B-8B6D4154E08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90BB21-8950-B546-9139-4BAC1CFE5178}"/>
            </a:ext>
            <a:ext uri="{147F2762-F138-4A5C-976F-8EAC2B608ADB}">
              <a16:predDERef xmlns:a16="http://schemas.microsoft.com/office/drawing/2014/main" pred="{8D6C0171-D85F-4571-9EC6-FD3306E3600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597050EE-53AF-7546-AF0B-F1BCDAE2D582}"/>
            </a:ext>
            <a:ext uri="{147F2762-F138-4A5C-976F-8EAC2B608ADB}">
              <a16:predDERef xmlns:a16="http://schemas.microsoft.com/office/drawing/2014/main" pred="{4394404A-CC36-4F54-BB29-01C593AB49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E267AFE-1DD0-1F4B-BDF0-49EFCA3D2CDD}"/>
            </a:ext>
            <a:ext uri="{147F2762-F138-4A5C-976F-8EAC2B608ADB}">
              <a16:predDERef xmlns:a16="http://schemas.microsoft.com/office/drawing/2014/main" pred="{8313ED83-AF82-48E1-A588-01D71882259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61A00E2E-3600-7C41-AEA8-CBC8D693A4E4}"/>
            </a:ext>
            <a:ext uri="{147F2762-F138-4A5C-976F-8EAC2B608ADB}">
              <a16:predDERef xmlns:a16="http://schemas.microsoft.com/office/drawing/2014/main" pred="{1D41CD87-8D51-4D5B-B240-2353C20D482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9AEA2EF7-57FA-FA4F-8770-311761A2912D}"/>
            </a:ext>
            <a:ext uri="{147F2762-F138-4A5C-976F-8EAC2B608ADB}">
              <a16:predDERef xmlns:a16="http://schemas.microsoft.com/office/drawing/2014/main" pred="{AA54F014-F37C-4F7C-9240-C5776567F83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3A292170-EAA8-C841-AA0D-48F739F213CC}"/>
            </a:ext>
            <a:ext uri="{147F2762-F138-4A5C-976F-8EAC2B608ADB}">
              <a16:predDERef xmlns:a16="http://schemas.microsoft.com/office/drawing/2014/main" pred="{6DA3BB64-451D-49AC-BC21-BA53BEAB4E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54389531-BF06-374C-ABB3-D06D73232DB6}"/>
            </a:ext>
            <a:ext uri="{147F2762-F138-4A5C-976F-8EAC2B608ADB}">
              <a16:predDERef xmlns:a16="http://schemas.microsoft.com/office/drawing/2014/main" pred="{1E9C24A8-7982-4C2C-B543-5B866F8A67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B76C1603-992C-CA4C-BA24-FDD8D01AAF09}"/>
            </a:ext>
            <a:ext uri="{147F2762-F138-4A5C-976F-8EAC2B608ADB}">
              <a16:predDERef xmlns:a16="http://schemas.microsoft.com/office/drawing/2014/main" pred="{27C4C0DF-8055-4E55-8EB2-FF27A8AC9C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2A9B94EF-C0FA-C843-8CFC-A362080E5251}"/>
            </a:ext>
            <a:ext uri="{147F2762-F138-4A5C-976F-8EAC2B608ADB}">
              <a16:predDERef xmlns:a16="http://schemas.microsoft.com/office/drawing/2014/main" pred="{9970E74E-DC21-4CA0-A2F7-68653B82DA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5BB22B26-48DB-AC4C-836F-E4DF4571ECD3}"/>
            </a:ext>
            <a:ext uri="{147F2762-F138-4A5C-976F-8EAC2B608ADB}">
              <a16:predDERef xmlns:a16="http://schemas.microsoft.com/office/drawing/2014/main" pred="{53266E71-BCEF-4A33-99C6-787EC25015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5559878B-A29F-1E4F-B127-742AD5A4D2C8}"/>
            </a:ext>
            <a:ext uri="{147F2762-F138-4A5C-976F-8EAC2B608ADB}">
              <a16:predDERef xmlns:a16="http://schemas.microsoft.com/office/drawing/2014/main" pred="{D5F45143-3539-4BD8-B493-4CFC7673E2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82376AB9-13CD-C04F-AD46-FF5E1782B331}"/>
            </a:ext>
            <a:ext uri="{147F2762-F138-4A5C-976F-8EAC2B608ADB}">
              <a16:predDERef xmlns:a16="http://schemas.microsoft.com/office/drawing/2014/main" pred="{6F9D340D-0A06-422F-B771-5B8E81D08F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7178AC08-CF67-D44C-A42E-9B46C158000C}"/>
            </a:ext>
            <a:ext uri="{147F2762-F138-4A5C-976F-8EAC2B608ADB}">
              <a16:predDERef xmlns:a16="http://schemas.microsoft.com/office/drawing/2014/main" pred="{C455ECD7-759F-44BF-8586-9918DC8D88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8AE2A8D3-30EF-C849-B481-22E0907EF81A}"/>
            </a:ext>
            <a:ext uri="{147F2762-F138-4A5C-976F-8EAC2B608ADB}">
              <a16:predDERef xmlns:a16="http://schemas.microsoft.com/office/drawing/2014/main" pred="{02F09625-5FB1-4611-8432-79468C02E3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24315454-8619-FC49-8841-43AF09856909}"/>
            </a:ext>
            <a:ext uri="{147F2762-F138-4A5C-976F-8EAC2B608ADB}">
              <a16:predDERef xmlns:a16="http://schemas.microsoft.com/office/drawing/2014/main" pred="{564AF24C-4237-48F5-8DE7-45767B7A2A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28199F0-F63F-0D44-B115-EF7BE136D93B}"/>
            </a:ext>
            <a:ext uri="{147F2762-F138-4A5C-976F-8EAC2B608ADB}">
              <a16:predDERef xmlns:a16="http://schemas.microsoft.com/office/drawing/2014/main" pred="{CD222B30-FEA7-4705-9C05-3080DB2730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9338D520-A6A4-A94F-8259-910868707A02}"/>
            </a:ext>
            <a:ext uri="{147F2762-F138-4A5C-976F-8EAC2B608ADB}">
              <a16:predDERef xmlns:a16="http://schemas.microsoft.com/office/drawing/2014/main" pred="{26FF4FD9-B49B-4C5F-A182-5F7BA6F98D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3A88F126-F0B1-FF42-B4AE-3A1F23B4659B}"/>
            </a:ext>
            <a:ext uri="{147F2762-F138-4A5C-976F-8EAC2B608ADB}">
              <a16:predDERef xmlns:a16="http://schemas.microsoft.com/office/drawing/2014/main" pred="{3C0FBEF3-E94D-49E2-9885-3E2F634D12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7551AE53-53AC-8049-9EB1-4EE2AB6FED81}"/>
            </a:ext>
            <a:ext uri="{147F2762-F138-4A5C-976F-8EAC2B608ADB}">
              <a16:predDERef xmlns:a16="http://schemas.microsoft.com/office/drawing/2014/main" pred="{8BB1C39B-9590-41F5-9029-F7ACF4C1B1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737038AF-A9C7-6946-9EB9-CF4D2EEE02D1}"/>
            </a:ext>
            <a:ext uri="{147F2762-F138-4A5C-976F-8EAC2B608ADB}">
              <a16:predDERef xmlns:a16="http://schemas.microsoft.com/office/drawing/2014/main" pred="{C190B95F-D0D1-4B07-81F2-3CD7AE27D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A5E0128B-4603-D049-9C19-73317BCEED5F}"/>
            </a:ext>
            <a:ext uri="{147F2762-F138-4A5C-976F-8EAC2B608ADB}">
              <a16:predDERef xmlns:a16="http://schemas.microsoft.com/office/drawing/2014/main" pred="{E008B464-0CD5-45F9-9600-70660A7FBE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7E6B0987-9771-AA4E-8632-491437A1A979}"/>
            </a:ext>
            <a:ext uri="{147F2762-F138-4A5C-976F-8EAC2B608ADB}">
              <a16:predDERef xmlns:a16="http://schemas.microsoft.com/office/drawing/2014/main" pred="{D5C57B0E-8C31-4F11-AC87-B98C7A3170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1715653-AB6A-214A-AA26-5262F1347180}"/>
            </a:ext>
            <a:ext uri="{147F2762-F138-4A5C-976F-8EAC2B608ADB}">
              <a16:predDERef xmlns:a16="http://schemas.microsoft.com/office/drawing/2014/main" pred="{A625D3C0-CCC5-44AD-9BC3-8F23DBBAF9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9E691AB-1B8C-DE4F-8FC4-4BE614C5BF5A}"/>
            </a:ext>
            <a:ext uri="{147F2762-F138-4A5C-976F-8EAC2B608ADB}">
              <a16:predDERef xmlns:a16="http://schemas.microsoft.com/office/drawing/2014/main" pred="{B004BB92-EF0B-490D-AC6D-567A67F761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B4CF7A2F-7D46-AD4A-958F-A0ABB72DC0F6}"/>
            </a:ext>
            <a:ext uri="{147F2762-F138-4A5C-976F-8EAC2B608ADB}">
              <a16:predDERef xmlns:a16="http://schemas.microsoft.com/office/drawing/2014/main" pred="{F09BD3B2-7CF2-4F38-A634-D001FAE624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8CEC4E55-BB60-734A-A73A-4DDB2490D876}"/>
            </a:ext>
            <a:ext uri="{147F2762-F138-4A5C-976F-8EAC2B608ADB}">
              <a16:predDERef xmlns:a16="http://schemas.microsoft.com/office/drawing/2014/main" pred="{F8DC15CB-AEC5-448F-8550-3D9F220166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AD4097ED-D257-2047-90A7-CA89D1C6C341}"/>
            </a:ext>
            <a:ext uri="{147F2762-F138-4A5C-976F-8EAC2B608ADB}">
              <a16:predDERef xmlns:a16="http://schemas.microsoft.com/office/drawing/2014/main" pred="{6BD20ABE-E8BF-48FE-92C7-8E7A31A85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851D11D-291E-D647-BB08-0C63041846A2}"/>
            </a:ext>
            <a:ext uri="{147F2762-F138-4A5C-976F-8EAC2B608ADB}">
              <a16:predDERef xmlns:a16="http://schemas.microsoft.com/office/drawing/2014/main" pred="{D53F136D-8DF6-4559-B129-C0FCA3E238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B4583912-3A61-DF40-91D4-F2651E4BAB62}"/>
            </a:ext>
            <a:ext uri="{147F2762-F138-4A5C-976F-8EAC2B608ADB}">
              <a16:predDERef xmlns:a16="http://schemas.microsoft.com/office/drawing/2014/main" pred="{C2F6552B-F1E1-4441-A630-C5F05FA6FC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1E10AC33-E1DD-2046-A592-70B104950AF8}"/>
            </a:ext>
            <a:ext uri="{147F2762-F138-4A5C-976F-8EAC2B608ADB}">
              <a16:predDERef xmlns:a16="http://schemas.microsoft.com/office/drawing/2014/main" pred="{59C5B203-5235-4A66-ADE9-778DFD31CC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8414A6CB-8E25-C04C-9013-D889A27F9CAC}"/>
            </a:ext>
            <a:ext uri="{147F2762-F138-4A5C-976F-8EAC2B608ADB}">
              <a16:predDERef xmlns:a16="http://schemas.microsoft.com/office/drawing/2014/main" pred="{95ECD709-34C1-4486-80BD-FC4F05449C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3E6A5B87-DE98-8C45-9407-5BE82E7472D5}"/>
            </a:ext>
            <a:ext uri="{147F2762-F138-4A5C-976F-8EAC2B608ADB}">
              <a16:predDERef xmlns:a16="http://schemas.microsoft.com/office/drawing/2014/main" pred="{892E8B28-EDEC-45ED-BEF3-B774C3CD68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5EC0CDEC-6BC3-1740-80AD-63314092CE26}"/>
            </a:ext>
            <a:ext uri="{147F2762-F138-4A5C-976F-8EAC2B608ADB}">
              <a16:predDERef xmlns:a16="http://schemas.microsoft.com/office/drawing/2014/main" pred="{36D729C4-361F-4442-A6E9-372007D4BC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97632C36-FCE4-6C4F-A357-43382B48607B}"/>
            </a:ext>
            <a:ext uri="{147F2762-F138-4A5C-976F-8EAC2B608ADB}">
              <a16:predDERef xmlns:a16="http://schemas.microsoft.com/office/drawing/2014/main" pred="{DE6312BC-8888-44F3-B3ED-B3C81B7388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40E1E03A-701D-9845-9BA5-7558A2AE9218}"/>
            </a:ext>
            <a:ext uri="{147F2762-F138-4A5C-976F-8EAC2B608ADB}">
              <a16:predDERef xmlns:a16="http://schemas.microsoft.com/office/drawing/2014/main" pred="{0DB7AB7A-FA70-4893-86B9-AB4818CE9D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42545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D841EDD7-A7BC-AF45-9B59-808DE96153EF}"/>
            </a:ext>
            <a:ext uri="{147F2762-F138-4A5C-976F-8EAC2B608ADB}">
              <a16:predDERef xmlns:a16="http://schemas.microsoft.com/office/drawing/2014/main" pred="{2EC5044D-3BBA-42DF-BCC6-7DFB194DDE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7</xdr:row>
      <xdr:rowOff>0</xdr:rowOff>
    </xdr:from>
    <xdr:ext cx="774000" cy="774000"/>
    <xdr:pic>
      <xdr:nvPicPr>
        <xdr:cNvPr id="77" name="Picture 76" descr=" 1, 1, 2, 2,">
          <a:extLst>
            <a:ext uri="{FF2B5EF4-FFF2-40B4-BE49-F238E27FC236}">
              <a16:creationId xmlns:a16="http://schemas.microsoft.com/office/drawing/2014/main" id="{FA0EDED0-2571-B14D-8B2A-0996EBBA79F4}"/>
            </a:ext>
            <a:ext uri="{147F2762-F138-4A5C-976F-8EAC2B608ADB}">
              <a16:predDERef xmlns:a16="http://schemas.microsoft.com/office/drawing/2014/main" pred="{F084658A-1E86-4652-B5E6-C3A039789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8</xdr:row>
      <xdr:rowOff>0</xdr:rowOff>
    </xdr:from>
    <xdr:ext cx="774000" cy="774000"/>
    <xdr:pic>
      <xdr:nvPicPr>
        <xdr:cNvPr id="78" name="Picture 77" descr=" 1, 1, 2, 2,">
          <a:extLst>
            <a:ext uri="{FF2B5EF4-FFF2-40B4-BE49-F238E27FC236}">
              <a16:creationId xmlns:a16="http://schemas.microsoft.com/office/drawing/2014/main" id="{C266A6A6-8456-A946-9248-602631CA7411}"/>
            </a:ext>
            <a:ext uri="{147F2762-F138-4A5C-976F-8EAC2B608ADB}">
              <a16:predDERef xmlns:a16="http://schemas.microsoft.com/office/drawing/2014/main" pred="{19B46B58-34F0-456A-81B2-415AB85DE5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FD981097-F970-1E4D-930D-3CBC8A7A0E60}"/>
            </a:ext>
            <a:ext uri="{147F2762-F138-4A5C-976F-8EAC2B608ADB}">
              <a16:predDERef xmlns:a16="http://schemas.microsoft.com/office/drawing/2014/main" pred="{BB82D540-26BD-4F68-9F9A-EF313335E8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5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DD282F95-4CDC-A545-BCE7-6BB55B9543A2}"/>
            </a:ext>
            <a:ext uri="{147F2762-F138-4A5C-976F-8EAC2B608ADB}">
              <a16:predDERef xmlns:a16="http://schemas.microsoft.com/office/drawing/2014/main" pred="{CAAA3A18-668F-4CB9-8DB8-12E8C2F33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50A7F663-EBCC-1D4B-8F19-4960AA721999}"/>
            </a:ext>
            <a:ext uri="{147F2762-F138-4A5C-976F-8EAC2B608ADB}">
              <a16:predDERef xmlns:a16="http://schemas.microsoft.com/office/drawing/2014/main" pred="{82EF49C2-D8AD-4A79-84CB-AF7FD540ED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81E52077-2E76-C045-8493-685A6B4136B6}"/>
            </a:ext>
            <a:ext uri="{147F2762-F138-4A5C-976F-8EAC2B608ADB}">
              <a16:predDERef xmlns:a16="http://schemas.microsoft.com/office/drawing/2014/main" pred="{DC950C74-DE45-4B65-93CD-FA01B0A5CF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45ACDB7-E9D7-0F48-B3FF-CA098EB341C6}"/>
            </a:ext>
            <a:ext uri="{147F2762-F138-4A5C-976F-8EAC2B608ADB}">
              <a16:predDERef xmlns:a16="http://schemas.microsoft.com/office/drawing/2014/main" pred="{37A47124-A8D3-4E7C-8519-BBB6C193D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8B57B707-C408-CD46-9723-6B13A2DE71F1}"/>
            </a:ext>
            <a:ext uri="{147F2762-F138-4A5C-976F-8EAC2B608ADB}">
              <a16:predDERef xmlns:a16="http://schemas.microsoft.com/office/drawing/2014/main" pred="{F2B8205B-941F-4DAA-85DD-5705A72E7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38BD371C-15AA-6542-9931-5458C3309FF9}"/>
            </a:ext>
            <a:ext uri="{147F2762-F138-4A5C-976F-8EAC2B608ADB}">
              <a16:predDERef xmlns:a16="http://schemas.microsoft.com/office/drawing/2014/main" pred="{07FE4DAA-5332-4FCB-9CCA-2F4AAC663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45D6723F-4612-594F-8E69-23A1953789ED}"/>
            </a:ext>
            <a:ext uri="{147F2762-F138-4A5C-976F-8EAC2B608ADB}">
              <a16:predDERef xmlns:a16="http://schemas.microsoft.com/office/drawing/2014/main" pred="{C3109C3E-3632-43DD-952C-3C2DA3A871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66ABB978-8029-D94B-A264-BF4A2895FB5E}"/>
            </a:ext>
            <a:ext uri="{147F2762-F138-4A5C-976F-8EAC2B608ADB}">
              <a16:predDERef xmlns:a16="http://schemas.microsoft.com/office/drawing/2014/main" pred="{F63CFBDB-974C-4636-9FAA-1A38CAFA62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EC567F7B-10D1-6449-AD9F-FC4E487C80B5}"/>
            </a:ext>
            <a:ext uri="{147F2762-F138-4A5C-976F-8EAC2B608ADB}">
              <a16:predDERef xmlns:a16="http://schemas.microsoft.com/office/drawing/2014/main" pred="{67835DE0-C905-484B-8965-AE5138CA7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048D118A-0DB7-174C-9FE8-E671AD6EEBDB}"/>
            </a:ext>
            <a:ext uri="{147F2762-F138-4A5C-976F-8EAC2B608ADB}">
              <a16:predDERef xmlns:a16="http://schemas.microsoft.com/office/drawing/2014/main" pred="{545AC7C1-1578-4AE1-93B2-749BEC293A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2F988A71-081D-AC41-BE0D-5E35F81424F1}"/>
            </a:ext>
            <a:ext uri="{147F2762-F138-4A5C-976F-8EAC2B608ADB}">
              <a16:predDERef xmlns:a16="http://schemas.microsoft.com/office/drawing/2014/main" pred="{F6A7A2CB-82A4-486C-8053-1E733850C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2023ECAD-B2E1-7345-A2A9-A5A4EE2361CF}"/>
            </a:ext>
            <a:ext uri="{147F2762-F138-4A5C-976F-8EAC2B608ADB}">
              <a16:predDERef xmlns:a16="http://schemas.microsoft.com/office/drawing/2014/main" pred="{02F2DA70-58C4-44F3-A7F1-99421DA9D3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CB6A99C4-0824-DB41-9563-13E8D454E425}"/>
            </a:ext>
            <a:ext uri="{147F2762-F138-4A5C-976F-8EAC2B608ADB}">
              <a16:predDERef xmlns:a16="http://schemas.microsoft.com/office/drawing/2014/main" pred="{94A4DDBA-0FCF-485B-8270-B339E75F9F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535A11AF-C895-E54D-8B6C-5AF1156B5393}"/>
            </a:ext>
            <a:ext uri="{147F2762-F138-4A5C-976F-8EAC2B608ADB}">
              <a16:predDERef xmlns:a16="http://schemas.microsoft.com/office/drawing/2014/main" pred="{873418BC-3E3F-40E0-B476-6EE704C78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0370E00D-5BB7-374F-8CEE-6460510107A5}"/>
            </a:ext>
            <a:ext uri="{147F2762-F138-4A5C-976F-8EAC2B608ADB}">
              <a16:predDERef xmlns:a16="http://schemas.microsoft.com/office/drawing/2014/main" pred="{D4DD2C39-8B3B-4ADB-B97F-44F489AB8E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BC4ED533-5EA7-864E-A4AA-08003DDBAFC1}"/>
            </a:ext>
            <a:ext uri="{147F2762-F138-4A5C-976F-8EAC2B608ADB}">
              <a16:predDERef xmlns:a16="http://schemas.microsoft.com/office/drawing/2014/main" pred="{8D1ADEC4-6379-4641-9346-E5561F9E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96" name="Picture 95" descr=" 1, 1, 2, 2,">
          <a:extLst>
            <a:ext uri="{FF2B5EF4-FFF2-40B4-BE49-F238E27FC236}">
              <a16:creationId xmlns:a16="http://schemas.microsoft.com/office/drawing/2014/main" id="{D6BF9C61-D576-714F-8F32-1DE3DB2C11E0}"/>
            </a:ext>
            <a:ext uri="{147F2762-F138-4A5C-976F-8EAC2B608ADB}">
              <a16:predDERef xmlns:a16="http://schemas.microsoft.com/office/drawing/2014/main" pred="{FF5B8790-2E80-4197-A4A2-40B7C6EBAB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7" name="Picture 96" descr=" 1, 1, 2, 2,">
          <a:extLst>
            <a:ext uri="{FF2B5EF4-FFF2-40B4-BE49-F238E27FC236}">
              <a16:creationId xmlns:a16="http://schemas.microsoft.com/office/drawing/2014/main" id="{D640C0DE-DB9C-EC4D-81B5-CEBB5FC566D2}"/>
            </a:ext>
            <a:ext uri="{147F2762-F138-4A5C-976F-8EAC2B608ADB}">
              <a16:predDERef xmlns:a16="http://schemas.microsoft.com/office/drawing/2014/main" pred="{39E72088-7738-4B0D-B19C-F02110794E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74000" cy="774000"/>
    <xdr:pic>
      <xdr:nvPicPr>
        <xdr:cNvPr id="98" name="Picture 97" descr=" 1, 1, 2, 2,">
          <a:extLst>
            <a:ext uri="{FF2B5EF4-FFF2-40B4-BE49-F238E27FC236}">
              <a16:creationId xmlns:a16="http://schemas.microsoft.com/office/drawing/2014/main" id="{14667F38-9A98-2440-B511-065DAC091013}"/>
            </a:ext>
            <a:ext uri="{147F2762-F138-4A5C-976F-8EAC2B608ADB}">
              <a16:predDERef xmlns:a16="http://schemas.microsoft.com/office/drawing/2014/main" pred="{16709B25-A373-4111-9C2E-A81FC212A6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74000" cy="774000"/>
    <xdr:pic>
      <xdr:nvPicPr>
        <xdr:cNvPr id="99" name="Picture 98" descr=" 1, 1, 2, 2,">
          <a:extLst>
            <a:ext uri="{FF2B5EF4-FFF2-40B4-BE49-F238E27FC236}">
              <a16:creationId xmlns:a16="http://schemas.microsoft.com/office/drawing/2014/main" id="{BEDE6A53-E182-EA42-8F39-1561E7671EBA}"/>
            </a:ext>
            <a:ext uri="{147F2762-F138-4A5C-976F-8EAC2B608ADB}">
              <a16:predDERef xmlns:a16="http://schemas.microsoft.com/office/drawing/2014/main" pred="{5D1B3B40-E68F-4CBF-800C-FCDFBF45EE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100" name="Picture 99" descr=" 1, 1, 2, 2,">
          <a:extLst>
            <a:ext uri="{FF2B5EF4-FFF2-40B4-BE49-F238E27FC236}">
              <a16:creationId xmlns:a16="http://schemas.microsoft.com/office/drawing/2014/main" id="{59BE4B83-E0BF-9644-81B2-B0C413B89709}"/>
            </a:ext>
            <a:ext uri="{147F2762-F138-4A5C-976F-8EAC2B608ADB}">
              <a16:predDERef xmlns:a16="http://schemas.microsoft.com/office/drawing/2014/main" pred="{DAF6D4C3-BFBA-41F2-B67D-EFA6E15BB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CB4A2537-D6E8-8D4C-BAE1-838FCD48E7C6}"/>
            </a:ext>
            <a:ext uri="{147F2762-F138-4A5C-976F-8EAC2B608ADB}">
              <a16:predDERef xmlns:a16="http://schemas.microsoft.com/office/drawing/2014/main" pred="{51597A4F-8671-4D04-9699-99E98D5691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7B9216E-E557-0C43-8D22-F67988518083}"/>
            </a:ext>
            <a:ext uri="{147F2762-F138-4A5C-976F-8EAC2B608ADB}">
              <a16:predDERef xmlns:a16="http://schemas.microsoft.com/office/drawing/2014/main" pred="{449702BE-FBF9-448F-A5C5-749B440402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030DDE4B-1D9A-254B-A5DE-1C448CC515B6}"/>
            </a:ext>
            <a:ext uri="{147F2762-F138-4A5C-976F-8EAC2B608ADB}">
              <a16:predDERef xmlns:a16="http://schemas.microsoft.com/office/drawing/2014/main" pred="{E8011741-B798-44C8-84F9-63FB887982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104" name="Picture 103" descr=" 1, 1, 2, 2,">
          <a:extLst>
            <a:ext uri="{FF2B5EF4-FFF2-40B4-BE49-F238E27FC236}">
              <a16:creationId xmlns:a16="http://schemas.microsoft.com/office/drawing/2014/main" id="{C14134F3-1CB9-0448-8E0A-F806D7AF5753}"/>
            </a:ext>
            <a:ext uri="{147F2762-F138-4A5C-976F-8EAC2B608ADB}">
              <a16:predDERef xmlns:a16="http://schemas.microsoft.com/office/drawing/2014/main" pred="{E9E7EEC6-78A5-4B04-B867-74A65AC197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7260E9C2-27ED-D84F-8E84-6BB43E901498}"/>
            </a:ext>
            <a:ext uri="{147F2762-F138-4A5C-976F-8EAC2B608ADB}">
              <a16:predDERef xmlns:a16="http://schemas.microsoft.com/office/drawing/2014/main" pred="{406C4705-57D5-4B0D-848B-D76770FB01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5A6F294B-FFFB-4545-A0F1-5C26A000F6C0}"/>
            </a:ext>
            <a:ext uri="{147F2762-F138-4A5C-976F-8EAC2B608ADB}">
              <a16:predDERef xmlns:a16="http://schemas.microsoft.com/office/drawing/2014/main" pred="{3B0BCD07-C0CC-460C-B124-7D6036C714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2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389C14B1-9FB2-574F-A8F1-03B4811132EA}"/>
            </a:ext>
            <a:ext uri="{147F2762-F138-4A5C-976F-8EAC2B608ADB}">
              <a16:predDERef xmlns:a16="http://schemas.microsoft.com/office/drawing/2014/main" pred="{DAFD4DCF-6458-41F3-A114-D49E2D82D2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08" name="Picture 107" descr=" 1, 1, 2, 2,">
          <a:extLst>
            <a:ext uri="{FF2B5EF4-FFF2-40B4-BE49-F238E27FC236}">
              <a16:creationId xmlns:a16="http://schemas.microsoft.com/office/drawing/2014/main" id="{1B7ACED4-1B12-034C-A0CB-3B916A1ECD80}"/>
            </a:ext>
            <a:ext uri="{147F2762-F138-4A5C-976F-8EAC2B608ADB}">
              <a16:predDERef xmlns:a16="http://schemas.microsoft.com/office/drawing/2014/main" pred="{7D6A6E2A-5900-4699-9C42-E666907FFF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74000" cy="774000"/>
    <xdr:pic>
      <xdr:nvPicPr>
        <xdr:cNvPr id="109" name="Picture 108" descr=" 1, 1, 2, 2,">
          <a:extLst>
            <a:ext uri="{FF2B5EF4-FFF2-40B4-BE49-F238E27FC236}">
              <a16:creationId xmlns:a16="http://schemas.microsoft.com/office/drawing/2014/main" id="{2B304137-3A69-0846-AEBF-A30EB83B53E4}"/>
            </a:ext>
            <a:ext uri="{147F2762-F138-4A5C-976F-8EAC2B608ADB}">
              <a16:predDERef xmlns:a16="http://schemas.microsoft.com/office/drawing/2014/main" pred="{CDE560F4-FA4F-4F52-B9E0-26C643B76B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4</xdr:row>
      <xdr:rowOff>0</xdr:rowOff>
    </xdr:from>
    <xdr:ext cx="774000" cy="774000"/>
    <xdr:pic>
      <xdr:nvPicPr>
        <xdr:cNvPr id="110" name="Picture 109" descr=" 1, 1, 2, 2,">
          <a:extLst>
            <a:ext uri="{FF2B5EF4-FFF2-40B4-BE49-F238E27FC236}">
              <a16:creationId xmlns:a16="http://schemas.microsoft.com/office/drawing/2014/main" id="{0576C556-F930-4E49-9484-102F280448BC}"/>
            </a:ext>
            <a:ext uri="{147F2762-F138-4A5C-976F-8EAC2B608ADB}">
              <a16:predDERef xmlns:a16="http://schemas.microsoft.com/office/drawing/2014/main" pred="{EAAD4ED0-5367-407F-908D-AEAA10227B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774000" cy="774000"/>
    <xdr:pic>
      <xdr:nvPicPr>
        <xdr:cNvPr id="111" name="Picture 110" descr=" 1, 1, 2, 2,">
          <a:extLst>
            <a:ext uri="{FF2B5EF4-FFF2-40B4-BE49-F238E27FC236}">
              <a16:creationId xmlns:a16="http://schemas.microsoft.com/office/drawing/2014/main" id="{60CA25D9-CE01-3F47-9C4B-2AE144915F53}"/>
            </a:ext>
            <a:ext uri="{147F2762-F138-4A5C-976F-8EAC2B608ADB}">
              <a16:predDERef xmlns:a16="http://schemas.microsoft.com/office/drawing/2014/main" pred="{E5C4E785-A6F4-4C31-9B68-1ACD61ED6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12" name="Picture 111" descr=" 1, 1, 2, 2,">
          <a:extLst>
            <a:ext uri="{FF2B5EF4-FFF2-40B4-BE49-F238E27FC236}">
              <a16:creationId xmlns:a16="http://schemas.microsoft.com/office/drawing/2014/main" id="{FF0DFE4E-A259-5940-AA74-820B5FFF0C89}"/>
            </a:ext>
            <a:ext uri="{147F2762-F138-4A5C-976F-8EAC2B608ADB}">
              <a16:predDERef xmlns:a16="http://schemas.microsoft.com/office/drawing/2014/main" pred="{4F001F01-8F0E-439C-9DD7-0317CB1F72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13" name="Picture 112" descr=" 1, 1, 2, 2,">
          <a:extLst>
            <a:ext uri="{FF2B5EF4-FFF2-40B4-BE49-F238E27FC236}">
              <a16:creationId xmlns:a16="http://schemas.microsoft.com/office/drawing/2014/main" id="{CC22156B-1FB2-B14D-B1CB-45A420CF1853}"/>
            </a:ext>
            <a:ext uri="{147F2762-F138-4A5C-976F-8EAC2B608ADB}">
              <a16:predDERef xmlns:a16="http://schemas.microsoft.com/office/drawing/2014/main" pred="{DCA71783-3332-4762-BDC8-CCADCACFEF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2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277698D7-AF0A-EA4C-8065-CAA38BDD825A}"/>
            </a:ext>
            <a:ext uri="{147F2762-F138-4A5C-976F-8EAC2B608ADB}">
              <a16:predDERef xmlns:a16="http://schemas.microsoft.com/office/drawing/2014/main" pred="{54FFE4EE-B011-4AA6-AF41-0DE5B72923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2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50A7899B-7AE8-204B-9BC3-04D35CC2BF88}"/>
            </a:ext>
            <a:ext uri="{147F2762-F138-4A5C-976F-8EAC2B608ADB}">
              <a16:predDERef xmlns:a16="http://schemas.microsoft.com/office/drawing/2014/main" pred="{5765BBF8-F383-469F-B273-F29A0D17D0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74000" cy="774000"/>
    <xdr:pic>
      <xdr:nvPicPr>
        <xdr:cNvPr id="116" name="Picture 115" descr=" 1, 1, 2, 2,">
          <a:extLst>
            <a:ext uri="{FF2B5EF4-FFF2-40B4-BE49-F238E27FC236}">
              <a16:creationId xmlns:a16="http://schemas.microsoft.com/office/drawing/2014/main" id="{D1CB5569-D1D7-CD42-8F03-D7560E47368B}"/>
            </a:ext>
            <a:ext uri="{147F2762-F138-4A5C-976F-8EAC2B608ADB}">
              <a16:predDERef xmlns:a16="http://schemas.microsoft.com/office/drawing/2014/main" pred="{76514171-5A0B-4CCC-ACF9-C5380C7DF9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117" name="Picture 116" descr=" 1, 1, 2, 2,">
          <a:extLst>
            <a:ext uri="{FF2B5EF4-FFF2-40B4-BE49-F238E27FC236}">
              <a16:creationId xmlns:a16="http://schemas.microsoft.com/office/drawing/2014/main" id="{64AA0BCE-9546-8546-A793-922D6FB7C439}"/>
            </a:ext>
            <a:ext uri="{147F2762-F138-4A5C-976F-8EAC2B608ADB}">
              <a16:predDERef xmlns:a16="http://schemas.microsoft.com/office/drawing/2014/main" pred="{27717891-47B3-4995-9684-F6C0AD8FD3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118" name="Picture 117" descr=" 1, 1, 2, 2,">
          <a:extLst>
            <a:ext uri="{FF2B5EF4-FFF2-40B4-BE49-F238E27FC236}">
              <a16:creationId xmlns:a16="http://schemas.microsoft.com/office/drawing/2014/main" id="{2FCEE79E-25D7-9F4D-B2F3-7CCA6DDCDC2A}"/>
            </a:ext>
            <a:ext uri="{147F2762-F138-4A5C-976F-8EAC2B608ADB}">
              <a16:predDERef xmlns:a16="http://schemas.microsoft.com/office/drawing/2014/main" pred="{8C031581-F688-4438-AE16-CA8DC3E407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86484" cy="774000"/>
    <xdr:pic>
      <xdr:nvPicPr>
        <xdr:cNvPr id="119" name="Picture 118" descr=" 8, 8, 7, 7,">
          <a:extLst>
            <a:ext uri="{FF2B5EF4-FFF2-40B4-BE49-F238E27FC236}">
              <a16:creationId xmlns:a16="http://schemas.microsoft.com/office/drawing/2014/main" id="{E32BCED8-C177-D84A-86B5-925C8B973802}"/>
            </a:ext>
            <a:ext uri="{147F2762-F138-4A5C-976F-8EAC2B608ADB}">
              <a16:predDERef xmlns:a16="http://schemas.microsoft.com/office/drawing/2014/main" pred="{B711E8E4-EC95-42F0-9F56-6DF42D7B57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53162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120" name="Picture 119" descr="12,12,12,12,">
          <a:extLst>
            <a:ext uri="{FF2B5EF4-FFF2-40B4-BE49-F238E27FC236}">
              <a16:creationId xmlns:a16="http://schemas.microsoft.com/office/drawing/2014/main" id="{D6C23707-0E94-2049-B282-429A8D7EC6F9}"/>
            </a:ext>
            <a:ext uri="{147F2762-F138-4A5C-976F-8EAC2B608ADB}">
              <a16:predDERef xmlns:a16="http://schemas.microsoft.com/office/drawing/2014/main" pred="{6FB42868-63B0-4CA6-A548-A9CC69C79D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1" name="Picture 120" descr="12,12,12,12,">
          <a:extLst>
            <a:ext uri="{FF2B5EF4-FFF2-40B4-BE49-F238E27FC236}">
              <a16:creationId xmlns:a16="http://schemas.microsoft.com/office/drawing/2014/main" id="{7B198578-ADB4-B04E-84B1-3970B1B929DD}"/>
            </a:ext>
            <a:ext uri="{147F2762-F138-4A5C-976F-8EAC2B608ADB}">
              <a16:predDERef xmlns:a16="http://schemas.microsoft.com/office/drawing/2014/main" pred="{48FCE424-B3CD-4BA8-861B-C6E2028BCB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22" name="Picture 121" descr="12,12,12,12,">
          <a:extLst>
            <a:ext uri="{FF2B5EF4-FFF2-40B4-BE49-F238E27FC236}">
              <a16:creationId xmlns:a16="http://schemas.microsoft.com/office/drawing/2014/main" id="{1046D4E2-8E4A-CB4A-B7F1-6BFE2AEBCE3E}"/>
            </a:ext>
            <a:ext uri="{147F2762-F138-4A5C-976F-8EAC2B608ADB}">
              <a16:predDERef xmlns:a16="http://schemas.microsoft.com/office/drawing/2014/main" pred="{1A99C04D-F36F-478D-9CEA-D8C24CC4B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4000" cy="774000"/>
    <xdr:pic>
      <xdr:nvPicPr>
        <xdr:cNvPr id="123" name="Picture 122" descr="12,12, 7, 7,">
          <a:extLst>
            <a:ext uri="{FF2B5EF4-FFF2-40B4-BE49-F238E27FC236}">
              <a16:creationId xmlns:a16="http://schemas.microsoft.com/office/drawing/2014/main" id="{A8A8AE6A-8B0C-A140-A520-D54CD36CCBEC}"/>
            </a:ext>
            <a:ext uri="{147F2762-F138-4A5C-976F-8EAC2B608ADB}">
              <a16:predDERef xmlns:a16="http://schemas.microsoft.com/office/drawing/2014/main" pred="{805AEEAF-27BF-4DA5-9E6B-7BEC6644DF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5316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77876" cy="777876"/>
    <xdr:pic>
      <xdr:nvPicPr>
        <xdr:cNvPr id="124" name="Picture 123" descr=" 0, 5, 6, 2, ">
          <a:extLst>
            <a:ext uri="{FF2B5EF4-FFF2-40B4-BE49-F238E27FC236}">
              <a16:creationId xmlns:a16="http://schemas.microsoft.com/office/drawing/2014/main" id="{EF1B5002-92BF-D547-B9BA-26843DE3A96A}"/>
            </a:ext>
            <a:ext uri="{147F2762-F138-4A5C-976F-8EAC2B608ADB}">
              <a16:predDERef xmlns:a16="http://schemas.microsoft.com/office/drawing/2014/main" pred="{5DA6A95A-6010-4B81-82ED-C7E12467E0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0" y="812800"/>
          <a:ext cx="777876" cy="77787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808183" cy="796638"/>
    <xdr:pic>
      <xdr:nvPicPr>
        <xdr:cNvPr id="125" name="Picture 124" descr="Item:Chakana,Pos:1">
          <a:extLst>
            <a:ext uri="{FF2B5EF4-FFF2-40B4-BE49-F238E27FC236}">
              <a16:creationId xmlns:a16="http://schemas.microsoft.com/office/drawing/2014/main" id="{4D5B9944-2BBC-D444-819A-7C1C3E6A1450}"/>
            </a:ext>
            <a:ext uri="{147F2762-F138-4A5C-976F-8EAC2B608ADB}">
              <a16:predDERef xmlns:a16="http://schemas.microsoft.com/office/drawing/2014/main" pred="{ABA06B7C-A3BA-4EEE-8954-9D853D60499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825200" y="812800"/>
          <a:ext cx="808183" cy="796638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4</xdr:row>
      <xdr:rowOff>0</xdr:rowOff>
    </xdr:from>
    <xdr:ext cx="790223" cy="790223"/>
    <xdr:pic>
      <xdr:nvPicPr>
        <xdr:cNvPr id="126" name="Picture 125" descr="Enemy:SwordFighter_LH,Pos:1">
          <a:extLst>
            <a:ext uri="{FF2B5EF4-FFF2-40B4-BE49-F238E27FC236}">
              <a16:creationId xmlns:a16="http://schemas.microsoft.com/office/drawing/2014/main" id="{30BB7FD5-B811-D243-9B5F-B1FBF3820AAC}"/>
            </a:ext>
            <a:ext uri="{147F2762-F138-4A5C-976F-8EAC2B608ADB}">
              <a16:predDERef xmlns:a16="http://schemas.microsoft.com/office/drawing/2014/main" pred="{F62BE895-5008-403F-A533-DAD4E6EC4F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21272500" y="812800"/>
          <a:ext cx="790223" cy="79022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90222" cy="790222"/>
    <xdr:pic>
      <xdr:nvPicPr>
        <xdr:cNvPr id="127" name="Picture 126" descr="Enemy:Archer_LH,Pos:1">
          <a:extLst>
            <a:ext uri="{FF2B5EF4-FFF2-40B4-BE49-F238E27FC236}">
              <a16:creationId xmlns:a16="http://schemas.microsoft.com/office/drawing/2014/main" id="{BF6E03E8-A27D-2C44-B92C-3A5E013EB83A}"/>
            </a:ext>
            <a:ext uri="{147F2762-F138-4A5C-976F-8EAC2B608ADB}">
              <a16:predDERef xmlns:a16="http://schemas.microsoft.com/office/drawing/2014/main" pred="{EC57C0ED-C54A-446A-AA28-B33FFA0104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36144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814917" cy="804334"/>
    <xdr:pic>
      <xdr:nvPicPr>
        <xdr:cNvPr id="128" name="Picture 127" descr="Enemy:Archer_RH,Pos:1">
          <a:extLst>
            <a:ext uri="{FF2B5EF4-FFF2-40B4-BE49-F238E27FC236}">
              <a16:creationId xmlns:a16="http://schemas.microsoft.com/office/drawing/2014/main" id="{C3CD7087-61D3-8045-8F41-DCF27F1E8150}"/>
            </a:ext>
            <a:ext uri="{147F2762-F138-4A5C-976F-8EAC2B608ADB}">
              <a16:predDERef xmlns:a16="http://schemas.microsoft.com/office/drawing/2014/main" pred="{43D4CFC1-E577-45C8-8C53-B24FC6F81C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7658100" y="812800"/>
          <a:ext cx="814917" cy="804334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7876" cy="777876"/>
    <xdr:pic>
      <xdr:nvPicPr>
        <xdr:cNvPr id="129" name="Picture 128" descr=" 0, 5, 6, 2, ">
          <a:extLst>
            <a:ext uri="{FF2B5EF4-FFF2-40B4-BE49-F238E27FC236}">
              <a16:creationId xmlns:a16="http://schemas.microsoft.com/office/drawing/2014/main" id="{77C0C877-8355-FD49-8FD5-437EA05C7575}"/>
            </a:ext>
            <a:ext uri="{147F2762-F138-4A5C-976F-8EAC2B608ADB}">
              <a16:predDERef xmlns:a16="http://schemas.microsoft.com/office/drawing/2014/main" pred="{2DA5F968-ED2A-4EA8-9FE2-F692D54901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10617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77876" cy="777876"/>
    <xdr:pic>
      <xdr:nvPicPr>
        <xdr:cNvPr id="130" name="Picture 129" descr=" 0, 5, 6, 2, ">
          <a:extLst>
            <a:ext uri="{FF2B5EF4-FFF2-40B4-BE49-F238E27FC236}">
              <a16:creationId xmlns:a16="http://schemas.microsoft.com/office/drawing/2014/main" id="{37439215-C77B-0846-AEF9-D595CF10CA48}"/>
            </a:ext>
            <a:ext uri="{147F2762-F138-4A5C-976F-8EAC2B608ADB}">
              <a16:predDERef xmlns:a16="http://schemas.microsoft.com/office/drawing/2014/main" pred="{CA8645F9-6B7C-4EC6-AFC1-D9F5EB66F3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19126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7876" cy="777876"/>
    <xdr:pic>
      <xdr:nvPicPr>
        <xdr:cNvPr id="131" name="Picture 130" descr=" 0, 5, 6, 2, ">
          <a:extLst>
            <a:ext uri="{FF2B5EF4-FFF2-40B4-BE49-F238E27FC236}">
              <a16:creationId xmlns:a16="http://schemas.microsoft.com/office/drawing/2014/main" id="{A50AD1C3-C958-734A-97C5-1ADEC5D02277}"/>
            </a:ext>
            <a:ext uri="{147F2762-F138-4A5C-976F-8EAC2B608ADB}">
              <a16:predDERef xmlns:a16="http://schemas.microsoft.com/office/drawing/2014/main" pred="{339EB988-075A-4FED-B704-15C5073FDA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2763500" y="203200"/>
          <a:ext cx="777876" cy="777876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F3844709-8B11-D147-9011-C2620E3C498D}"/>
            </a:ext>
            <a:ext uri="{147F2762-F138-4A5C-976F-8EAC2B608ADB}">
              <a16:predDERef xmlns:a16="http://schemas.microsoft.com/office/drawing/2014/main" pred="{BE7994A0-A08F-4D44-8316-8F1B4796EB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59E08D0A-45D6-2647-B328-248F5396C82C}"/>
            </a:ext>
            <a:ext uri="{147F2762-F138-4A5C-976F-8EAC2B608ADB}">
              <a16:predDERef xmlns:a16="http://schemas.microsoft.com/office/drawing/2014/main" pred="{9E13EEFF-B8C1-4F4B-A13C-437A2AF599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F26F9A9D-C536-7644-A6E0-0FA959E15EB7}"/>
            </a:ext>
            <a:ext uri="{147F2762-F138-4A5C-976F-8EAC2B608ADB}">
              <a16:predDERef xmlns:a16="http://schemas.microsoft.com/office/drawing/2014/main" pred="{587F0725-4ECC-4D9E-B860-B5018CCE3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73545" cy="818444"/>
    <xdr:pic>
      <xdr:nvPicPr>
        <xdr:cNvPr id="135" name="Picture 134" descr="Item:Potion,Pos:1">
          <a:extLst>
            <a:ext uri="{FF2B5EF4-FFF2-40B4-BE49-F238E27FC236}">
              <a16:creationId xmlns:a16="http://schemas.microsoft.com/office/drawing/2014/main" id="{188206C7-625E-7448-BB31-9C0AF31D0680}"/>
            </a:ext>
            <a:ext uri="{147F2762-F138-4A5C-976F-8EAC2B608ADB}">
              <a16:predDERef xmlns:a16="http://schemas.microsoft.com/office/drawing/2014/main" pred="{0C4836FC-A35E-465E-B8DD-D5C3DA599A8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70180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7</xdr:row>
      <xdr:rowOff>0</xdr:rowOff>
    </xdr:from>
    <xdr:ext cx="773545" cy="818444"/>
    <xdr:pic>
      <xdr:nvPicPr>
        <xdr:cNvPr id="136" name="Picture 135" descr="Item:Potion,Pos:1">
          <a:extLst>
            <a:ext uri="{FF2B5EF4-FFF2-40B4-BE49-F238E27FC236}">
              <a16:creationId xmlns:a16="http://schemas.microsoft.com/office/drawing/2014/main" id="{97391D4A-6936-C549-BC92-A53664BBEA15}"/>
            </a:ext>
            <a:ext uri="{147F2762-F138-4A5C-976F-8EAC2B608ADB}">
              <a16:predDERef xmlns:a16="http://schemas.microsoft.com/office/drawing/2014/main" pred="{D25C86CD-A3D1-4C7A-8AB8-0236887BBCF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21272500" y="1422400"/>
          <a:ext cx="773545" cy="818444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77876" cy="777876"/>
    <xdr:pic>
      <xdr:nvPicPr>
        <xdr:cNvPr id="137" name="Picture 136" descr=" 0, 5, 6, 2, ">
          <a:extLst>
            <a:ext uri="{FF2B5EF4-FFF2-40B4-BE49-F238E27FC236}">
              <a16:creationId xmlns:a16="http://schemas.microsoft.com/office/drawing/2014/main" id="{10AF8D47-148F-D140-900B-B3D60CD447E0}"/>
            </a:ext>
            <a:ext uri="{147F2762-F138-4A5C-976F-8EAC2B608ADB}">
              <a16:predDERef xmlns:a16="http://schemas.microsoft.com/office/drawing/2014/main" pred="{AE26251D-B365-418D-92BB-BC121AE4D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04216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85091" cy="808183"/>
    <xdr:pic>
      <xdr:nvPicPr>
        <xdr:cNvPr id="138" name="Picture 137" descr="Item:Flame,Pos:1">
          <a:extLst>
            <a:ext uri="{FF2B5EF4-FFF2-40B4-BE49-F238E27FC236}">
              <a16:creationId xmlns:a16="http://schemas.microsoft.com/office/drawing/2014/main" id="{7AF9BBBF-DAD3-8C46-9F9F-7E8E8C97B3CF}"/>
            </a:ext>
            <a:ext uri="{147F2762-F138-4A5C-976F-8EAC2B608ADB}">
              <a16:predDERef xmlns:a16="http://schemas.microsoft.com/office/drawing/2014/main" pred="{CDFBC12C-5860-4868-8643-B990B5EB816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18719800" y="1625600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811068" cy="808182"/>
    <xdr:pic>
      <xdr:nvPicPr>
        <xdr:cNvPr id="139" name="Picture 138" descr="Item:Hammer,Pos:1">
          <a:extLst>
            <a:ext uri="{FF2B5EF4-FFF2-40B4-BE49-F238E27FC236}">
              <a16:creationId xmlns:a16="http://schemas.microsoft.com/office/drawing/2014/main" id="{FAE7526A-6607-6C40-B07B-81D737B846AD}"/>
            </a:ext>
            <a:ext uri="{147F2762-F138-4A5C-976F-8EAC2B608ADB}">
              <a16:predDERef xmlns:a16="http://schemas.microsoft.com/office/drawing/2014/main" pred="{CE55DBC5-1CCF-4365-8C6F-23EC583468F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5105400" y="609600"/>
          <a:ext cx="811068" cy="808182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4</xdr:row>
      <xdr:rowOff>0</xdr:rowOff>
    </xdr:from>
    <xdr:ext cx="796636" cy="808182"/>
    <xdr:pic>
      <xdr:nvPicPr>
        <xdr:cNvPr id="140" name="Picture 139" descr="Item:Sword,Pos:1">
          <a:extLst>
            <a:ext uri="{FF2B5EF4-FFF2-40B4-BE49-F238E27FC236}">
              <a16:creationId xmlns:a16="http://schemas.microsoft.com/office/drawing/2014/main" id="{DEB2243A-E6BF-C645-BA30-2D0D118536F0}"/>
            </a:ext>
            <a:ext uri="{147F2762-F138-4A5C-976F-8EAC2B608ADB}">
              <a16:predDERef xmlns:a16="http://schemas.microsoft.com/office/drawing/2014/main" pred="{8192F85D-6EAD-4BA9-BD54-16ECCC951F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812800"/>
          <a:ext cx="796636" cy="808182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4</xdr:row>
      <xdr:rowOff>0</xdr:rowOff>
    </xdr:from>
    <xdr:ext cx="774000" cy="774000"/>
    <xdr:pic>
      <xdr:nvPicPr>
        <xdr:cNvPr id="141" name="Picture 140" descr=" 9,10, 2, 1,">
          <a:extLst>
            <a:ext uri="{FF2B5EF4-FFF2-40B4-BE49-F238E27FC236}">
              <a16:creationId xmlns:a16="http://schemas.microsoft.com/office/drawing/2014/main" id="{1A7E940A-0E98-CB4E-AB09-BD684237C4E8}"/>
            </a:ext>
            <a:ext uri="{147F2762-F138-4A5C-976F-8EAC2B608ADB}">
              <a16:predDERef xmlns:a16="http://schemas.microsoft.com/office/drawing/2014/main" pred="{571D02F4-642D-48DB-B942-FEFA6DE4BB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1054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774000" cy="774000"/>
    <xdr:pic>
      <xdr:nvPicPr>
        <xdr:cNvPr id="142" name="Picture 141" descr="20, 0, 2,20,">
          <a:extLst>
            <a:ext uri="{FF2B5EF4-FFF2-40B4-BE49-F238E27FC236}">
              <a16:creationId xmlns:a16="http://schemas.microsoft.com/office/drawing/2014/main" id="{41C3EE88-28C2-D748-A450-70180DB8C27F}"/>
            </a:ext>
            <a:ext uri="{147F2762-F138-4A5C-976F-8EAC2B608ADB}">
              <a16:predDERef xmlns:a16="http://schemas.microsoft.com/office/drawing/2014/main" pred="{A0737367-6B9A-4B1A-9951-5100CA9484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807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74000" cy="774000"/>
    <xdr:pic>
      <xdr:nvPicPr>
        <xdr:cNvPr id="143" name="Picture 142" descr="20, 0, 2,20,">
          <a:extLst>
            <a:ext uri="{FF2B5EF4-FFF2-40B4-BE49-F238E27FC236}">
              <a16:creationId xmlns:a16="http://schemas.microsoft.com/office/drawing/2014/main" id="{9B52814D-227F-5D47-B3AB-84F798EF54C7}"/>
            </a:ext>
            <a:ext uri="{147F2762-F138-4A5C-976F-8EAC2B608ADB}">
              <a16:predDERef xmlns:a16="http://schemas.microsoft.com/office/drawing/2014/main" pred="{D08E39A8-9AA6-4210-8F89-8221E27B0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76581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830147" cy="808183"/>
    <xdr:pic>
      <xdr:nvPicPr>
        <xdr:cNvPr id="144" name="Picture 143" descr="Item:MysteryCrate,Pos:1,ItemType:17">
          <a:extLst>
            <a:ext uri="{FF2B5EF4-FFF2-40B4-BE49-F238E27FC236}">
              <a16:creationId xmlns:a16="http://schemas.microsoft.com/office/drawing/2014/main" id="{73AE1B94-84F5-E044-B702-2CCD5EA4470C}"/>
            </a:ext>
            <a:ext uri="{147F2762-F138-4A5C-976F-8EAC2B608ADB}">
              <a16:predDERef xmlns:a16="http://schemas.microsoft.com/office/drawing/2014/main" pred="{8117C772-B47D-4D7E-929B-17E7883E525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868900" y="609600"/>
          <a:ext cx="830147" cy="80818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74000" cy="774000"/>
    <xdr:pic>
      <xdr:nvPicPr>
        <xdr:cNvPr id="145" name="Picture 144" descr="20, 0, 2,20,">
          <a:extLst>
            <a:ext uri="{FF2B5EF4-FFF2-40B4-BE49-F238E27FC236}">
              <a16:creationId xmlns:a16="http://schemas.microsoft.com/office/drawing/2014/main" id="{E455FA3A-DACE-5C44-BB11-45C951704762}"/>
            </a:ext>
            <a:ext uri="{147F2762-F138-4A5C-976F-8EAC2B608ADB}">
              <a16:predDERef xmlns:a16="http://schemas.microsoft.com/office/drawing/2014/main" pred="{334ED69B-31F9-4B29-A664-BC1E182C83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719800" y="812800"/>
          <a:ext cx="774000" cy="774000"/>
        </a:xfrm>
        <a:prstGeom prst="rect">
          <a:avLst/>
        </a:prstGeom>
      </xdr:spPr>
    </xdr:pic>
    <xdr:clientData/>
  </xdr:oneCellAnchor>
  <xdr:twoCellAnchor editAs="oneCell">
    <xdr:from>
      <xdr:col>31</xdr:col>
      <xdr:colOff>63500</xdr:colOff>
      <xdr:row>11</xdr:row>
      <xdr:rowOff>63500</xdr:rowOff>
    </xdr:from>
    <xdr:to>
      <xdr:col>32</xdr:col>
      <xdr:colOff>0</xdr:colOff>
      <xdr:row>12</xdr:row>
      <xdr:rowOff>0</xdr:rowOff>
    </xdr:to>
    <xdr:pic>
      <xdr:nvPicPr>
        <xdr:cNvPr id="146" name="Picture 145" descr="42,42,42,42, ">
          <a:extLst>
            <a:ext uri="{FF2B5EF4-FFF2-40B4-BE49-F238E27FC236}">
              <a16:creationId xmlns:a16="http://schemas.microsoft.com/office/drawing/2014/main" id="{03A375C1-CD4E-9746-9839-3EB23C64A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638250" y="94932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79374</xdr:colOff>
      <xdr:row>12</xdr:row>
      <xdr:rowOff>47624</xdr:rowOff>
    </xdr:from>
    <xdr:to>
      <xdr:col>32</xdr:col>
      <xdr:colOff>31749</xdr:colOff>
      <xdr:row>12</xdr:row>
      <xdr:rowOff>857249</xdr:rowOff>
    </xdr:to>
    <xdr:pic>
      <xdr:nvPicPr>
        <xdr:cNvPr id="147" name="Picture 146" descr="43,43,43,43, ">
          <a:extLst>
            <a:ext uri="{FF2B5EF4-FFF2-40B4-BE49-F238E27FC236}">
              <a16:creationId xmlns:a16="http://schemas.microsoft.com/office/drawing/2014/main" id="{FC07F92A-2671-C34E-B5AA-251808A650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654124" y="10334624"/>
          <a:ext cx="809625" cy="809625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8</xdr:row>
      <xdr:rowOff>0</xdr:rowOff>
    </xdr:from>
    <xdr:to>
      <xdr:col>26</xdr:col>
      <xdr:colOff>793750</xdr:colOff>
      <xdr:row>8</xdr:row>
      <xdr:rowOff>793750</xdr:rowOff>
    </xdr:to>
    <xdr:pic>
      <xdr:nvPicPr>
        <xdr:cNvPr id="148" name="Picture 147" descr="42,42,42,42, ">
          <a:extLst>
            <a:ext uri="{FF2B5EF4-FFF2-40B4-BE49-F238E27FC236}">
              <a16:creationId xmlns:a16="http://schemas.microsoft.com/office/drawing/2014/main" id="{0913FEBC-2A5D-584E-8CBE-51CE8FE726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2288500" y="68580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27</xdr:col>
      <xdr:colOff>41275</xdr:colOff>
      <xdr:row>7</xdr:row>
      <xdr:rowOff>25400</xdr:rowOff>
    </xdr:from>
    <xdr:to>
      <xdr:col>27</xdr:col>
      <xdr:colOff>835025</xdr:colOff>
      <xdr:row>7</xdr:row>
      <xdr:rowOff>819150</xdr:rowOff>
    </xdr:to>
    <xdr:pic>
      <xdr:nvPicPr>
        <xdr:cNvPr id="149" name="Picture 148" descr="42,42,42,42, ">
          <a:extLst>
            <a:ext uri="{FF2B5EF4-FFF2-40B4-BE49-F238E27FC236}">
              <a16:creationId xmlns:a16="http://schemas.microsoft.com/office/drawing/2014/main" id="{B9562FAB-5671-2D49-A3F7-F4DC9A2447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3187025" y="602615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28</xdr:col>
      <xdr:colOff>3175</xdr:colOff>
      <xdr:row>6</xdr:row>
      <xdr:rowOff>34925</xdr:rowOff>
    </xdr:from>
    <xdr:to>
      <xdr:col>28</xdr:col>
      <xdr:colOff>796925</xdr:colOff>
      <xdr:row>6</xdr:row>
      <xdr:rowOff>828675</xdr:rowOff>
    </xdr:to>
    <xdr:pic>
      <xdr:nvPicPr>
        <xdr:cNvPr id="150" name="Picture 149" descr="42,42,42,42, ">
          <a:extLst>
            <a:ext uri="{FF2B5EF4-FFF2-40B4-BE49-F238E27FC236}">
              <a16:creationId xmlns:a16="http://schemas.microsoft.com/office/drawing/2014/main" id="{78002913-CDC2-2E41-95D2-305D5F903D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4006175" y="517842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4</xdr:col>
      <xdr:colOff>850899</xdr:colOff>
      <xdr:row>5</xdr:row>
      <xdr:rowOff>9524</xdr:rowOff>
    </xdr:from>
    <xdr:to>
      <xdr:col>5</xdr:col>
      <xdr:colOff>803274</xdr:colOff>
      <xdr:row>5</xdr:row>
      <xdr:rowOff>819149</xdr:rowOff>
    </xdr:to>
    <xdr:pic>
      <xdr:nvPicPr>
        <xdr:cNvPr id="151" name="Picture 150" descr="43,43,43,43, ">
          <a:extLst>
            <a:ext uri="{FF2B5EF4-FFF2-40B4-BE49-F238E27FC236}">
              <a16:creationId xmlns:a16="http://schemas.microsoft.com/office/drawing/2014/main" id="{4746C43F-AA4F-2645-AF8E-29B1E8429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4279899" y="4295774"/>
          <a:ext cx="809625" cy="8096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A85FB9F4-5ECC-284A-9C9E-0F43B647E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DBFB1B5-E07B-D346-A8C2-8610DC850307}"/>
            </a:ext>
            <a:ext uri="{147F2762-F138-4A5C-976F-8EAC2B608ADB}">
              <a16:predDERef xmlns:a16="http://schemas.microsoft.com/office/drawing/2014/main" pred="{598D170E-B6DE-4113-A13F-9AD8054C00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47116A5-A6DB-A043-897F-1CC3898F100A}"/>
            </a:ext>
            <a:ext uri="{147F2762-F138-4A5C-976F-8EAC2B608ADB}">
              <a16:predDERef xmlns:a16="http://schemas.microsoft.com/office/drawing/2014/main" pred="{393FD232-8CA7-4A79-A389-76E9ADE93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DC792B02-3FAA-644B-A8AE-9E1C528F3EA4}"/>
            </a:ext>
            <a:ext uri="{147F2762-F138-4A5C-976F-8EAC2B608ADB}">
              <a16:predDERef xmlns:a16="http://schemas.microsoft.com/office/drawing/2014/main" pred="{AD7920CD-8F71-4AFD-9D35-DDCB0A76F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1625051D-7D26-BF44-81D9-7ACEE856B347}"/>
            </a:ext>
            <a:ext uri="{147F2762-F138-4A5C-976F-8EAC2B608ADB}">
              <a16:predDERef xmlns:a16="http://schemas.microsoft.com/office/drawing/2014/main" pred="{9A1C5B70-21A5-4FB0-80F3-37D4BE508B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E872913A-1A15-B643-8775-7D5AF6E6420B}"/>
            </a:ext>
            <a:ext uri="{147F2762-F138-4A5C-976F-8EAC2B608ADB}">
              <a16:predDERef xmlns:a16="http://schemas.microsoft.com/office/drawing/2014/main" pred="{26FEC061-E6CC-4C69-A966-CA0505B46E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2ECA1161-2BC8-1E4C-BF91-035DED81A2EC}"/>
            </a:ext>
            <a:ext uri="{147F2762-F138-4A5C-976F-8EAC2B608ADB}">
              <a16:predDERef xmlns:a16="http://schemas.microsoft.com/office/drawing/2014/main" pred="{3D2023D4-D8C0-42FF-887E-AB2B5FB73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8FEB2373-D726-FA46-9EA3-CC9C3E4C92D9}"/>
            </a:ext>
            <a:ext uri="{147F2762-F138-4A5C-976F-8EAC2B608ADB}">
              <a16:predDERef xmlns:a16="http://schemas.microsoft.com/office/drawing/2014/main" pred="{9FF79D27-AA44-42D2-9D1B-8EB464E088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2EE7D9D2-4605-534B-8666-167BDEE4F2FC}"/>
            </a:ext>
            <a:ext uri="{147F2762-F138-4A5C-976F-8EAC2B608ADB}">
              <a16:predDERef xmlns:a16="http://schemas.microsoft.com/office/drawing/2014/main" pred="{BF527394-7BE5-4A11-89CB-4A6DEAE3F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1ADC278D-A469-E444-92C0-BB67208D56D6}"/>
            </a:ext>
            <a:ext uri="{147F2762-F138-4A5C-976F-8EAC2B608ADB}">
              <a16:predDERef xmlns:a16="http://schemas.microsoft.com/office/drawing/2014/main" pred="{901AD6C4-8CC2-4ED9-BB58-520FE787D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27316BFF-0E67-084E-81FA-DA5043C7A5A3}"/>
            </a:ext>
            <a:ext uri="{147F2762-F138-4A5C-976F-8EAC2B608ADB}">
              <a16:predDERef xmlns:a16="http://schemas.microsoft.com/office/drawing/2014/main" pred="{DA4CC414-037F-4D3F-8205-9050B0D36D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87AF88E-6E79-D24F-B4A6-C1FA4183BF08}"/>
            </a:ext>
            <a:ext uri="{147F2762-F138-4A5C-976F-8EAC2B608ADB}">
              <a16:predDERef xmlns:a16="http://schemas.microsoft.com/office/drawing/2014/main" pred="{9D0A2335-4179-4E94-BE0E-3E8B498B2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03FBCF37-3DA7-904E-9919-8EBC97B0AA26}"/>
            </a:ext>
            <a:ext uri="{147F2762-F138-4A5C-976F-8EAC2B608ADB}">
              <a16:predDERef xmlns:a16="http://schemas.microsoft.com/office/drawing/2014/main" pred="{1B9DDE15-0F22-4634-9485-5F44B761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E77EBF84-F10C-BF4D-A845-B578FB6F75B1}"/>
            </a:ext>
            <a:ext uri="{147F2762-F138-4A5C-976F-8EAC2B608ADB}">
              <a16:predDERef xmlns:a16="http://schemas.microsoft.com/office/drawing/2014/main" pred="{C6E749C9-64D3-42B5-9241-5F93AEE6E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47AC847E-F216-4C47-BF91-FF904D047720}"/>
            </a:ext>
            <a:ext uri="{147F2762-F138-4A5C-976F-8EAC2B608ADB}">
              <a16:predDERef xmlns:a16="http://schemas.microsoft.com/office/drawing/2014/main" pred="{9786BA47-34E6-474F-AC03-33DF3E593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DE752630-5126-BB49-B7A5-D65068437F45}"/>
            </a:ext>
            <a:ext uri="{147F2762-F138-4A5C-976F-8EAC2B608ADB}">
              <a16:predDERef xmlns:a16="http://schemas.microsoft.com/office/drawing/2014/main" pred="{36120603-D096-4B43-BEAD-7B19C73C77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AEEC82D5-C57E-E54B-AF39-45BD871F72F0}"/>
            </a:ext>
            <a:ext uri="{147F2762-F138-4A5C-976F-8EAC2B608ADB}">
              <a16:predDERef xmlns:a16="http://schemas.microsoft.com/office/drawing/2014/main" pred="{EB082169-75B1-44C0-848F-66B8A1DFF7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2A6FD71-7385-894C-8060-875E95A2817C}"/>
            </a:ext>
            <a:ext uri="{147F2762-F138-4A5C-976F-8EAC2B608ADB}">
              <a16:predDERef xmlns:a16="http://schemas.microsoft.com/office/drawing/2014/main" pred="{2A99844B-E467-42AF-BE64-FC6B1A7757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AB1909E-C9C3-CA42-8B61-4010036B586C}"/>
            </a:ext>
            <a:ext uri="{147F2762-F138-4A5C-976F-8EAC2B608ADB}">
              <a16:predDERef xmlns:a16="http://schemas.microsoft.com/office/drawing/2014/main" pred="{2F5A9735-B616-452F-9C75-9845E60AD2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3E581151-BC93-C042-AC4A-9A3CD1F64B17}"/>
            </a:ext>
            <a:ext uri="{147F2762-F138-4A5C-976F-8EAC2B608ADB}">
              <a16:predDERef xmlns:a16="http://schemas.microsoft.com/office/drawing/2014/main" pred="{C898167A-4EF2-4030-947D-853AFF2CE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3AD10E02-4843-C241-AED0-873D6C7B8C03}"/>
            </a:ext>
            <a:ext uri="{147F2762-F138-4A5C-976F-8EAC2B608ADB}">
              <a16:predDERef xmlns:a16="http://schemas.microsoft.com/office/drawing/2014/main" pred="{C8C34A57-3435-4498-ACE2-B269BBC197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12853829-9FA9-7444-A989-FAD5B6C01DBC}"/>
            </a:ext>
            <a:ext uri="{147F2762-F138-4A5C-976F-8EAC2B608ADB}">
              <a16:predDERef xmlns:a16="http://schemas.microsoft.com/office/drawing/2014/main" pred="{AB562FF3-0494-4936-8446-199A08845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67EA71DC-A0DA-E345-8180-C64515498059}"/>
            </a:ext>
            <a:ext uri="{147F2762-F138-4A5C-976F-8EAC2B608ADB}">
              <a16:predDERef xmlns:a16="http://schemas.microsoft.com/office/drawing/2014/main" pred="{DB5F049A-B223-4B3C-91E0-BAB15BE185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1FC27661-8080-9541-B625-4726DC05B94A}"/>
            </a:ext>
            <a:ext uri="{147F2762-F138-4A5C-976F-8EAC2B608ADB}">
              <a16:predDERef xmlns:a16="http://schemas.microsoft.com/office/drawing/2014/main" pred="{93196B6F-5830-4B98-BCD4-C0C1CB2D1B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BCBCE8F-53D6-6F48-91FE-B9BD88B9555D}"/>
            </a:ext>
            <a:ext uri="{147F2762-F138-4A5C-976F-8EAC2B608ADB}">
              <a16:predDERef xmlns:a16="http://schemas.microsoft.com/office/drawing/2014/main" pred="{1E2ADCFC-B052-44F7-8EFB-5AEE2B9AA8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7F6387AF-B99E-744D-81EA-3AA7EB968B5B}"/>
            </a:ext>
            <a:ext uri="{147F2762-F138-4A5C-976F-8EAC2B608ADB}">
              <a16:predDERef xmlns:a16="http://schemas.microsoft.com/office/drawing/2014/main" pred="{24C2713B-F541-4F48-B0A7-BD928F2FB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2D6C5AA7-C3AE-F146-B472-B0D93BB6A687}"/>
            </a:ext>
            <a:ext uri="{147F2762-F138-4A5C-976F-8EAC2B608ADB}">
              <a16:predDERef xmlns:a16="http://schemas.microsoft.com/office/drawing/2014/main" pred="{3E3E774E-EFB7-4B3F-9756-754BBBF52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740F3E26-B7DD-3D47-902C-A7AE29477B34}"/>
            </a:ext>
            <a:ext uri="{147F2762-F138-4A5C-976F-8EAC2B608ADB}">
              <a16:predDERef xmlns:a16="http://schemas.microsoft.com/office/drawing/2014/main" pred="{E8A9143F-0FCC-4572-9E5F-4590136577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4D34894-67B7-C646-A203-4049D80ECDA6}"/>
            </a:ext>
            <a:ext uri="{147F2762-F138-4A5C-976F-8EAC2B608ADB}">
              <a16:predDERef xmlns:a16="http://schemas.microsoft.com/office/drawing/2014/main" pred="{2207351F-60E2-4CD8-9DF7-91A14DC36E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6831C63E-BB3F-4B4B-9019-719962052160}"/>
            </a:ext>
            <a:ext uri="{147F2762-F138-4A5C-976F-8EAC2B608ADB}">
              <a16:predDERef xmlns:a16="http://schemas.microsoft.com/office/drawing/2014/main" pred="{EB9C22DF-D671-4557-9899-D8CD99C575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0A3C0FAE-2C94-0C47-8179-E4A98BE668E0}"/>
            </a:ext>
            <a:ext uri="{147F2762-F138-4A5C-976F-8EAC2B608ADB}">
              <a16:predDERef xmlns:a16="http://schemas.microsoft.com/office/drawing/2014/main" pred="{74980F65-56CD-4199-B794-08C418572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6FDE214-9770-A343-AEFE-8E4E47F1DA4B}"/>
            </a:ext>
            <a:ext uri="{147F2762-F138-4A5C-976F-8EAC2B608ADB}">
              <a16:predDERef xmlns:a16="http://schemas.microsoft.com/office/drawing/2014/main" pred="{B1B34AC9-090D-40EA-A51F-A8EB108065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8CD8A723-0B00-9B41-B880-E245D1F8C668}"/>
            </a:ext>
            <a:ext uri="{147F2762-F138-4A5C-976F-8EAC2B608ADB}">
              <a16:predDERef xmlns:a16="http://schemas.microsoft.com/office/drawing/2014/main" pred="{E5729622-92A3-4746-BB39-6063BF6B1E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566BA95-481C-994C-BC97-C688AF60E21E}"/>
            </a:ext>
            <a:ext uri="{147F2762-F138-4A5C-976F-8EAC2B608ADB}">
              <a16:predDERef xmlns:a16="http://schemas.microsoft.com/office/drawing/2014/main" pred="{36792594-BEE1-43CE-96F1-FC98146D5D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00A23798-8D92-404D-99F9-C48C3A1D7969}"/>
            </a:ext>
            <a:ext uri="{147F2762-F138-4A5C-976F-8EAC2B608ADB}">
              <a16:predDERef xmlns:a16="http://schemas.microsoft.com/office/drawing/2014/main" pred="{F403950A-60D6-4559-8C33-154BC7917E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EAD9E23-F642-B146-A776-E455940F95D8}"/>
            </a:ext>
            <a:ext uri="{147F2762-F138-4A5C-976F-8EAC2B608ADB}">
              <a16:predDERef xmlns:a16="http://schemas.microsoft.com/office/drawing/2014/main" pred="{F9C95DB8-F304-4C8B-A537-67FF3ECFE8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E6DC5D1D-333F-0A41-890D-69BEEDA7EF41}"/>
            </a:ext>
            <a:ext uri="{147F2762-F138-4A5C-976F-8EAC2B608ADB}">
              <a16:predDERef xmlns:a16="http://schemas.microsoft.com/office/drawing/2014/main" pred="{1A9F953D-73A6-444D-844E-32536381AF5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1FB35D75-50DD-4A4C-95EF-84176330F0F3}"/>
            </a:ext>
            <a:ext uri="{147F2762-F138-4A5C-976F-8EAC2B608ADB}">
              <a16:predDERef xmlns:a16="http://schemas.microsoft.com/office/drawing/2014/main" pred="{36028D04-5063-44C0-A7E6-EF08B0E1E1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A7520F84-8263-AF48-B637-AC4806B6622F}"/>
            </a:ext>
            <a:ext uri="{147F2762-F138-4A5C-976F-8EAC2B608ADB}">
              <a16:predDERef xmlns:a16="http://schemas.microsoft.com/office/drawing/2014/main" pred="{BB2F62DD-3AF6-4C12-9159-6EBA75D39F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F717374E-5214-E64D-96F9-ED0B2A0BE1AE}"/>
            </a:ext>
            <a:ext uri="{147F2762-F138-4A5C-976F-8EAC2B608ADB}">
              <a16:predDERef xmlns:a16="http://schemas.microsoft.com/office/drawing/2014/main" pred="{955ADC25-447A-4256-9E7B-C4F38A3603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BAF0DB07-C057-FB42-8FA3-4F61D475D0C2}"/>
            </a:ext>
            <a:ext uri="{147F2762-F138-4A5C-976F-8EAC2B608ADB}">
              <a16:predDERef xmlns:a16="http://schemas.microsoft.com/office/drawing/2014/main" pred="{341AFD3D-E791-4EC4-8BD5-535A0AC730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A1FD96DA-DCFE-9042-99BC-B229E4D7002D}"/>
            </a:ext>
            <a:ext uri="{147F2762-F138-4A5C-976F-8EAC2B608ADB}">
              <a16:predDERef xmlns:a16="http://schemas.microsoft.com/office/drawing/2014/main" pred="{86839ABF-D579-4EE1-9390-FC2EE78659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DF6E57D5-5F16-4D46-B2B6-FFA6094EE1FA}"/>
            </a:ext>
            <a:ext uri="{147F2762-F138-4A5C-976F-8EAC2B608ADB}">
              <a16:predDERef xmlns:a16="http://schemas.microsoft.com/office/drawing/2014/main" pred="{24780ED7-7F58-4107-92E8-848F205BE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6A36E72-D228-4248-B3E2-34F3AF2EAE73}"/>
            </a:ext>
            <a:ext uri="{147F2762-F138-4A5C-976F-8EAC2B608ADB}">
              <a16:predDERef xmlns:a16="http://schemas.microsoft.com/office/drawing/2014/main" pred="{BB48B890-A5E5-424F-BE6E-4D190DCF34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BC897ABE-C332-1140-9DE7-D4BA1FB66632}"/>
            </a:ext>
            <a:ext uri="{147F2762-F138-4A5C-976F-8EAC2B608ADB}">
              <a16:predDERef xmlns:a16="http://schemas.microsoft.com/office/drawing/2014/main" pred="{C1E88F20-5A8D-47AA-AD10-8116FF3624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2ABFB643-3E0A-1343-8087-BD53389343CE}"/>
            </a:ext>
            <a:ext uri="{147F2762-F138-4A5C-976F-8EAC2B608ADB}">
              <a16:predDERef xmlns:a16="http://schemas.microsoft.com/office/drawing/2014/main" pred="{76F9214C-0A0D-44B5-99FC-62BF0013FE3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7DBF334E-FC6C-E045-9405-97375FEF7150}"/>
            </a:ext>
            <a:ext uri="{147F2762-F138-4A5C-976F-8EAC2B608ADB}">
              <a16:predDERef xmlns:a16="http://schemas.microsoft.com/office/drawing/2014/main" pred="{3AFC8535-4019-4389-9560-785E3C9BC90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3FC1F3EC-B103-1748-BF92-E9C088BC5FCC}"/>
            </a:ext>
            <a:ext uri="{147F2762-F138-4A5C-976F-8EAC2B608ADB}">
              <a16:predDERef xmlns:a16="http://schemas.microsoft.com/office/drawing/2014/main" pred="{0B0D52B0-98B5-4EA0-840F-FA298D46D53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8E003B-482A-9C42-AA31-C886FF5759F4}"/>
            </a:ext>
            <a:ext uri="{147F2762-F138-4A5C-976F-8EAC2B608ADB}">
              <a16:predDERef xmlns:a16="http://schemas.microsoft.com/office/drawing/2014/main" pred="{5BE4AC44-15BC-4D51-B9FD-A57BB65C24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43927197-B0D1-694C-A429-701D7B6F4A84}"/>
            </a:ext>
            <a:ext uri="{147F2762-F138-4A5C-976F-8EAC2B608ADB}">
              <a16:predDERef xmlns:a16="http://schemas.microsoft.com/office/drawing/2014/main" pred="{D0772677-07AD-48C9-B56A-EF4475AA091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951E94ED-99DE-EF40-9417-1898CEFA0098}"/>
            </a:ext>
            <a:ext uri="{147F2762-F138-4A5C-976F-8EAC2B608ADB}">
              <a16:predDERef xmlns:a16="http://schemas.microsoft.com/office/drawing/2014/main" pred="{A3FE6081-BB98-41D9-9074-4F80CC2794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F68E375F-CDD0-8D42-9988-081623B2F78D}"/>
            </a:ext>
            <a:ext uri="{147F2762-F138-4A5C-976F-8EAC2B608ADB}">
              <a16:predDERef xmlns:a16="http://schemas.microsoft.com/office/drawing/2014/main" pred="{0BF40748-25B5-4129-BDF1-7D6DBE9D4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C48CF613-3A98-5740-8E9D-37C77DFC5D22}"/>
            </a:ext>
            <a:ext uri="{147F2762-F138-4A5C-976F-8EAC2B608ADB}">
              <a16:predDERef xmlns:a16="http://schemas.microsoft.com/office/drawing/2014/main" pred="{E4AAD124-D7A0-42EA-B932-8142CA88F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96AFFBA-1513-B540-9BBA-3822978F5722}"/>
            </a:ext>
            <a:ext uri="{147F2762-F138-4A5C-976F-8EAC2B608ADB}">
              <a16:predDERef xmlns:a16="http://schemas.microsoft.com/office/drawing/2014/main" pred="{1D27A881-0717-42CA-96D6-492B01E7C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51D80707-8356-C344-B682-45BD6F59DBAA}"/>
            </a:ext>
            <a:ext uri="{147F2762-F138-4A5C-976F-8EAC2B608ADB}">
              <a16:predDERef xmlns:a16="http://schemas.microsoft.com/office/drawing/2014/main" pred="{8B6B95CA-DC76-423E-8C8A-FB9893AB3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69DD223-7EBF-4C40-B67B-107478E9BA81}"/>
            </a:ext>
            <a:ext uri="{147F2762-F138-4A5C-976F-8EAC2B608ADB}">
              <a16:predDERef xmlns:a16="http://schemas.microsoft.com/office/drawing/2014/main" pred="{474D5B27-9A25-4AAF-90CD-55948A425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37A8EEBB-65D3-484B-8D5E-4AB73DCC7E6B}"/>
            </a:ext>
            <a:ext uri="{147F2762-F138-4A5C-976F-8EAC2B608ADB}">
              <a16:predDERef xmlns:a16="http://schemas.microsoft.com/office/drawing/2014/main" pred="{7A75087A-52EB-4F74-B281-626B42F68E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5B7980DE-6025-A443-A256-020C88F854D2}"/>
            </a:ext>
            <a:ext uri="{147F2762-F138-4A5C-976F-8EAC2B608ADB}">
              <a16:predDERef xmlns:a16="http://schemas.microsoft.com/office/drawing/2014/main" pred="{C77F1C02-FF8E-443D-8DFF-300E5A42C1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4048F6D0-2EFC-2F43-9FF4-2D3B362641EB}"/>
            </a:ext>
            <a:ext uri="{147F2762-F138-4A5C-976F-8EAC2B608ADB}">
              <a16:predDERef xmlns:a16="http://schemas.microsoft.com/office/drawing/2014/main" pred="{7FC41493-9CF7-4F45-B73B-7DACFC457E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3D44A6F7-7B83-5F4B-B840-9397829CC480}"/>
            </a:ext>
            <a:ext uri="{147F2762-F138-4A5C-976F-8EAC2B608ADB}">
              <a16:predDERef xmlns:a16="http://schemas.microsoft.com/office/drawing/2014/main" pred="{1A9E702A-FC41-4BCB-A8AA-9056DDC746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8C2DA037-06C9-7546-A1DE-9FBA3848A2F5}"/>
            </a:ext>
            <a:ext uri="{147F2762-F138-4A5C-976F-8EAC2B608ADB}">
              <a16:predDERef xmlns:a16="http://schemas.microsoft.com/office/drawing/2014/main" pred="{47E26DF9-446A-43EC-9303-665E460D2F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9D1790FE-8701-B045-97F5-D813E1FEB368}"/>
            </a:ext>
            <a:ext uri="{147F2762-F138-4A5C-976F-8EAC2B608ADB}">
              <a16:predDERef xmlns:a16="http://schemas.microsoft.com/office/drawing/2014/main" pred="{A975D697-723D-4A4C-8DFF-ECA4AD703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858FB80B-C42B-204D-81FB-269C216523D2}"/>
            </a:ext>
            <a:ext uri="{147F2762-F138-4A5C-976F-8EAC2B608ADB}">
              <a16:predDERef xmlns:a16="http://schemas.microsoft.com/office/drawing/2014/main" pred="{59ECD177-43E5-4378-8654-40404D91E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E665A3BC-2FAE-8E4E-92CF-C72B44D0D618}"/>
            </a:ext>
            <a:ext uri="{147F2762-F138-4A5C-976F-8EAC2B608ADB}">
              <a16:predDERef xmlns:a16="http://schemas.microsoft.com/office/drawing/2014/main" pred="{C2D5868A-5927-4865-9EEE-2BD9D5DF8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5EAC1117-6E94-224D-9FF0-9CA47660F38E}"/>
            </a:ext>
            <a:ext uri="{147F2762-F138-4A5C-976F-8EAC2B608ADB}">
              <a16:predDERef xmlns:a16="http://schemas.microsoft.com/office/drawing/2014/main" pred="{2043681C-2575-448D-92B6-B2D9E5669A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7CDF5A84-34B3-B842-AA52-72479CED7E18}"/>
            </a:ext>
            <a:ext uri="{147F2762-F138-4A5C-976F-8EAC2B608ADB}">
              <a16:predDERef xmlns:a16="http://schemas.microsoft.com/office/drawing/2014/main" pred="{FBDDCCA9-8EB9-4749-895F-A7C8E5555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F802A959-3AB2-4D4D-B428-4832BB4C4865}"/>
            </a:ext>
            <a:ext uri="{147F2762-F138-4A5C-976F-8EAC2B608ADB}">
              <a16:predDERef xmlns:a16="http://schemas.microsoft.com/office/drawing/2014/main" pred="{8A70BA53-CF8E-471D-A2D8-8AAD5BD678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F6FC6432-412A-3248-94BA-877827ACF962}"/>
            </a:ext>
            <a:ext uri="{147F2762-F138-4A5C-976F-8EAC2B608ADB}">
              <a16:predDERef xmlns:a16="http://schemas.microsoft.com/office/drawing/2014/main" pred="{EA369377-88BF-4920-9ED9-F2B3D21A54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39047ADD-2B68-7842-B9AA-F00C7C0C8632}"/>
            </a:ext>
            <a:ext uri="{147F2762-F138-4A5C-976F-8EAC2B608ADB}">
              <a16:predDERef xmlns:a16="http://schemas.microsoft.com/office/drawing/2014/main" pred="{C129932D-7634-4362-9055-8BE5D84BC2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2B51183F-3D4F-4346-964D-1CE2225FE22E}"/>
            </a:ext>
            <a:ext uri="{147F2762-F138-4A5C-976F-8EAC2B608ADB}">
              <a16:predDERef xmlns:a16="http://schemas.microsoft.com/office/drawing/2014/main" pred="{F27F7F99-524B-4495-985D-7EF15BD76C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D3A25A2B-79A4-EC46-8777-6AA566D1D2AE}"/>
            </a:ext>
            <a:ext uri="{147F2762-F138-4A5C-976F-8EAC2B608ADB}">
              <a16:predDERef xmlns:a16="http://schemas.microsoft.com/office/drawing/2014/main" pred="{8B4249A6-80A7-4076-819C-AE94077DE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BE59AF18-2EF8-6445-9B5A-2BCD42F639B3}"/>
            </a:ext>
            <a:ext uri="{147F2762-F138-4A5C-976F-8EAC2B608ADB}">
              <a16:predDERef xmlns:a16="http://schemas.microsoft.com/office/drawing/2014/main" pred="{ECBD332C-9F6A-4C4D-A921-CEB77036F2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25503950-7243-EC42-82BF-230E9F12BE02}"/>
            </a:ext>
            <a:ext uri="{147F2762-F138-4A5C-976F-8EAC2B608ADB}">
              <a16:predDERef xmlns:a16="http://schemas.microsoft.com/office/drawing/2014/main" pred="{BA394872-8A3F-474C-B2B5-768FAA625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8</xdr:row>
      <xdr:rowOff>0</xdr:rowOff>
    </xdr:from>
    <xdr:ext cx="777876" cy="777876"/>
    <xdr:pic>
      <xdr:nvPicPr>
        <xdr:cNvPr id="75" name="Picture 74" descr=" 0, 5, 6, 2, ">
          <a:extLst>
            <a:ext uri="{FF2B5EF4-FFF2-40B4-BE49-F238E27FC236}">
              <a16:creationId xmlns:a16="http://schemas.microsoft.com/office/drawing/2014/main" id="{C773668D-7AEB-8747-AE05-41061EE7252B}"/>
            </a:ext>
            <a:ext uri="{147F2762-F138-4A5C-976F-8EAC2B608ADB}">
              <a16:predDERef xmlns:a16="http://schemas.microsoft.com/office/drawing/2014/main" pred="{880DCEA0-D244-451B-BC0A-A41A46B3E8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42545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7</xdr:row>
      <xdr:rowOff>0</xdr:rowOff>
    </xdr:from>
    <xdr:ext cx="777876" cy="777876"/>
    <xdr:pic>
      <xdr:nvPicPr>
        <xdr:cNvPr id="76" name="Picture 75" descr=" 0, 5, 6, 2, ">
          <a:extLst>
            <a:ext uri="{FF2B5EF4-FFF2-40B4-BE49-F238E27FC236}">
              <a16:creationId xmlns:a16="http://schemas.microsoft.com/office/drawing/2014/main" id="{CAC8E6FD-741A-3147-989B-2999E534C566}"/>
            </a:ext>
            <a:ext uri="{147F2762-F138-4A5C-976F-8EAC2B608ADB}">
              <a16:predDERef xmlns:a16="http://schemas.microsoft.com/office/drawing/2014/main" pred="{3773ACB1-1B8E-4178-ADE6-8FC536BAD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5105400" y="1422400"/>
          <a:ext cx="777876" cy="77787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7876" cy="777876"/>
    <xdr:pic>
      <xdr:nvPicPr>
        <xdr:cNvPr id="77" name="Picture 76" descr=" 0, 5, 6, 2, ">
          <a:extLst>
            <a:ext uri="{FF2B5EF4-FFF2-40B4-BE49-F238E27FC236}">
              <a16:creationId xmlns:a16="http://schemas.microsoft.com/office/drawing/2014/main" id="{A21639D6-B092-4A4A-B997-01AAE89C18E4}"/>
            </a:ext>
            <a:ext uri="{147F2762-F138-4A5C-976F-8EAC2B608ADB}">
              <a16:predDERef xmlns:a16="http://schemas.microsoft.com/office/drawing/2014/main" pred="{D25F17CD-92ED-41A4-88D0-8A2C80D746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59563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5</xdr:row>
      <xdr:rowOff>0</xdr:rowOff>
    </xdr:from>
    <xdr:ext cx="777876" cy="777876"/>
    <xdr:pic>
      <xdr:nvPicPr>
        <xdr:cNvPr id="78" name="Picture 77" descr=" 0, 5, 6, 2, ">
          <a:extLst>
            <a:ext uri="{FF2B5EF4-FFF2-40B4-BE49-F238E27FC236}">
              <a16:creationId xmlns:a16="http://schemas.microsoft.com/office/drawing/2014/main" id="{071190F6-7CD6-394D-9BB2-7958BC3F61F8}"/>
            </a:ext>
            <a:ext uri="{147F2762-F138-4A5C-976F-8EAC2B608ADB}">
              <a16:predDERef xmlns:a16="http://schemas.microsoft.com/office/drawing/2014/main" pred="{F1352382-6233-446F-B85D-B5016F49F2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68072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4000" cy="774000"/>
    <xdr:pic>
      <xdr:nvPicPr>
        <xdr:cNvPr id="79" name="Picture 78" descr=" 1, 1, 2, 2,">
          <a:extLst>
            <a:ext uri="{FF2B5EF4-FFF2-40B4-BE49-F238E27FC236}">
              <a16:creationId xmlns:a16="http://schemas.microsoft.com/office/drawing/2014/main" id="{CEC4D7D2-4C21-C845-94C4-6E5F47AD0E4F}"/>
            </a:ext>
            <a:ext uri="{147F2762-F138-4A5C-976F-8EAC2B608ADB}">
              <a16:predDERef xmlns:a16="http://schemas.microsoft.com/office/drawing/2014/main" pred="{8D1F4842-C6D6-45A0-9BE6-0739A9A196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80" name="Picture 79" descr=" 1, 1, 2, 2,">
          <a:extLst>
            <a:ext uri="{FF2B5EF4-FFF2-40B4-BE49-F238E27FC236}">
              <a16:creationId xmlns:a16="http://schemas.microsoft.com/office/drawing/2014/main" id="{5110F028-A2F0-F742-B907-F1B0C6394461}"/>
            </a:ext>
            <a:ext uri="{147F2762-F138-4A5C-976F-8EAC2B608ADB}">
              <a16:predDERef xmlns:a16="http://schemas.microsoft.com/office/drawing/2014/main" pred="{10DD5AEA-D533-48D3-95D1-4F52EBCBBC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9873C0EF-8193-6B48-9DAF-575481691391}"/>
            </a:ext>
            <a:ext uri="{147F2762-F138-4A5C-976F-8EAC2B608ADB}">
              <a16:predDERef xmlns:a16="http://schemas.microsoft.com/office/drawing/2014/main" pred="{32C7AD79-DF32-4809-9671-DC806D3BF3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3E06E78F-15D4-C245-AD80-F3F5FD40846B}"/>
            </a:ext>
            <a:ext uri="{147F2762-F138-4A5C-976F-8EAC2B608ADB}">
              <a16:predDERef xmlns:a16="http://schemas.microsoft.com/office/drawing/2014/main" pred="{4DBF84FA-A653-4514-8E5B-11A49167DA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E30CE1D1-8A6D-2B43-B9FA-ADC1B52F5693}"/>
            </a:ext>
            <a:ext uri="{147F2762-F138-4A5C-976F-8EAC2B608ADB}">
              <a16:predDERef xmlns:a16="http://schemas.microsoft.com/office/drawing/2014/main" pred="{47528535-AD7A-4760-9F27-376F0FAA01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804333" cy="800806"/>
    <xdr:pic>
      <xdr:nvPicPr>
        <xdr:cNvPr id="84" name="Picture 83" descr="Item:LifeSaver,Pos:1">
          <a:extLst>
            <a:ext uri="{FF2B5EF4-FFF2-40B4-BE49-F238E27FC236}">
              <a16:creationId xmlns:a16="http://schemas.microsoft.com/office/drawing/2014/main" id="{EFC1642E-7299-ED4C-9EF5-AC104949465C}"/>
            </a:ext>
            <a:ext uri="{147F2762-F138-4A5C-976F-8EAC2B608ADB}">
              <a16:predDERef xmlns:a16="http://schemas.microsoft.com/office/drawing/2014/main" pred="{7AB2EBEC-CC8D-4874-9434-5781989DC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4254500" y="406400"/>
          <a:ext cx="804333" cy="800806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5</xdr:row>
      <xdr:rowOff>0</xdr:rowOff>
    </xdr:from>
    <xdr:ext cx="784584" cy="774000"/>
    <xdr:pic>
      <xdr:nvPicPr>
        <xdr:cNvPr id="85" name="Picture 84" descr=" 0, 0,38,38,">
          <a:extLst>
            <a:ext uri="{FF2B5EF4-FFF2-40B4-BE49-F238E27FC236}">
              <a16:creationId xmlns:a16="http://schemas.microsoft.com/office/drawing/2014/main" id="{3108DA42-16C0-704D-A6A9-776D3144DA27}"/>
            </a:ext>
            <a:ext uri="{147F2762-F138-4A5C-976F-8EAC2B608ADB}">
              <a16:predDERef xmlns:a16="http://schemas.microsoft.com/office/drawing/2014/main" pred="{D05ED510-F48D-4033-A66B-0CDD97C6924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85090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5</xdr:row>
      <xdr:rowOff>0</xdr:rowOff>
    </xdr:from>
    <xdr:ext cx="784583" cy="774000"/>
    <xdr:pic>
      <xdr:nvPicPr>
        <xdr:cNvPr id="86" name="Picture 85" descr=" 0, 0,39,39,">
          <a:extLst>
            <a:ext uri="{FF2B5EF4-FFF2-40B4-BE49-F238E27FC236}">
              <a16:creationId xmlns:a16="http://schemas.microsoft.com/office/drawing/2014/main" id="{DEB7680C-F04B-B442-AEA0-C179AF05EED8}"/>
            </a:ext>
            <a:ext uri="{147F2762-F138-4A5C-976F-8EAC2B608ADB}">
              <a16:predDERef xmlns:a16="http://schemas.microsoft.com/office/drawing/2014/main" pred="{54C4026F-3E10-4B94-8259-AB7F5D02DD5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93599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5</xdr:row>
      <xdr:rowOff>0</xdr:rowOff>
    </xdr:from>
    <xdr:ext cx="774000" cy="774000"/>
    <xdr:pic>
      <xdr:nvPicPr>
        <xdr:cNvPr id="87" name="Picture 86" descr=" 0, 0,40,40,">
          <a:extLst>
            <a:ext uri="{FF2B5EF4-FFF2-40B4-BE49-F238E27FC236}">
              <a16:creationId xmlns:a16="http://schemas.microsoft.com/office/drawing/2014/main" id="{58D512C7-8818-F146-83B3-360C52EF9B93}"/>
            </a:ext>
            <a:ext uri="{147F2762-F138-4A5C-976F-8EAC2B608ADB}">
              <a16:predDERef xmlns:a16="http://schemas.microsoft.com/office/drawing/2014/main" pred="{45D178F4-0D8B-4B53-AD40-4A49FED23BD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0210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8D8B557E-54B3-384F-845E-61CBD765E38D}"/>
            </a:ext>
            <a:ext uri="{147F2762-F138-4A5C-976F-8EAC2B608ADB}">
              <a16:predDERef xmlns:a16="http://schemas.microsoft.com/office/drawing/2014/main" pred="{B1680D65-E419-4EF7-86EE-E5C66CE5F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1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64DA49DB-E02B-8246-9101-7E4D54B591BE}"/>
            </a:ext>
            <a:ext uri="{147F2762-F138-4A5C-976F-8EAC2B608ADB}">
              <a16:predDERef xmlns:a16="http://schemas.microsoft.com/office/drawing/2014/main" pred="{9DF58303-915A-4B77-9B27-FEF0ACB0F5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2</xdr:row>
      <xdr:rowOff>0</xdr:rowOff>
    </xdr:from>
    <xdr:ext cx="774000" cy="774000"/>
    <xdr:pic>
      <xdr:nvPicPr>
        <xdr:cNvPr id="90" name="Picture 89" descr="33,33,31,31,">
          <a:extLst>
            <a:ext uri="{FF2B5EF4-FFF2-40B4-BE49-F238E27FC236}">
              <a16:creationId xmlns:a16="http://schemas.microsoft.com/office/drawing/2014/main" id="{0A63DE2A-A58F-3D4B-913E-BC68AB1628C8}"/>
            </a:ext>
            <a:ext uri="{147F2762-F138-4A5C-976F-8EAC2B608ADB}">
              <a16:predDERef xmlns:a16="http://schemas.microsoft.com/office/drawing/2014/main" pred="{91F80BB9-DD5F-4DF4-B1A5-CF7F3C3B82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6581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4000" cy="774000"/>
    <xdr:pic>
      <xdr:nvPicPr>
        <xdr:cNvPr id="91" name="Picture 90" descr="31,31,31,31,">
          <a:extLst>
            <a:ext uri="{FF2B5EF4-FFF2-40B4-BE49-F238E27FC236}">
              <a16:creationId xmlns:a16="http://schemas.microsoft.com/office/drawing/2014/main" id="{67C47E68-AD53-CF45-9A50-DB0878FA7B58}"/>
            </a:ext>
            <a:ext uri="{147F2762-F138-4A5C-976F-8EAC2B608ADB}">
              <a16:predDERef xmlns:a16="http://schemas.microsoft.com/office/drawing/2014/main" pred="{41D24D7C-19FC-4058-A075-32B7EA611D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58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4</xdr:row>
      <xdr:rowOff>0</xdr:rowOff>
    </xdr:from>
    <xdr:ext cx="774000" cy="774000"/>
    <xdr:pic>
      <xdr:nvPicPr>
        <xdr:cNvPr id="92" name="Picture 91" descr="31,31,32,32,">
          <a:extLst>
            <a:ext uri="{FF2B5EF4-FFF2-40B4-BE49-F238E27FC236}">
              <a16:creationId xmlns:a16="http://schemas.microsoft.com/office/drawing/2014/main" id="{8EE40835-6AC5-5A4E-B6CF-05CDB2C47CBF}"/>
            </a:ext>
            <a:ext uri="{147F2762-F138-4A5C-976F-8EAC2B608ADB}">
              <a16:predDERef xmlns:a16="http://schemas.microsoft.com/office/drawing/2014/main" pred="{2A929392-89B6-459D-A2A6-E29819C067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76581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12FE814A-0764-1945-B8FB-E3E4B59E26EE}"/>
            </a:ext>
            <a:ext uri="{147F2762-F138-4A5C-976F-8EAC2B608ADB}">
              <a16:predDERef xmlns:a16="http://schemas.microsoft.com/office/drawing/2014/main" pred="{729D9B9C-1892-45C8-ADA5-9D88F124D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84583" cy="774000"/>
    <xdr:pic>
      <xdr:nvPicPr>
        <xdr:cNvPr id="94" name="Picture 93" descr=" 0,17, 1, 1,">
          <a:extLst>
            <a:ext uri="{FF2B5EF4-FFF2-40B4-BE49-F238E27FC236}">
              <a16:creationId xmlns:a16="http://schemas.microsoft.com/office/drawing/2014/main" id="{AA024251-0EB3-AB4A-B439-64CDF439A7C3}"/>
            </a:ext>
            <a:ext uri="{147F2762-F138-4A5C-976F-8EAC2B608ADB}">
              <a16:predDERef xmlns:a16="http://schemas.microsoft.com/office/drawing/2014/main" pred="{C2C0DCF9-1905-427A-921D-294C3F6207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1912600" y="812800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84584" cy="774000"/>
    <xdr:pic>
      <xdr:nvPicPr>
        <xdr:cNvPr id="95" name="Picture 94" descr=" 0, 0,38,38,">
          <a:extLst>
            <a:ext uri="{FF2B5EF4-FFF2-40B4-BE49-F238E27FC236}">
              <a16:creationId xmlns:a16="http://schemas.microsoft.com/office/drawing/2014/main" id="{957FA278-6BCD-7146-B810-18DBC89740E5}"/>
            </a:ext>
            <a:ext uri="{147F2762-F138-4A5C-976F-8EAC2B608ADB}">
              <a16:predDERef xmlns:a16="http://schemas.microsoft.com/office/drawing/2014/main" pred="{FB246FF6-9BC6-46B4-9EA1-8A8B14EB88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27635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84584" cy="774000"/>
    <xdr:pic>
      <xdr:nvPicPr>
        <xdr:cNvPr id="96" name="Picture 95" descr=" 0, 0,38,38,">
          <a:extLst>
            <a:ext uri="{FF2B5EF4-FFF2-40B4-BE49-F238E27FC236}">
              <a16:creationId xmlns:a16="http://schemas.microsoft.com/office/drawing/2014/main" id="{A20DEAD9-13ED-F549-AB39-D05CA3CC2496}"/>
            </a:ext>
            <a:ext uri="{147F2762-F138-4A5C-976F-8EAC2B608ADB}">
              <a16:predDERef xmlns:a16="http://schemas.microsoft.com/office/drawing/2014/main" pred="{138F626E-6643-486C-B7A8-A8BFFAC7C5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5316200" y="1016000"/>
          <a:ext cx="784584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84583" cy="774000"/>
    <xdr:pic>
      <xdr:nvPicPr>
        <xdr:cNvPr id="97" name="Picture 96" descr=" 0, 0,39,39,">
          <a:extLst>
            <a:ext uri="{FF2B5EF4-FFF2-40B4-BE49-F238E27FC236}">
              <a16:creationId xmlns:a16="http://schemas.microsoft.com/office/drawing/2014/main" id="{A156A210-4B16-B44A-AB0D-F849386012E4}"/>
            </a:ext>
            <a:ext uri="{147F2762-F138-4A5C-976F-8EAC2B608ADB}">
              <a16:predDERef xmlns:a16="http://schemas.microsoft.com/office/drawing/2014/main" pred="{B1989263-351C-45B8-883B-6C037F09955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36144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84583" cy="774000"/>
    <xdr:pic>
      <xdr:nvPicPr>
        <xdr:cNvPr id="98" name="Picture 97" descr=" 0, 0,39,39,">
          <a:extLst>
            <a:ext uri="{FF2B5EF4-FFF2-40B4-BE49-F238E27FC236}">
              <a16:creationId xmlns:a16="http://schemas.microsoft.com/office/drawing/2014/main" id="{6547E3EE-7885-C84B-B239-6302BE8EA098}"/>
            </a:ext>
            <a:ext uri="{147F2762-F138-4A5C-976F-8EAC2B608ADB}">
              <a16:predDERef xmlns:a16="http://schemas.microsoft.com/office/drawing/2014/main" pred="{DC53FD56-46AB-4DF2-9C47-1833BCF33D5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6167100" y="1016000"/>
          <a:ext cx="784583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99" name="Picture 98" descr=" 0, 0,40,40,">
          <a:extLst>
            <a:ext uri="{FF2B5EF4-FFF2-40B4-BE49-F238E27FC236}">
              <a16:creationId xmlns:a16="http://schemas.microsoft.com/office/drawing/2014/main" id="{491CB9AB-5D9C-DF47-B8FC-B14D1B1AB162}"/>
            </a:ext>
            <a:ext uri="{147F2762-F138-4A5C-976F-8EAC2B608ADB}">
              <a16:predDERef xmlns:a16="http://schemas.microsoft.com/office/drawing/2014/main" pred="{08ED0286-635B-47B0-861B-DFA70F6B780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00" name="Picture 99" descr=" 0, 0,40,40,">
          <a:extLst>
            <a:ext uri="{FF2B5EF4-FFF2-40B4-BE49-F238E27FC236}">
              <a16:creationId xmlns:a16="http://schemas.microsoft.com/office/drawing/2014/main" id="{B4952C52-41C7-5243-A0B2-1C31BA6C2876}"/>
            </a:ext>
            <a:ext uri="{147F2762-F138-4A5C-976F-8EAC2B608ADB}">
              <a16:predDERef xmlns:a16="http://schemas.microsoft.com/office/drawing/2014/main" pred="{EF9C4BDF-989D-48C2-8370-E4236498E8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1</xdr:row>
      <xdr:rowOff>0</xdr:rowOff>
    </xdr:from>
    <xdr:ext cx="774000" cy="774000"/>
    <xdr:pic>
      <xdr:nvPicPr>
        <xdr:cNvPr id="101" name="Picture 100" descr=" 1, 1, 2, 2,">
          <a:extLst>
            <a:ext uri="{FF2B5EF4-FFF2-40B4-BE49-F238E27FC236}">
              <a16:creationId xmlns:a16="http://schemas.microsoft.com/office/drawing/2014/main" id="{691E7047-BA8F-1F41-9CF4-6F62D1916A52}"/>
            </a:ext>
            <a:ext uri="{147F2762-F138-4A5C-976F-8EAC2B608ADB}">
              <a16:predDERef xmlns:a16="http://schemas.microsoft.com/office/drawing/2014/main" pred="{0A94AA00-027D-423D-BDEA-7D69E34FB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5</xdr:row>
      <xdr:rowOff>0</xdr:rowOff>
    </xdr:from>
    <xdr:ext cx="774000" cy="774000"/>
    <xdr:pic>
      <xdr:nvPicPr>
        <xdr:cNvPr id="102" name="Picture 101" descr=" 1, 1, 2, 2,">
          <a:extLst>
            <a:ext uri="{FF2B5EF4-FFF2-40B4-BE49-F238E27FC236}">
              <a16:creationId xmlns:a16="http://schemas.microsoft.com/office/drawing/2014/main" id="{BFB793DC-2244-8244-A03F-72B5686121E3}"/>
            </a:ext>
            <a:ext uri="{147F2762-F138-4A5C-976F-8EAC2B608ADB}">
              <a16:predDERef xmlns:a16="http://schemas.microsoft.com/office/drawing/2014/main" pred="{56FB8DA8-10CF-478A-A0C3-6B848128C1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5</xdr:row>
      <xdr:rowOff>0</xdr:rowOff>
    </xdr:from>
    <xdr:ext cx="774000" cy="774000"/>
    <xdr:pic>
      <xdr:nvPicPr>
        <xdr:cNvPr id="103" name="Picture 102" descr=" 1, 1, 2, 2,">
          <a:extLst>
            <a:ext uri="{FF2B5EF4-FFF2-40B4-BE49-F238E27FC236}">
              <a16:creationId xmlns:a16="http://schemas.microsoft.com/office/drawing/2014/main" id="{1B16A64F-91B4-D147-9E8E-8FA4FD847FF9}"/>
            </a:ext>
            <a:ext uri="{147F2762-F138-4A5C-976F-8EAC2B608ADB}">
              <a16:predDERef xmlns:a16="http://schemas.microsoft.com/office/drawing/2014/main" pred="{C47FC4D9-248C-40DE-99BA-40284773DA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1</xdr:row>
      <xdr:rowOff>0</xdr:rowOff>
    </xdr:from>
    <xdr:ext cx="774000" cy="774000"/>
    <xdr:pic>
      <xdr:nvPicPr>
        <xdr:cNvPr id="104" name="Picture 103">
          <a:extLst>
            <a:ext uri="{FF2B5EF4-FFF2-40B4-BE49-F238E27FC236}">
              <a16:creationId xmlns:a16="http://schemas.microsoft.com/office/drawing/2014/main" id="{C4EB3DC1-519F-B040-A59F-0521F0C64863}"/>
            </a:ext>
            <a:ext uri="{147F2762-F138-4A5C-976F-8EAC2B608ADB}">
              <a16:predDERef xmlns:a16="http://schemas.microsoft.com/office/drawing/2014/main" pred="{A03EC3C0-7B6B-4E6A-9304-FCC401569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1912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1</xdr:row>
      <xdr:rowOff>0</xdr:rowOff>
    </xdr:from>
    <xdr:ext cx="774000" cy="774000"/>
    <xdr:pic>
      <xdr:nvPicPr>
        <xdr:cNvPr id="105" name="Picture 104">
          <a:extLst>
            <a:ext uri="{FF2B5EF4-FFF2-40B4-BE49-F238E27FC236}">
              <a16:creationId xmlns:a16="http://schemas.microsoft.com/office/drawing/2014/main" id="{ABC13544-C6E6-6143-8785-7B56C390676C}"/>
            </a:ext>
            <a:ext uri="{147F2762-F138-4A5C-976F-8EAC2B608ADB}">
              <a16:predDERef xmlns:a16="http://schemas.microsoft.com/office/drawing/2014/main" pred="{0B3620A7-43F3-48F3-9605-B8E4497303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2763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1</xdr:row>
      <xdr:rowOff>0</xdr:rowOff>
    </xdr:from>
    <xdr:ext cx="774000" cy="774000"/>
    <xdr:pic>
      <xdr:nvPicPr>
        <xdr:cNvPr id="106" name="Picture 105">
          <a:extLst>
            <a:ext uri="{FF2B5EF4-FFF2-40B4-BE49-F238E27FC236}">
              <a16:creationId xmlns:a16="http://schemas.microsoft.com/office/drawing/2014/main" id="{BF084C8D-4227-B649-80E5-73004A4D4E06}"/>
            </a:ext>
            <a:ext uri="{147F2762-F138-4A5C-976F-8EAC2B608ADB}">
              <a16:predDERef xmlns:a16="http://schemas.microsoft.com/office/drawing/2014/main" pred="{135E13BF-17A8-4B0D-85EF-C3DC4E059D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36144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1</xdr:row>
      <xdr:rowOff>0</xdr:rowOff>
    </xdr:from>
    <xdr:ext cx="774000" cy="774000"/>
    <xdr:pic>
      <xdr:nvPicPr>
        <xdr:cNvPr id="107" name="Picture 106">
          <a:extLst>
            <a:ext uri="{FF2B5EF4-FFF2-40B4-BE49-F238E27FC236}">
              <a16:creationId xmlns:a16="http://schemas.microsoft.com/office/drawing/2014/main" id="{1CE2BB1C-7BA1-2A45-A07A-0073D39BE60E}"/>
            </a:ext>
            <a:ext uri="{147F2762-F138-4A5C-976F-8EAC2B608ADB}">
              <a16:predDERef xmlns:a16="http://schemas.microsoft.com/office/drawing/2014/main" pred="{C399146E-0AEC-4F97-891E-F3E521050C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4653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1</xdr:row>
      <xdr:rowOff>0</xdr:rowOff>
    </xdr:from>
    <xdr:ext cx="774000" cy="774000"/>
    <xdr:pic>
      <xdr:nvPicPr>
        <xdr:cNvPr id="108" name="Picture 107">
          <a:extLst>
            <a:ext uri="{FF2B5EF4-FFF2-40B4-BE49-F238E27FC236}">
              <a16:creationId xmlns:a16="http://schemas.microsoft.com/office/drawing/2014/main" id="{B9DC50A4-4602-644C-ABD0-B250610A7617}"/>
            </a:ext>
            <a:ext uri="{147F2762-F138-4A5C-976F-8EAC2B608ADB}">
              <a16:predDERef xmlns:a16="http://schemas.microsoft.com/office/drawing/2014/main" pred="{8A651B01-5D7E-43E5-92C0-E39ED54DD9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53162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1</xdr:row>
      <xdr:rowOff>0</xdr:rowOff>
    </xdr:from>
    <xdr:ext cx="774000" cy="774000"/>
    <xdr:pic>
      <xdr:nvPicPr>
        <xdr:cNvPr id="109" name="Picture 108">
          <a:extLst>
            <a:ext uri="{FF2B5EF4-FFF2-40B4-BE49-F238E27FC236}">
              <a16:creationId xmlns:a16="http://schemas.microsoft.com/office/drawing/2014/main" id="{11E33F21-3AB9-8C49-A919-7A4AC476F906}"/>
            </a:ext>
            <a:ext uri="{147F2762-F138-4A5C-976F-8EAC2B608ADB}">
              <a16:predDERef xmlns:a16="http://schemas.microsoft.com/office/drawing/2014/main" pred="{63BA979D-C5F9-4A1A-AE0D-995E1D46E9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61671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1</xdr:row>
      <xdr:rowOff>0</xdr:rowOff>
    </xdr:from>
    <xdr:ext cx="774000" cy="774000"/>
    <xdr:pic>
      <xdr:nvPicPr>
        <xdr:cNvPr id="110" name="Picture 109">
          <a:extLst>
            <a:ext uri="{FF2B5EF4-FFF2-40B4-BE49-F238E27FC236}">
              <a16:creationId xmlns:a16="http://schemas.microsoft.com/office/drawing/2014/main" id="{9625406C-9A0B-DF41-A494-EB1DBC00D17D}"/>
            </a:ext>
            <a:ext uri="{147F2762-F138-4A5C-976F-8EAC2B608ADB}">
              <a16:predDERef xmlns:a16="http://schemas.microsoft.com/office/drawing/2014/main" pred="{4B830EE2-3E13-42F9-80C6-EDACC4C51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0180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1</xdr:row>
      <xdr:rowOff>0</xdr:rowOff>
    </xdr:from>
    <xdr:ext cx="774000" cy="774000"/>
    <xdr:pic>
      <xdr:nvPicPr>
        <xdr:cNvPr id="111" name="Picture 110">
          <a:extLst>
            <a:ext uri="{FF2B5EF4-FFF2-40B4-BE49-F238E27FC236}">
              <a16:creationId xmlns:a16="http://schemas.microsoft.com/office/drawing/2014/main" id="{FD182852-3875-AF4F-95C4-58C415311DF2}"/>
            </a:ext>
            <a:ext uri="{147F2762-F138-4A5C-976F-8EAC2B608ADB}">
              <a16:predDERef xmlns:a16="http://schemas.microsoft.com/office/drawing/2014/main" pred="{24E35865-FB67-4BD3-90AA-4BEC0C1E1A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78689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1</xdr:row>
      <xdr:rowOff>0</xdr:rowOff>
    </xdr:from>
    <xdr:ext cx="774000" cy="774000"/>
    <xdr:pic>
      <xdr:nvPicPr>
        <xdr:cNvPr id="112" name="Picture 111">
          <a:extLst>
            <a:ext uri="{FF2B5EF4-FFF2-40B4-BE49-F238E27FC236}">
              <a16:creationId xmlns:a16="http://schemas.microsoft.com/office/drawing/2014/main" id="{91D3190A-ED48-0A48-A25F-D6546C14F861}"/>
            </a:ext>
            <a:ext uri="{147F2762-F138-4A5C-976F-8EAC2B608ADB}">
              <a16:predDERef xmlns:a16="http://schemas.microsoft.com/office/drawing/2014/main" pred="{A76D6B13-340C-4865-B579-44D5037FF4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198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1</xdr:row>
      <xdr:rowOff>0</xdr:rowOff>
    </xdr:from>
    <xdr:ext cx="774000" cy="774000"/>
    <xdr:pic>
      <xdr:nvPicPr>
        <xdr:cNvPr id="113" name="Picture 112">
          <a:extLst>
            <a:ext uri="{FF2B5EF4-FFF2-40B4-BE49-F238E27FC236}">
              <a16:creationId xmlns:a16="http://schemas.microsoft.com/office/drawing/2014/main" id="{57215D3B-8D80-7B48-BD5B-0159EDFE69B3}"/>
            </a:ext>
            <a:ext uri="{147F2762-F138-4A5C-976F-8EAC2B608ADB}">
              <a16:predDERef xmlns:a16="http://schemas.microsoft.com/office/drawing/2014/main" pred="{63AF2B41-A53F-40E5-9CDC-55F0F32859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95707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14" name="Picture 113" descr=" 1, 1, 2, 2,">
          <a:extLst>
            <a:ext uri="{FF2B5EF4-FFF2-40B4-BE49-F238E27FC236}">
              <a16:creationId xmlns:a16="http://schemas.microsoft.com/office/drawing/2014/main" id="{779C5B8B-1167-1A48-B0D3-19FA92BFD5A7}"/>
            </a:ext>
            <a:ext uri="{147F2762-F138-4A5C-976F-8EAC2B608ADB}">
              <a16:predDERef xmlns:a16="http://schemas.microsoft.com/office/drawing/2014/main" pred="{F95323FF-C1C1-424B-B9C1-2F503D608A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1</xdr:row>
      <xdr:rowOff>0</xdr:rowOff>
    </xdr:from>
    <xdr:ext cx="774000" cy="774000"/>
    <xdr:pic>
      <xdr:nvPicPr>
        <xdr:cNvPr id="115" name="Picture 114" descr=" 1, 1, 2, 2,">
          <a:extLst>
            <a:ext uri="{FF2B5EF4-FFF2-40B4-BE49-F238E27FC236}">
              <a16:creationId xmlns:a16="http://schemas.microsoft.com/office/drawing/2014/main" id="{4CA0E0B1-9B45-554C-A924-3C630B8E8CE3}"/>
            </a:ext>
            <a:ext uri="{147F2762-F138-4A5C-976F-8EAC2B608ADB}">
              <a16:predDERef xmlns:a16="http://schemas.microsoft.com/office/drawing/2014/main" pred="{2D3B2C71-16DB-4C0E-A560-766E419CB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4</xdr:row>
      <xdr:rowOff>0</xdr:rowOff>
    </xdr:from>
    <xdr:ext cx="786484" cy="774000"/>
    <xdr:pic>
      <xdr:nvPicPr>
        <xdr:cNvPr id="116" name="Picture 115" descr=" 8, 8, 7, 7,">
          <a:extLst>
            <a:ext uri="{FF2B5EF4-FFF2-40B4-BE49-F238E27FC236}">
              <a16:creationId xmlns:a16="http://schemas.microsoft.com/office/drawing/2014/main" id="{2FF1EA9A-26B4-8B4D-BA8F-267DE949843B}"/>
            </a:ext>
            <a:ext uri="{147F2762-F138-4A5C-976F-8EAC2B608ADB}">
              <a16:predDERef xmlns:a16="http://schemas.microsoft.com/office/drawing/2014/main" pred="{F77CA8B0-58F3-4795-8246-3367DA41BB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87198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786484" cy="774000"/>
    <xdr:pic>
      <xdr:nvPicPr>
        <xdr:cNvPr id="117" name="Picture 116" descr=" 8, 8, 7, 7,">
          <a:extLst>
            <a:ext uri="{FF2B5EF4-FFF2-40B4-BE49-F238E27FC236}">
              <a16:creationId xmlns:a16="http://schemas.microsoft.com/office/drawing/2014/main" id="{7D2C6BD8-1073-C244-9192-A9C3B23F722A}"/>
            </a:ext>
            <a:ext uri="{147F2762-F138-4A5C-976F-8EAC2B608ADB}">
              <a16:predDERef xmlns:a16="http://schemas.microsoft.com/office/drawing/2014/main" pred="{526B011A-1BE8-4C4D-A282-50FDF6253B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04216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4000" cy="774000"/>
    <xdr:pic>
      <xdr:nvPicPr>
        <xdr:cNvPr id="118" name="Picture 117" descr="12,12,12,12,">
          <a:extLst>
            <a:ext uri="{FF2B5EF4-FFF2-40B4-BE49-F238E27FC236}">
              <a16:creationId xmlns:a16="http://schemas.microsoft.com/office/drawing/2014/main" id="{9B97C87D-2764-7940-AB0A-80C73B8CC93E}"/>
            </a:ext>
            <a:ext uri="{147F2762-F138-4A5C-976F-8EAC2B608ADB}">
              <a16:predDERef xmlns:a16="http://schemas.microsoft.com/office/drawing/2014/main" pred="{78FB1033-DC18-4B92-A1B1-F2EA6D876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0421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5</xdr:row>
      <xdr:rowOff>0</xdr:rowOff>
    </xdr:from>
    <xdr:ext cx="774000" cy="774000"/>
    <xdr:pic>
      <xdr:nvPicPr>
        <xdr:cNvPr id="119" name="Picture 118" descr="12,12,12,12,">
          <a:extLst>
            <a:ext uri="{FF2B5EF4-FFF2-40B4-BE49-F238E27FC236}">
              <a16:creationId xmlns:a16="http://schemas.microsoft.com/office/drawing/2014/main" id="{F1C5096E-DFD5-EB44-90EB-BFD10E81C27F}"/>
            </a:ext>
            <a:ext uri="{147F2762-F138-4A5C-976F-8EAC2B608ADB}">
              <a16:predDERef xmlns:a16="http://schemas.microsoft.com/office/drawing/2014/main" pred="{F10A62D9-C873-4329-84D7-42CEEAAF3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</xdr:row>
      <xdr:rowOff>0</xdr:rowOff>
    </xdr:from>
    <xdr:ext cx="774000" cy="774000"/>
    <xdr:pic>
      <xdr:nvPicPr>
        <xdr:cNvPr id="120" name="Picture 119" descr="12,12, 7, 7,">
          <a:extLst>
            <a:ext uri="{FF2B5EF4-FFF2-40B4-BE49-F238E27FC236}">
              <a16:creationId xmlns:a16="http://schemas.microsoft.com/office/drawing/2014/main" id="{539613B2-73FD-7E42-AC8F-6FFB9CEADD0A}"/>
            </a:ext>
            <a:ext uri="{147F2762-F138-4A5C-976F-8EAC2B608ADB}">
              <a16:predDERef xmlns:a16="http://schemas.microsoft.com/office/drawing/2014/main" pred="{65918E87-0350-4A7F-8636-713F95936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0421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4000" cy="774000"/>
    <xdr:pic>
      <xdr:nvPicPr>
        <xdr:cNvPr id="121" name="Picture 120" descr=" 1, 1, 2, 2,">
          <a:extLst>
            <a:ext uri="{FF2B5EF4-FFF2-40B4-BE49-F238E27FC236}">
              <a16:creationId xmlns:a16="http://schemas.microsoft.com/office/drawing/2014/main" id="{0ABF8DE2-7DEF-E94D-8BDE-5ECC04C15C4B}"/>
            </a:ext>
            <a:ext uri="{147F2762-F138-4A5C-976F-8EAC2B608ADB}">
              <a16:predDERef xmlns:a16="http://schemas.microsoft.com/office/drawing/2014/main" pred="{8CCB524B-E9D0-4BF6-9834-9E3797220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122" name="Picture 121" descr=" 1, 1, 2, 2,">
          <a:extLst>
            <a:ext uri="{FF2B5EF4-FFF2-40B4-BE49-F238E27FC236}">
              <a16:creationId xmlns:a16="http://schemas.microsoft.com/office/drawing/2014/main" id="{E3F76E57-5B89-EB4D-94D6-DCB32844336E}"/>
            </a:ext>
            <a:ext uri="{147F2762-F138-4A5C-976F-8EAC2B608ADB}">
              <a16:predDERef xmlns:a16="http://schemas.microsoft.com/office/drawing/2014/main" pred="{2FB417D2-A007-4339-B125-432FA87FC2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23" name="Picture 122" descr=" 1, 1, 2, 2,">
          <a:extLst>
            <a:ext uri="{FF2B5EF4-FFF2-40B4-BE49-F238E27FC236}">
              <a16:creationId xmlns:a16="http://schemas.microsoft.com/office/drawing/2014/main" id="{47E89BC0-0C30-9848-AA94-24FF740406A3}"/>
            </a:ext>
            <a:ext uri="{147F2762-F138-4A5C-976F-8EAC2B608ADB}">
              <a16:predDERef xmlns:a16="http://schemas.microsoft.com/office/drawing/2014/main" pred="{A0FDDDA2-3339-4A45-83DF-ABEE838F5E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24" name="Picture 123" descr=" 1, 1, 2, 2,">
          <a:extLst>
            <a:ext uri="{FF2B5EF4-FFF2-40B4-BE49-F238E27FC236}">
              <a16:creationId xmlns:a16="http://schemas.microsoft.com/office/drawing/2014/main" id="{889C3818-E154-D64E-8DA2-52B8FB1323E7}"/>
            </a:ext>
            <a:ext uri="{147F2762-F138-4A5C-976F-8EAC2B608ADB}">
              <a16:predDERef xmlns:a16="http://schemas.microsoft.com/office/drawing/2014/main" pred="{40CF7E0B-4441-40BC-808F-C2EB824A4E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25" name="Picture 124" descr=" 1, 1, 2, 2,">
          <a:extLst>
            <a:ext uri="{FF2B5EF4-FFF2-40B4-BE49-F238E27FC236}">
              <a16:creationId xmlns:a16="http://schemas.microsoft.com/office/drawing/2014/main" id="{AF2983FB-9B48-5745-9321-272B77FD862D}"/>
            </a:ext>
            <a:ext uri="{147F2762-F138-4A5C-976F-8EAC2B608ADB}">
              <a16:predDERef xmlns:a16="http://schemas.microsoft.com/office/drawing/2014/main" pred="{ED3E91E7-5925-4AAE-877F-F64948912F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126" name="Picture 125" descr=" 1, 1, 2, 2,">
          <a:extLst>
            <a:ext uri="{FF2B5EF4-FFF2-40B4-BE49-F238E27FC236}">
              <a16:creationId xmlns:a16="http://schemas.microsoft.com/office/drawing/2014/main" id="{F284D5F9-7AE4-B14C-AE77-12C2495AE475}"/>
            </a:ext>
            <a:ext uri="{147F2762-F138-4A5C-976F-8EAC2B608ADB}">
              <a16:predDERef xmlns:a16="http://schemas.microsoft.com/office/drawing/2014/main" pred="{37255FEB-9CBD-4E57-9A41-5A854CB186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27" name="Picture 126" descr=" 1, 1, 2, 2,">
          <a:extLst>
            <a:ext uri="{FF2B5EF4-FFF2-40B4-BE49-F238E27FC236}">
              <a16:creationId xmlns:a16="http://schemas.microsoft.com/office/drawing/2014/main" id="{3A6CAB70-B0A6-124C-83C2-306A559C84E2}"/>
            </a:ext>
            <a:ext uri="{147F2762-F138-4A5C-976F-8EAC2B608ADB}">
              <a16:predDERef xmlns:a16="http://schemas.microsoft.com/office/drawing/2014/main" pred="{DE6ED3A7-EACB-4E8A-B816-DB1F816AD6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4000" cy="774000"/>
    <xdr:pic>
      <xdr:nvPicPr>
        <xdr:cNvPr id="128" name="Picture 127" descr=" 1, 1, 2, 2,">
          <a:extLst>
            <a:ext uri="{FF2B5EF4-FFF2-40B4-BE49-F238E27FC236}">
              <a16:creationId xmlns:a16="http://schemas.microsoft.com/office/drawing/2014/main" id="{4E34D99E-FCD3-8244-B265-3460B10A1087}"/>
            </a:ext>
            <a:ext uri="{147F2762-F138-4A5C-976F-8EAC2B608ADB}">
              <a16:predDERef xmlns:a16="http://schemas.microsoft.com/office/drawing/2014/main" pred="{0C912093-BCA4-40C7-9B30-9333C56BA9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129" name="Picture 128" descr=" 1, 1, 2, 2,">
          <a:extLst>
            <a:ext uri="{FF2B5EF4-FFF2-40B4-BE49-F238E27FC236}">
              <a16:creationId xmlns:a16="http://schemas.microsoft.com/office/drawing/2014/main" id="{8A5456B8-E51E-8F4F-A13E-6935AC6C36CD}"/>
            </a:ext>
            <a:ext uri="{147F2762-F138-4A5C-976F-8EAC2B608ADB}">
              <a16:predDERef xmlns:a16="http://schemas.microsoft.com/office/drawing/2014/main" pred="{8ED8B0E6-1ACC-44AC-AEF7-2778F8AB94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130" name="Picture 129" descr=" 1, 1, 2, 2,">
          <a:extLst>
            <a:ext uri="{FF2B5EF4-FFF2-40B4-BE49-F238E27FC236}">
              <a16:creationId xmlns:a16="http://schemas.microsoft.com/office/drawing/2014/main" id="{8ED4E3AC-2FEB-1645-A37D-4196BCACEA50}"/>
            </a:ext>
            <a:ext uri="{147F2762-F138-4A5C-976F-8EAC2B608ADB}">
              <a16:predDERef xmlns:a16="http://schemas.microsoft.com/office/drawing/2014/main" pred="{F682CD85-4439-4D43-8CE9-55DC66A45A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774000" cy="774000"/>
    <xdr:pic>
      <xdr:nvPicPr>
        <xdr:cNvPr id="131" name="Picture 130" descr=" 1, 1, 2, 2,">
          <a:extLst>
            <a:ext uri="{FF2B5EF4-FFF2-40B4-BE49-F238E27FC236}">
              <a16:creationId xmlns:a16="http://schemas.microsoft.com/office/drawing/2014/main" id="{57CEC489-9CE7-514B-90DD-27F7BE8D3027}"/>
            </a:ext>
            <a:ext uri="{147F2762-F138-4A5C-976F-8EAC2B608ADB}">
              <a16:predDERef xmlns:a16="http://schemas.microsoft.com/office/drawing/2014/main" pred="{82FECF7B-80B9-46C3-AD97-F361159429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774000" cy="774000"/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00ACD2F8-E861-B340-AD32-A9BE7AF3202C}"/>
            </a:ext>
            <a:ext uri="{147F2762-F138-4A5C-976F-8EAC2B608ADB}">
              <a16:predDERef xmlns:a16="http://schemas.microsoft.com/office/drawing/2014/main" pred="{DBC9B3F0-6075-4D01-833F-5E035C7FD7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5</xdr:row>
      <xdr:rowOff>0</xdr:rowOff>
    </xdr:from>
    <xdr:ext cx="774000" cy="774000"/>
    <xdr:pic>
      <xdr:nvPicPr>
        <xdr:cNvPr id="133" name="Picture 132" descr=" 1, 1, 2, 2,">
          <a:extLst>
            <a:ext uri="{FF2B5EF4-FFF2-40B4-BE49-F238E27FC236}">
              <a16:creationId xmlns:a16="http://schemas.microsoft.com/office/drawing/2014/main" id="{96AF2DD8-3756-9749-B2AB-8EE2FE148BC8}"/>
            </a:ext>
            <a:ext uri="{147F2762-F138-4A5C-976F-8EAC2B608ADB}">
              <a16:predDERef xmlns:a16="http://schemas.microsoft.com/office/drawing/2014/main" pred="{BDF23621-D6AC-4D2B-8D22-5F030C54B3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34" name="Picture 133" descr=" 1, 1, 2, 2,">
          <a:extLst>
            <a:ext uri="{FF2B5EF4-FFF2-40B4-BE49-F238E27FC236}">
              <a16:creationId xmlns:a16="http://schemas.microsoft.com/office/drawing/2014/main" id="{C13DC883-3279-104F-AF40-2F4E03C9E744}"/>
            </a:ext>
            <a:ext uri="{147F2762-F138-4A5C-976F-8EAC2B608ADB}">
              <a16:predDERef xmlns:a16="http://schemas.microsoft.com/office/drawing/2014/main" pred="{A1102FE9-D3CE-4294-84D4-82BC90D0D5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35" name="Picture 134" descr=" 1, 1, 2, 2,">
          <a:extLst>
            <a:ext uri="{FF2B5EF4-FFF2-40B4-BE49-F238E27FC236}">
              <a16:creationId xmlns:a16="http://schemas.microsoft.com/office/drawing/2014/main" id="{0E6B1DE4-61D5-CA4F-BAC8-488D916BA7A4}"/>
            </a:ext>
            <a:ext uri="{147F2762-F138-4A5C-976F-8EAC2B608ADB}">
              <a16:predDERef xmlns:a16="http://schemas.microsoft.com/office/drawing/2014/main" pred="{16738D6D-35F8-417F-9A2A-1F9F0C6426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36" name="Picture 135" descr=" 1, 1, 2, 2,">
          <a:extLst>
            <a:ext uri="{FF2B5EF4-FFF2-40B4-BE49-F238E27FC236}">
              <a16:creationId xmlns:a16="http://schemas.microsoft.com/office/drawing/2014/main" id="{4FFC6B37-1237-BF4A-B4DB-8703232ED2FD}"/>
            </a:ext>
            <a:ext uri="{147F2762-F138-4A5C-976F-8EAC2B608ADB}">
              <a16:predDERef xmlns:a16="http://schemas.microsoft.com/office/drawing/2014/main" pred="{D802C8FE-3076-4CD5-B1A7-3ABEA46EDF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5</xdr:row>
      <xdr:rowOff>0</xdr:rowOff>
    </xdr:from>
    <xdr:ext cx="774000" cy="774000"/>
    <xdr:pic>
      <xdr:nvPicPr>
        <xdr:cNvPr id="137" name="Picture 136" descr=" 1, 1, 2, 2,">
          <a:extLst>
            <a:ext uri="{FF2B5EF4-FFF2-40B4-BE49-F238E27FC236}">
              <a16:creationId xmlns:a16="http://schemas.microsoft.com/office/drawing/2014/main" id="{1FF6441E-122C-AB44-A837-9A7F5FF260B4}"/>
            </a:ext>
            <a:ext uri="{147F2762-F138-4A5C-976F-8EAC2B608ADB}">
              <a16:predDERef xmlns:a16="http://schemas.microsoft.com/office/drawing/2014/main" pred="{4435897A-C4BC-4686-B87A-C50FFA79F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138" name="Picture 137" descr=" 1, 1, 2, 2,">
          <a:extLst>
            <a:ext uri="{FF2B5EF4-FFF2-40B4-BE49-F238E27FC236}">
              <a16:creationId xmlns:a16="http://schemas.microsoft.com/office/drawing/2014/main" id="{85A96B13-39AF-BB4B-8A1A-E6FF53398B11}"/>
            </a:ext>
            <a:ext uri="{147F2762-F138-4A5C-976F-8EAC2B608ADB}">
              <a16:predDERef xmlns:a16="http://schemas.microsoft.com/office/drawing/2014/main" pred="{C9229378-B7A3-45AE-828B-83AFB2E98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5</xdr:row>
      <xdr:rowOff>0</xdr:rowOff>
    </xdr:from>
    <xdr:ext cx="777876" cy="777876"/>
    <xdr:pic>
      <xdr:nvPicPr>
        <xdr:cNvPr id="139" name="Picture 138" descr=" 2, 2, 3, 3,">
          <a:extLst>
            <a:ext uri="{FF2B5EF4-FFF2-40B4-BE49-F238E27FC236}">
              <a16:creationId xmlns:a16="http://schemas.microsoft.com/office/drawing/2014/main" id="{F54D0398-3DC2-3144-AAAC-5C1B720571BE}"/>
            </a:ext>
            <a:ext uri="{147F2762-F138-4A5C-976F-8EAC2B608ADB}">
              <a16:predDERef xmlns:a16="http://schemas.microsoft.com/office/drawing/2014/main" pred="{1637D187-178A-4536-B073-AEDB562E4A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2123400" y="1016000"/>
          <a:ext cx="777876" cy="777876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811068" cy="808182"/>
    <xdr:pic>
      <xdr:nvPicPr>
        <xdr:cNvPr id="140" name="Picture 139" descr="Item:Hammer,Pos:1">
          <a:extLst>
            <a:ext uri="{FF2B5EF4-FFF2-40B4-BE49-F238E27FC236}">
              <a16:creationId xmlns:a16="http://schemas.microsoft.com/office/drawing/2014/main" id="{F4A22102-9A35-3141-BD42-41A897AEECE1}"/>
            </a:ext>
            <a:ext uri="{147F2762-F138-4A5C-976F-8EAC2B608ADB}">
              <a16:predDERef xmlns:a16="http://schemas.microsoft.com/office/drawing/2014/main" pred="{AB61E058-0C54-4416-99BC-230C75DD1E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23825200" y="203200"/>
          <a:ext cx="811068" cy="808182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1</xdr:row>
      <xdr:rowOff>0</xdr:rowOff>
    </xdr:from>
    <xdr:ext cx="786484" cy="774000"/>
    <xdr:pic>
      <xdr:nvPicPr>
        <xdr:cNvPr id="141" name="Picture 140" descr=" 8, 8, 7, 7,">
          <a:extLst>
            <a:ext uri="{FF2B5EF4-FFF2-40B4-BE49-F238E27FC236}">
              <a16:creationId xmlns:a16="http://schemas.microsoft.com/office/drawing/2014/main" id="{261EF676-0B96-6744-9FCC-0B4BD987EF16}"/>
            </a:ext>
            <a:ext uri="{147F2762-F138-4A5C-976F-8EAC2B608ADB}">
              <a16:predDERef xmlns:a16="http://schemas.microsoft.com/office/drawing/2014/main" pred="{D316A24D-76FA-442A-8832-614D5325B5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2974300" y="203200"/>
          <a:ext cx="786484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4000" cy="774000"/>
    <xdr:pic>
      <xdr:nvPicPr>
        <xdr:cNvPr id="142" name="Picture 141" descr="12,12,12,12,">
          <a:extLst>
            <a:ext uri="{FF2B5EF4-FFF2-40B4-BE49-F238E27FC236}">
              <a16:creationId xmlns:a16="http://schemas.microsoft.com/office/drawing/2014/main" id="{CCDA86AA-BDF7-C24E-8A8C-2CBE0BADF840}"/>
            </a:ext>
            <a:ext uri="{147F2762-F138-4A5C-976F-8EAC2B608ADB}">
              <a16:predDERef xmlns:a16="http://schemas.microsoft.com/office/drawing/2014/main" pred="{A2963F49-3AC1-4CA8-9857-72D245B060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43" name="Picture 142" descr="12,12,12,12,">
          <a:extLst>
            <a:ext uri="{FF2B5EF4-FFF2-40B4-BE49-F238E27FC236}">
              <a16:creationId xmlns:a16="http://schemas.microsoft.com/office/drawing/2014/main" id="{0AADDB99-76B6-C24C-9EA8-EDE8A4275DDE}"/>
            </a:ext>
            <a:ext uri="{147F2762-F138-4A5C-976F-8EAC2B608ADB}">
              <a16:predDERef xmlns:a16="http://schemas.microsoft.com/office/drawing/2014/main" pred="{EEB0B7BA-763C-426E-BE61-F0D3080460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4</xdr:row>
      <xdr:rowOff>0</xdr:rowOff>
    </xdr:from>
    <xdr:ext cx="774000" cy="774000"/>
    <xdr:pic>
      <xdr:nvPicPr>
        <xdr:cNvPr id="144" name="Picture 143" descr="12,12, 7, 7,">
          <a:extLst>
            <a:ext uri="{FF2B5EF4-FFF2-40B4-BE49-F238E27FC236}">
              <a16:creationId xmlns:a16="http://schemas.microsoft.com/office/drawing/2014/main" id="{3190D348-B39A-AD47-A22A-3850623453F7}"/>
            </a:ext>
            <a:ext uri="{147F2762-F138-4A5C-976F-8EAC2B608ADB}">
              <a16:predDERef xmlns:a16="http://schemas.microsoft.com/office/drawing/2014/main" pred="{5DE28B4C-03AA-4E9F-BD81-871A93E2C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9743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4000" cy="774000"/>
    <xdr:pic>
      <xdr:nvPicPr>
        <xdr:cNvPr id="145" name="Picture 144" descr="12,12,12,12,">
          <a:extLst>
            <a:ext uri="{FF2B5EF4-FFF2-40B4-BE49-F238E27FC236}">
              <a16:creationId xmlns:a16="http://schemas.microsoft.com/office/drawing/2014/main" id="{78A98CDB-3479-C943-852D-EAD39E7B0264}"/>
            </a:ext>
            <a:ext uri="{147F2762-F138-4A5C-976F-8EAC2B608ADB}">
              <a16:predDERef xmlns:a16="http://schemas.microsoft.com/office/drawing/2014/main" pred="{2ED1FC2D-E8F9-4BAA-9D31-F80FBC58C2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7</xdr:row>
      <xdr:rowOff>0</xdr:rowOff>
    </xdr:from>
    <xdr:ext cx="774000" cy="774000"/>
    <xdr:pic>
      <xdr:nvPicPr>
        <xdr:cNvPr id="146" name="Picture 145" descr="12,12,12,12,">
          <a:extLst>
            <a:ext uri="{FF2B5EF4-FFF2-40B4-BE49-F238E27FC236}">
              <a16:creationId xmlns:a16="http://schemas.microsoft.com/office/drawing/2014/main" id="{1FE36479-5E35-EA4E-BF4D-4F9618CB937B}"/>
            </a:ext>
            <a:ext uri="{147F2762-F138-4A5C-976F-8EAC2B608ADB}">
              <a16:predDERef xmlns:a16="http://schemas.microsoft.com/office/drawing/2014/main" pred="{B5580225-CFFD-4E4C-A6E6-857AC55FBD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7198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8</xdr:row>
      <xdr:rowOff>0</xdr:rowOff>
    </xdr:from>
    <xdr:ext cx="774000" cy="774000"/>
    <xdr:pic>
      <xdr:nvPicPr>
        <xdr:cNvPr id="147" name="Picture 146" descr="12,12, 7, 7,">
          <a:extLst>
            <a:ext uri="{FF2B5EF4-FFF2-40B4-BE49-F238E27FC236}">
              <a16:creationId xmlns:a16="http://schemas.microsoft.com/office/drawing/2014/main" id="{E6B2A830-C5E0-9343-8C37-97D4EDEB5879}"/>
            </a:ext>
            <a:ext uri="{147F2762-F138-4A5C-976F-8EAC2B608ADB}">
              <a16:predDERef xmlns:a16="http://schemas.microsoft.com/office/drawing/2014/main" pred="{9F08ADA0-8826-4E32-8EB2-C9E23ED4EC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719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830147" cy="808183"/>
    <xdr:pic>
      <xdr:nvPicPr>
        <xdr:cNvPr id="148" name="Picture 147" descr="Item:MysteryCrate,Pos:1,ItemType:17">
          <a:extLst>
            <a:ext uri="{FF2B5EF4-FFF2-40B4-BE49-F238E27FC236}">
              <a16:creationId xmlns:a16="http://schemas.microsoft.com/office/drawing/2014/main" id="{E9F5F78B-940E-D04A-B6B5-583D38BD05E5}"/>
            </a:ext>
            <a:ext uri="{147F2762-F138-4A5C-976F-8EAC2B608ADB}">
              <a16:predDERef xmlns:a16="http://schemas.microsoft.com/office/drawing/2014/main" pred="{CB59F453-A5A0-4719-B143-D531427A4D0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018000" y="1422400"/>
          <a:ext cx="830147" cy="80818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830147" cy="808183"/>
    <xdr:pic>
      <xdr:nvPicPr>
        <xdr:cNvPr id="149" name="Picture 148" descr="Item:MysteryCrate,Pos:1,ItemType:17">
          <a:extLst>
            <a:ext uri="{FF2B5EF4-FFF2-40B4-BE49-F238E27FC236}">
              <a16:creationId xmlns:a16="http://schemas.microsoft.com/office/drawing/2014/main" id="{052E3522-ABCB-9044-AA6F-F50BA5131F08}"/>
            </a:ext>
            <a:ext uri="{147F2762-F138-4A5C-976F-8EAC2B608ADB}">
              <a16:predDERef xmlns:a16="http://schemas.microsoft.com/office/drawing/2014/main" pred="{379A70B3-158A-42B3-90FB-B95A3798F22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17018000" y="16256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7</xdr:row>
      <xdr:rowOff>0</xdr:rowOff>
    </xdr:from>
    <xdr:ext cx="830147" cy="808183"/>
    <xdr:pic>
      <xdr:nvPicPr>
        <xdr:cNvPr id="150" name="Picture 149" descr="Item:MysteryCrate,Pos:1,ItemType:17">
          <a:extLst>
            <a:ext uri="{FF2B5EF4-FFF2-40B4-BE49-F238E27FC236}">
              <a16:creationId xmlns:a16="http://schemas.microsoft.com/office/drawing/2014/main" id="{D9251BF6-670E-1C4E-BBAA-4462C6CE77E3}"/>
            </a:ext>
            <a:ext uri="{147F2762-F138-4A5C-976F-8EAC2B608ADB}">
              <a16:predDERef xmlns:a16="http://schemas.microsoft.com/office/drawing/2014/main" pred="{BDB8889C-71DD-4823-B9DA-592547D13E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421600" y="14224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830147" cy="808183"/>
    <xdr:pic>
      <xdr:nvPicPr>
        <xdr:cNvPr id="151" name="Picture 150" descr="Item:MysteryCrate,Pos:1,ItemType:17">
          <a:extLst>
            <a:ext uri="{FF2B5EF4-FFF2-40B4-BE49-F238E27FC236}">
              <a16:creationId xmlns:a16="http://schemas.microsoft.com/office/drawing/2014/main" id="{598A9219-B3DA-D94B-9114-AAAC78FB9F47}"/>
            </a:ext>
            <a:ext uri="{147F2762-F138-4A5C-976F-8EAC2B608ADB}">
              <a16:predDERef xmlns:a16="http://schemas.microsoft.com/office/drawing/2014/main" pred="{0AE53039-57CA-4376-A9C7-492BE7F9102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20421600" y="1625600"/>
          <a:ext cx="830147" cy="80818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152" name="Picture 151" descr=" 1, 1, 2, 2,">
          <a:extLst>
            <a:ext uri="{FF2B5EF4-FFF2-40B4-BE49-F238E27FC236}">
              <a16:creationId xmlns:a16="http://schemas.microsoft.com/office/drawing/2014/main" id="{C665F928-2404-5244-B43D-062E9671140E}"/>
            </a:ext>
            <a:ext uri="{147F2762-F138-4A5C-976F-8EAC2B608ADB}">
              <a16:predDERef xmlns:a16="http://schemas.microsoft.com/office/drawing/2014/main" pred="{B1A69026-2603-4C38-B18D-367081E23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153" name="Picture 152" descr=" 1, 1, 2, 2,">
          <a:extLst>
            <a:ext uri="{FF2B5EF4-FFF2-40B4-BE49-F238E27FC236}">
              <a16:creationId xmlns:a16="http://schemas.microsoft.com/office/drawing/2014/main" id="{4BFDC95A-445B-D947-ABF9-B89E79973A8C}"/>
            </a:ext>
            <a:ext uri="{147F2762-F138-4A5C-976F-8EAC2B608ADB}">
              <a16:predDERef xmlns:a16="http://schemas.microsoft.com/office/drawing/2014/main" pred="{5A0CF3AF-9849-4457-BCCE-CD16C8EE1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154" name="Picture 153" descr=" 1, 1, 2, 2,">
          <a:extLst>
            <a:ext uri="{FF2B5EF4-FFF2-40B4-BE49-F238E27FC236}">
              <a16:creationId xmlns:a16="http://schemas.microsoft.com/office/drawing/2014/main" id="{855356AB-AB50-B24D-8FBA-0C7B1DCD0E1E}"/>
            </a:ext>
            <a:ext uri="{147F2762-F138-4A5C-976F-8EAC2B608ADB}">
              <a16:predDERef xmlns:a16="http://schemas.microsoft.com/office/drawing/2014/main" pred="{A7636AAF-7169-48C4-9DF5-6F743CBD90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774000" cy="774000"/>
    <xdr:pic>
      <xdr:nvPicPr>
        <xdr:cNvPr id="155" name="Picture 154" descr=" 1, 1, 2, 2,">
          <a:extLst>
            <a:ext uri="{FF2B5EF4-FFF2-40B4-BE49-F238E27FC236}">
              <a16:creationId xmlns:a16="http://schemas.microsoft.com/office/drawing/2014/main" id="{204458E6-DC66-1A48-B946-58B60E32C5A7}"/>
            </a:ext>
            <a:ext uri="{147F2762-F138-4A5C-976F-8EAC2B608ADB}">
              <a16:predDERef xmlns:a16="http://schemas.microsoft.com/office/drawing/2014/main" pred="{CD70BE9C-3193-4AC2-A056-3D6086D7B4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8</xdr:row>
      <xdr:rowOff>0</xdr:rowOff>
    </xdr:from>
    <xdr:ext cx="796637" cy="796638"/>
    <xdr:pic>
      <xdr:nvPicPr>
        <xdr:cNvPr id="156" name="Picture 155" descr="Item:Lever_LH,Pos:1,Data:1">
          <a:extLst>
            <a:ext uri="{FF2B5EF4-FFF2-40B4-BE49-F238E27FC236}">
              <a16:creationId xmlns:a16="http://schemas.microsoft.com/office/drawing/2014/main" id="{96EFE6CC-7BD3-6C43-97C5-F390ED049381}"/>
            </a:ext>
            <a:ext uri="{147F2762-F138-4A5C-976F-8EAC2B608ADB}">
              <a16:predDERef xmlns:a16="http://schemas.microsoft.com/office/drawing/2014/main" pred="{1A2A9E40-DFBB-4576-8FD4-AB7D567BED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212725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8</xdr:row>
      <xdr:rowOff>0</xdr:rowOff>
    </xdr:from>
    <xdr:ext cx="783809" cy="783809"/>
    <xdr:pic>
      <xdr:nvPicPr>
        <xdr:cNvPr id="157" name="Picture 156" descr="Item:Lever_Portal_Open,Pos:2">
          <a:extLst>
            <a:ext uri="{FF2B5EF4-FFF2-40B4-BE49-F238E27FC236}">
              <a16:creationId xmlns:a16="http://schemas.microsoft.com/office/drawing/2014/main" id="{129684F9-76FB-3C40-9235-B9178655BAE5}"/>
            </a:ext>
            <a:ext uri="{147F2762-F138-4A5C-976F-8EAC2B608ADB}">
              <a16:predDERef xmlns:a16="http://schemas.microsoft.com/office/drawing/2014/main" pred="{A0C78F94-075C-417D-890C-4786AB05B8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22123400" y="1625600"/>
          <a:ext cx="783809" cy="78380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806593" cy="797919"/>
    <xdr:pic>
      <xdr:nvPicPr>
        <xdr:cNvPr id="158" name="Picture 157" descr="Item:Lever_Portal_Closed,Pos:2">
          <a:extLst>
            <a:ext uri="{FF2B5EF4-FFF2-40B4-BE49-F238E27FC236}">
              <a16:creationId xmlns:a16="http://schemas.microsoft.com/office/drawing/2014/main" id="{74535EEF-7C21-9C4B-BB10-2ED603917296}"/>
            </a:ext>
            <a:ext uri="{147F2762-F138-4A5C-976F-8EAC2B608ADB}">
              <a16:predDERef xmlns:a16="http://schemas.microsoft.com/office/drawing/2014/main" pred="{EF37A6B9-ABF6-4B74-80E8-E4AD91D157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5316200" y="1625600"/>
          <a:ext cx="806593" cy="797919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90222" cy="790222"/>
    <xdr:pic>
      <xdr:nvPicPr>
        <xdr:cNvPr id="159" name="Picture 158" descr="Enemy:Archer_LH,Pos:1">
          <a:extLst>
            <a:ext uri="{FF2B5EF4-FFF2-40B4-BE49-F238E27FC236}">
              <a16:creationId xmlns:a16="http://schemas.microsoft.com/office/drawing/2014/main" id="{54026433-3B8C-BF49-8BDF-7D8ABAD195A3}"/>
            </a:ext>
            <a:ext uri="{147F2762-F138-4A5C-976F-8EAC2B608ADB}">
              <a16:predDERef xmlns:a16="http://schemas.microsoft.com/office/drawing/2014/main" pred="{4E877F30-04B9-4AF5-933C-30B0AD223F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38252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62000" cy="762000"/>
    <xdr:pic>
      <xdr:nvPicPr>
        <xdr:cNvPr id="160" name="Picture 159" descr=" 9, 0, 2,11, ">
          <a:extLst>
            <a:ext uri="{FF2B5EF4-FFF2-40B4-BE49-F238E27FC236}">
              <a16:creationId xmlns:a16="http://schemas.microsoft.com/office/drawing/2014/main" id="{91990B54-2D15-B143-95CE-2902A44A1024}"/>
            </a:ext>
            <a:ext uri="{147F2762-F138-4A5C-976F-8EAC2B608ADB}">
              <a16:predDERef xmlns:a16="http://schemas.microsoft.com/office/drawing/2014/main" pred="{1CAEE876-8CA8-4D05-B576-DC9C1A8D19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36144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8</xdr:row>
      <xdr:rowOff>0</xdr:rowOff>
    </xdr:from>
    <xdr:ext cx="774000" cy="774000"/>
    <xdr:pic>
      <xdr:nvPicPr>
        <xdr:cNvPr id="161" name="Picture 160" descr=" 1, 1, 2, 2,">
          <a:extLst>
            <a:ext uri="{FF2B5EF4-FFF2-40B4-BE49-F238E27FC236}">
              <a16:creationId xmlns:a16="http://schemas.microsoft.com/office/drawing/2014/main" id="{7BCE7B00-E722-7044-941E-629FD527BDAC}"/>
            </a:ext>
            <a:ext uri="{147F2762-F138-4A5C-976F-8EAC2B608ADB}">
              <a16:predDERef xmlns:a16="http://schemas.microsoft.com/office/drawing/2014/main" pred="{4C057F11-44B5-4B18-869E-3B5C995F15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8</xdr:row>
      <xdr:rowOff>0</xdr:rowOff>
    </xdr:from>
    <xdr:ext cx="774000" cy="774000"/>
    <xdr:pic>
      <xdr:nvPicPr>
        <xdr:cNvPr id="162" name="Picture 161" descr=" 1, 1, 2, 2,">
          <a:extLst>
            <a:ext uri="{FF2B5EF4-FFF2-40B4-BE49-F238E27FC236}">
              <a16:creationId xmlns:a16="http://schemas.microsoft.com/office/drawing/2014/main" id="{79454365-5091-514D-AFCD-53B0D3EAE289}"/>
            </a:ext>
            <a:ext uri="{147F2762-F138-4A5C-976F-8EAC2B608ADB}">
              <a16:predDERef xmlns:a16="http://schemas.microsoft.com/office/drawing/2014/main" pred="{F7B6C7F3-0C02-41C6-9033-6DE3C46AB7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74000" cy="774000"/>
    <xdr:pic>
      <xdr:nvPicPr>
        <xdr:cNvPr id="163" name="Picture 162" descr=" 1, 1, 2, 2,">
          <a:extLst>
            <a:ext uri="{FF2B5EF4-FFF2-40B4-BE49-F238E27FC236}">
              <a16:creationId xmlns:a16="http://schemas.microsoft.com/office/drawing/2014/main" id="{AE4DA479-B7B7-F54D-A352-E059F514BC0E}"/>
            </a:ext>
            <a:ext uri="{147F2762-F138-4A5C-976F-8EAC2B608ADB}">
              <a16:predDERef xmlns:a16="http://schemas.microsoft.com/office/drawing/2014/main" pred="{7725EBC8-B2AD-4B85-9E75-93CB278F2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64" name="Picture 163" descr=" 1, 1, 2, 2,">
          <a:extLst>
            <a:ext uri="{FF2B5EF4-FFF2-40B4-BE49-F238E27FC236}">
              <a16:creationId xmlns:a16="http://schemas.microsoft.com/office/drawing/2014/main" id="{9E9F04A5-6F0A-E04D-9209-FE4FBB0CDD8B}"/>
            </a:ext>
            <a:ext uri="{147F2762-F138-4A5C-976F-8EAC2B608ADB}">
              <a16:predDERef xmlns:a16="http://schemas.microsoft.com/office/drawing/2014/main" pred="{BFCEA0C5-38BA-42BE-A891-2246C7E93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77876" cy="777876"/>
    <xdr:pic>
      <xdr:nvPicPr>
        <xdr:cNvPr id="165" name="Picture 164" descr=" 0, 5, 6, 2, ">
          <a:extLst>
            <a:ext uri="{FF2B5EF4-FFF2-40B4-BE49-F238E27FC236}">
              <a16:creationId xmlns:a16="http://schemas.microsoft.com/office/drawing/2014/main" id="{AB875D8D-0A6B-CD45-A113-4706D0FD3BA8}"/>
            </a:ext>
            <a:ext uri="{147F2762-F138-4A5C-976F-8EAC2B608ADB}">
              <a16:predDERef xmlns:a16="http://schemas.microsoft.com/office/drawing/2014/main" pred="{248C5C90-440F-4F91-BD1D-295A376488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93599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7</xdr:row>
      <xdr:rowOff>0</xdr:rowOff>
    </xdr:from>
    <xdr:ext cx="808183" cy="796638"/>
    <xdr:pic>
      <xdr:nvPicPr>
        <xdr:cNvPr id="166" name="Picture 165" descr="Item:Chakana,Pos:1">
          <a:extLst>
            <a:ext uri="{FF2B5EF4-FFF2-40B4-BE49-F238E27FC236}">
              <a16:creationId xmlns:a16="http://schemas.microsoft.com/office/drawing/2014/main" id="{B53DB240-0770-BA4D-B619-E55E57A73C0E}"/>
            </a:ext>
            <a:ext uri="{147F2762-F138-4A5C-976F-8EAC2B608ADB}">
              <a16:predDERef xmlns:a16="http://schemas.microsoft.com/office/drawing/2014/main" pred="{650294B0-06FD-4396-96CD-E963A5C0DF4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6807200" y="1422400"/>
          <a:ext cx="808183" cy="79663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8</xdr:row>
      <xdr:rowOff>0</xdr:rowOff>
    </xdr:from>
    <xdr:ext cx="777876" cy="777876"/>
    <xdr:pic>
      <xdr:nvPicPr>
        <xdr:cNvPr id="167" name="Picture 166" descr=" 0, 5, 6, 2, ">
          <a:extLst>
            <a:ext uri="{FF2B5EF4-FFF2-40B4-BE49-F238E27FC236}">
              <a16:creationId xmlns:a16="http://schemas.microsoft.com/office/drawing/2014/main" id="{146B4B66-D680-AA4B-B551-37F40A8D7222}"/>
            </a:ext>
            <a:ext uri="{147F2762-F138-4A5C-976F-8EAC2B608ADB}">
              <a16:predDERef xmlns:a16="http://schemas.microsoft.com/office/drawing/2014/main" pred="{B337B2AB-41C6-4F12-B053-682D8DCEFF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5956300" y="16256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8</xdr:row>
      <xdr:rowOff>0</xdr:rowOff>
    </xdr:from>
    <xdr:ext cx="762000" cy="762000"/>
    <xdr:pic>
      <xdr:nvPicPr>
        <xdr:cNvPr id="168" name="Picture 167" descr=" 9, 0, 2,11, ">
          <a:extLst>
            <a:ext uri="{FF2B5EF4-FFF2-40B4-BE49-F238E27FC236}">
              <a16:creationId xmlns:a16="http://schemas.microsoft.com/office/drawing/2014/main" id="{3AEF9D67-7E70-A444-9728-E52F3B9AFB45}"/>
            </a:ext>
            <a:ext uri="{147F2762-F138-4A5C-976F-8EAC2B608ADB}">
              <a16:predDERef xmlns:a16="http://schemas.microsoft.com/office/drawing/2014/main" pred="{F4E86EA1-5721-4667-876D-45DCEBD0F6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7658100" y="1625600"/>
          <a:ext cx="762000" cy="762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74000" cy="774000"/>
    <xdr:pic>
      <xdr:nvPicPr>
        <xdr:cNvPr id="169" name="Picture 168" descr=" 1, 1, 2, 2,">
          <a:extLst>
            <a:ext uri="{FF2B5EF4-FFF2-40B4-BE49-F238E27FC236}">
              <a16:creationId xmlns:a16="http://schemas.microsoft.com/office/drawing/2014/main" id="{F182E340-EACB-5F4D-A71B-0FD42FFF11CE}"/>
            </a:ext>
            <a:ext uri="{147F2762-F138-4A5C-976F-8EAC2B608ADB}">
              <a16:predDERef xmlns:a16="http://schemas.microsoft.com/office/drawing/2014/main" pred="{48809391-4245-4C51-BFE5-813F33B3CC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7</xdr:row>
      <xdr:rowOff>0</xdr:rowOff>
    </xdr:from>
    <xdr:ext cx="1673995" cy="808183"/>
    <xdr:pic>
      <xdr:nvPicPr>
        <xdr:cNvPr id="170" name="Picture 169" descr="Item:SwingyThing,Pos:1">
          <a:extLst>
            <a:ext uri="{FF2B5EF4-FFF2-40B4-BE49-F238E27FC236}">
              <a16:creationId xmlns:a16="http://schemas.microsoft.com/office/drawing/2014/main" id="{11DFB8D8-D749-7E4C-8F76-05AD17B717EA}"/>
            </a:ext>
            <a:ext uri="{147F2762-F138-4A5C-976F-8EAC2B608ADB}">
              <a16:predDERef xmlns:a16="http://schemas.microsoft.com/office/drawing/2014/main" pred="{1FB4F455-F663-48FA-8AC2-CB3DE4814F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8509000" y="1422400"/>
          <a:ext cx="1673995" cy="808183"/>
        </a:xfrm>
        <a:prstGeom prst="rect">
          <a:avLst/>
        </a:prstGeom>
      </xdr:spPr>
    </xdr:pic>
    <xdr:clientData/>
  </xdr:oneCellAnchor>
  <xdr:twoCellAnchor editAs="oneCell">
    <xdr:from>
      <xdr:col>31</xdr:col>
      <xdr:colOff>47625</xdr:colOff>
      <xdr:row>11</xdr:row>
      <xdr:rowOff>47625</xdr:rowOff>
    </xdr:from>
    <xdr:to>
      <xdr:col>31</xdr:col>
      <xdr:colOff>841375</xdr:colOff>
      <xdr:row>11</xdr:row>
      <xdr:rowOff>841375</xdr:rowOff>
    </xdr:to>
    <xdr:pic>
      <xdr:nvPicPr>
        <xdr:cNvPr id="171" name="Picture 170" descr="42,42,42,42, ">
          <a:extLst>
            <a:ext uri="{FF2B5EF4-FFF2-40B4-BE49-F238E27FC236}">
              <a16:creationId xmlns:a16="http://schemas.microsoft.com/office/drawing/2014/main" id="{612B40DB-0E31-EA4A-B504-CA7593C35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622375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63499</xdr:colOff>
      <xdr:row>12</xdr:row>
      <xdr:rowOff>31749</xdr:rowOff>
    </xdr:from>
    <xdr:to>
      <xdr:col>32</xdr:col>
      <xdr:colOff>15874</xdr:colOff>
      <xdr:row>12</xdr:row>
      <xdr:rowOff>841374</xdr:rowOff>
    </xdr:to>
    <xdr:pic>
      <xdr:nvPicPr>
        <xdr:cNvPr id="172" name="Picture 171" descr="43,43,43,43, ">
          <a:extLst>
            <a:ext uri="{FF2B5EF4-FFF2-40B4-BE49-F238E27FC236}">
              <a16:creationId xmlns:a16="http://schemas.microsoft.com/office/drawing/2014/main" id="{2DAB788A-231C-7847-97C1-711600B4D4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638249" y="10318749"/>
          <a:ext cx="809625" cy="80962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9C68C0E-9A0B-764A-AE48-DC9E3C8D11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150BD555-206B-5448-A0B0-E85A6DD86384}"/>
            </a:ext>
            <a:ext uri="{147F2762-F138-4A5C-976F-8EAC2B608ADB}">
              <a16:predDERef xmlns:a16="http://schemas.microsoft.com/office/drawing/2014/main" pred="{F9995221-4DE3-4453-B121-46804E25E5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0F876D03-C896-F240-92CB-542EA760C09F}"/>
            </a:ext>
            <a:ext uri="{147F2762-F138-4A5C-976F-8EAC2B608ADB}">
              <a16:predDERef xmlns:a16="http://schemas.microsoft.com/office/drawing/2014/main" pred="{1C03A144-CDC1-4358-9406-66197CB68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819D1A09-3E3A-F54B-BEE0-33ACB5C7E789}"/>
            </a:ext>
            <a:ext uri="{147F2762-F138-4A5C-976F-8EAC2B608ADB}">
              <a16:predDERef xmlns:a16="http://schemas.microsoft.com/office/drawing/2014/main" pred="{C7257980-A3EC-4103-BA77-07171A333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D6A3D14F-1DCE-FA41-86B2-70D62A9CC93F}"/>
            </a:ext>
            <a:ext uri="{147F2762-F138-4A5C-976F-8EAC2B608ADB}">
              <a16:predDERef xmlns:a16="http://schemas.microsoft.com/office/drawing/2014/main" pred="{1BFED8BC-1EB1-43D2-AB0A-85EEFDE2C3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995E99FB-2CC4-D346-A04C-1F3F983A7440}"/>
            </a:ext>
            <a:ext uri="{147F2762-F138-4A5C-976F-8EAC2B608ADB}">
              <a16:predDERef xmlns:a16="http://schemas.microsoft.com/office/drawing/2014/main" pred="{8728F34F-8742-4903-8EDA-FEAEE6A0D6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1336DCA8-12C6-8548-98B8-5D6FC64AEA48}"/>
            </a:ext>
            <a:ext uri="{147F2762-F138-4A5C-976F-8EAC2B608ADB}">
              <a16:predDERef xmlns:a16="http://schemas.microsoft.com/office/drawing/2014/main" pred="{BD2E09D5-11D7-4F1C-9BEC-61608E326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3CE5CFE0-7C86-7F4E-A8EB-5208AF4B306E}"/>
            </a:ext>
            <a:ext uri="{147F2762-F138-4A5C-976F-8EAC2B608ADB}">
              <a16:predDERef xmlns:a16="http://schemas.microsoft.com/office/drawing/2014/main" pred="{DC7BB4DD-04CE-4C45-A2DA-196DCA629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A0FB71DA-0A7C-FB48-8CBB-9D7FE650589B}"/>
            </a:ext>
            <a:ext uri="{147F2762-F138-4A5C-976F-8EAC2B608ADB}">
              <a16:predDERef xmlns:a16="http://schemas.microsoft.com/office/drawing/2014/main" pred="{D19A5E27-4E94-4B94-BF8C-E47B57683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D4E506B0-04EC-FB44-BE39-DB16466BA2DC}"/>
            </a:ext>
            <a:ext uri="{147F2762-F138-4A5C-976F-8EAC2B608ADB}">
              <a16:predDERef xmlns:a16="http://schemas.microsoft.com/office/drawing/2014/main" pred="{3C45A206-0F30-47AD-89D1-329CFED41A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A9D51AEF-3893-0A4A-A1C4-51F5CF13298E}"/>
            </a:ext>
            <a:ext uri="{147F2762-F138-4A5C-976F-8EAC2B608ADB}">
              <a16:predDERef xmlns:a16="http://schemas.microsoft.com/office/drawing/2014/main" pred="{B057A423-339E-4C00-A143-47FBD1F722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E3BEF2AD-7E2F-4149-B739-5D26C3FD1DD0}"/>
            </a:ext>
            <a:ext uri="{147F2762-F138-4A5C-976F-8EAC2B608ADB}">
              <a16:predDERef xmlns:a16="http://schemas.microsoft.com/office/drawing/2014/main" pred="{84918854-3538-410E-A628-36DCAAEAA3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DB4094CF-D582-7B41-BA37-F127E7A429B1}"/>
            </a:ext>
            <a:ext uri="{147F2762-F138-4A5C-976F-8EAC2B608ADB}">
              <a16:predDERef xmlns:a16="http://schemas.microsoft.com/office/drawing/2014/main" pred="{6E8A27E1-7AC9-45DB-B5A5-ACD46C8695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6DBC3B69-6D24-D94B-BB64-91C44086D805}"/>
            </a:ext>
            <a:ext uri="{147F2762-F138-4A5C-976F-8EAC2B608ADB}">
              <a16:predDERef xmlns:a16="http://schemas.microsoft.com/office/drawing/2014/main" pred="{F2F76D27-0DA3-48F4-8D2D-9402ADBD9C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71A90C11-B277-C142-A861-824CEEF32EA7}"/>
            </a:ext>
            <a:ext uri="{147F2762-F138-4A5C-976F-8EAC2B608ADB}">
              <a16:predDERef xmlns:a16="http://schemas.microsoft.com/office/drawing/2014/main" pred="{A580B590-7370-405E-8767-ED843A7B3D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BEF2E35C-1A70-5147-9F5B-833A154512CD}"/>
            </a:ext>
            <a:ext uri="{147F2762-F138-4A5C-976F-8EAC2B608ADB}">
              <a16:predDERef xmlns:a16="http://schemas.microsoft.com/office/drawing/2014/main" pred="{7E0B365E-F7D1-4A35-A6B0-9C8BB65845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1E7C2B1D-D91A-1044-B4B0-DEFC479A4838}"/>
            </a:ext>
            <a:ext uri="{147F2762-F138-4A5C-976F-8EAC2B608ADB}">
              <a16:predDERef xmlns:a16="http://schemas.microsoft.com/office/drawing/2014/main" pred="{7A1D3BA4-E7CF-4E53-8112-4A2C76B3BE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0ED2349E-9B1A-5D40-AC89-1EA4B7C83ECB}"/>
            </a:ext>
            <a:ext uri="{147F2762-F138-4A5C-976F-8EAC2B608ADB}">
              <a16:predDERef xmlns:a16="http://schemas.microsoft.com/office/drawing/2014/main" pred="{4EA1102B-03F6-4163-93A0-5015E22A76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7AB17BE9-E54F-A948-A19F-F3BE842C7F44}"/>
            </a:ext>
            <a:ext uri="{147F2762-F138-4A5C-976F-8EAC2B608ADB}">
              <a16:predDERef xmlns:a16="http://schemas.microsoft.com/office/drawing/2014/main" pred="{4E6E563C-026C-4106-A7E3-517020361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C78E1014-B8BA-BA4A-AA10-8ED29609CCDD}"/>
            </a:ext>
            <a:ext uri="{147F2762-F138-4A5C-976F-8EAC2B608ADB}">
              <a16:predDERef xmlns:a16="http://schemas.microsoft.com/office/drawing/2014/main" pred="{01043761-F516-4031-8172-FBD8F7AB7F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E47F46E4-BED9-E544-9EC7-36F7EA6C2E7B}"/>
            </a:ext>
            <a:ext uri="{147F2762-F138-4A5C-976F-8EAC2B608ADB}">
              <a16:predDERef xmlns:a16="http://schemas.microsoft.com/office/drawing/2014/main" pred="{35F13184-3016-495D-B7C4-B6AA66F3BD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8BBB116B-7B0F-3542-B712-2163F4B1528D}"/>
            </a:ext>
            <a:ext uri="{147F2762-F138-4A5C-976F-8EAC2B608ADB}">
              <a16:predDERef xmlns:a16="http://schemas.microsoft.com/office/drawing/2014/main" pred="{30F1DE0C-CF31-4CDB-8943-6E76A4122D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556CA711-5503-5642-9872-0D8B3B4E15B0}"/>
            </a:ext>
            <a:ext uri="{147F2762-F138-4A5C-976F-8EAC2B608ADB}">
              <a16:predDERef xmlns:a16="http://schemas.microsoft.com/office/drawing/2014/main" pred="{E3DD89D3-F75B-4CDD-9366-C858C6543A4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893169D-DB6B-684D-AFC6-DEFB6B7567A6}"/>
            </a:ext>
            <a:ext uri="{147F2762-F138-4A5C-976F-8EAC2B608ADB}">
              <a16:predDERef xmlns:a16="http://schemas.microsoft.com/office/drawing/2014/main" pred="{3AFD47BC-3413-49B2-BE6F-FA5F90568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A3AB5F0-89EC-A64D-AF89-6EE562162C70}"/>
            </a:ext>
            <a:ext uri="{147F2762-F138-4A5C-976F-8EAC2B608ADB}">
              <a16:predDERef xmlns:a16="http://schemas.microsoft.com/office/drawing/2014/main" pred="{0F0CE8E7-A635-42A4-9FDA-7FB3B0679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A0899888-EF80-E54E-962A-6B544D2682D1}"/>
            </a:ext>
            <a:ext uri="{147F2762-F138-4A5C-976F-8EAC2B608ADB}">
              <a16:predDERef xmlns:a16="http://schemas.microsoft.com/office/drawing/2014/main" pred="{5A62A728-E653-4A81-961B-9A5A05AEF6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CF2070E8-5B49-2B46-AE22-ABF9B93FAC37}"/>
            </a:ext>
            <a:ext uri="{147F2762-F138-4A5C-976F-8EAC2B608ADB}">
              <a16:predDERef xmlns:a16="http://schemas.microsoft.com/office/drawing/2014/main" pred="{F64AB444-B085-4266-B3E1-9B276E0206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DA448B07-170D-5848-BA9A-7ECEB3336F27}"/>
            </a:ext>
            <a:ext uri="{147F2762-F138-4A5C-976F-8EAC2B608ADB}">
              <a16:predDERef xmlns:a16="http://schemas.microsoft.com/office/drawing/2014/main" pred="{CA24FC4C-63F1-40EB-8806-7065D8F8E7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77C143A6-5F08-4A48-AB16-D390C02CDEF3}"/>
            </a:ext>
            <a:ext uri="{147F2762-F138-4A5C-976F-8EAC2B608ADB}">
              <a16:predDERef xmlns:a16="http://schemas.microsoft.com/office/drawing/2014/main" pred="{A6B7CD71-0409-499F-BF5B-B8A8065BD9F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727ABC96-503F-6A48-A966-A9DA53E8BFB4}"/>
            </a:ext>
            <a:ext uri="{147F2762-F138-4A5C-976F-8EAC2B608ADB}">
              <a16:predDERef xmlns:a16="http://schemas.microsoft.com/office/drawing/2014/main" pred="{DE2AD213-F9F9-427B-8D22-7E57C6A50D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205C9DB-16BB-C247-9D97-5FF1D540CF9B}"/>
            </a:ext>
            <a:ext uri="{147F2762-F138-4A5C-976F-8EAC2B608ADB}">
              <a16:predDERef xmlns:a16="http://schemas.microsoft.com/office/drawing/2014/main" pred="{B24C2733-28EE-4564-839C-6D61357CEE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A9B5B676-E18F-464C-8FAC-074AE2C9BEDB}"/>
            </a:ext>
            <a:ext uri="{147F2762-F138-4A5C-976F-8EAC2B608ADB}">
              <a16:predDERef xmlns:a16="http://schemas.microsoft.com/office/drawing/2014/main" pred="{CEFCC9E8-6979-4017-8D5F-6D5D6F04143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34B2FD11-93D6-BD4C-9DC7-17B8B6184E2F}"/>
            </a:ext>
            <a:ext uri="{147F2762-F138-4A5C-976F-8EAC2B608ADB}">
              <a16:predDERef xmlns:a16="http://schemas.microsoft.com/office/drawing/2014/main" pred="{D506428E-077C-4145-A09B-F0F0B8DF2F8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762BC776-A3BB-C443-AD7E-75DE1B615196}"/>
            </a:ext>
            <a:ext uri="{147F2762-F138-4A5C-976F-8EAC2B608ADB}">
              <a16:predDERef xmlns:a16="http://schemas.microsoft.com/office/drawing/2014/main" pred="{FD6C194E-C76C-4342-8AB4-6F26FE80193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A20D71DC-40F4-944C-A745-7B1515D4189F}"/>
            </a:ext>
            <a:ext uri="{147F2762-F138-4A5C-976F-8EAC2B608ADB}">
              <a16:predDERef xmlns:a16="http://schemas.microsoft.com/office/drawing/2014/main" pred="{CC72EAAA-DB15-4160-94A9-B132152DEFA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DA13685B-AFA8-2946-945D-A7E6C719E288}"/>
            </a:ext>
            <a:ext uri="{147F2762-F138-4A5C-976F-8EAC2B608ADB}">
              <a16:predDERef xmlns:a16="http://schemas.microsoft.com/office/drawing/2014/main" pred="{3F825A81-C6C1-480F-82CB-A090520691D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23781C39-5DF2-904F-956D-E43E0D9918D4}"/>
            </a:ext>
            <a:ext uri="{147F2762-F138-4A5C-976F-8EAC2B608ADB}">
              <a16:predDERef xmlns:a16="http://schemas.microsoft.com/office/drawing/2014/main" pred="{F8E362E1-0423-4137-8205-7DD5CBE341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BDC75E50-3FDF-0740-A480-73D5F1AF94BE}"/>
            </a:ext>
            <a:ext uri="{147F2762-F138-4A5C-976F-8EAC2B608ADB}">
              <a16:predDERef xmlns:a16="http://schemas.microsoft.com/office/drawing/2014/main" pred="{8B7C7F86-3678-45C8-B199-7AABC625B17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36A0B949-ACD1-B54C-90FC-6C5614311C96}"/>
            </a:ext>
            <a:ext uri="{147F2762-F138-4A5C-976F-8EAC2B608ADB}">
              <a16:predDERef xmlns:a16="http://schemas.microsoft.com/office/drawing/2014/main" pred="{D8717510-0D45-4B9D-AC77-C7FB849807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CDC249BA-59EC-9E4B-BF54-1AE2E009EEF5}"/>
            </a:ext>
            <a:ext uri="{147F2762-F138-4A5C-976F-8EAC2B608ADB}">
              <a16:predDERef xmlns:a16="http://schemas.microsoft.com/office/drawing/2014/main" pred="{03C73568-E9CA-481A-A33F-AF011F17559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E62C299D-9931-C94D-A029-CCD814053EDD}"/>
            </a:ext>
            <a:ext uri="{147F2762-F138-4A5C-976F-8EAC2B608ADB}">
              <a16:predDERef xmlns:a16="http://schemas.microsoft.com/office/drawing/2014/main" pred="{F48E55D1-0268-4776-A6BE-3481F07B02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B61F9751-C4CD-6745-BC4E-F90D43447CEE}"/>
            </a:ext>
            <a:ext uri="{147F2762-F138-4A5C-976F-8EAC2B608ADB}">
              <a16:predDERef xmlns:a16="http://schemas.microsoft.com/office/drawing/2014/main" pred="{0B675C69-C9AE-4F0D-8A37-9EBEE83FAA0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0CA7C057-58FC-344E-89C3-8C6331B05B72}"/>
            </a:ext>
            <a:ext uri="{147F2762-F138-4A5C-976F-8EAC2B608ADB}">
              <a16:predDERef xmlns:a16="http://schemas.microsoft.com/office/drawing/2014/main" pred="{FD27046D-FB95-4200-BC36-1A373503533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16CE0420-DCDD-234E-AD52-B5F6F08B4175}"/>
            </a:ext>
            <a:ext uri="{147F2762-F138-4A5C-976F-8EAC2B608ADB}">
              <a16:predDERef xmlns:a16="http://schemas.microsoft.com/office/drawing/2014/main" pred="{24F4D3FC-2930-470F-BE1B-167F8BA8E0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8E0D160C-B128-A943-AF02-63233CEFC251}"/>
            </a:ext>
            <a:ext uri="{147F2762-F138-4A5C-976F-8EAC2B608ADB}">
              <a16:predDERef xmlns:a16="http://schemas.microsoft.com/office/drawing/2014/main" pred="{46C57D49-8296-4CB7-B98D-8AD379BBD79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BABDC1C2-835E-644C-8F38-D6CD3F656ED0}"/>
            </a:ext>
            <a:ext uri="{147F2762-F138-4A5C-976F-8EAC2B608ADB}">
              <a16:predDERef xmlns:a16="http://schemas.microsoft.com/office/drawing/2014/main" pred="{4A0FD02B-E757-44CE-A90B-5992762EEFF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0DBA4299-C9AA-314D-9189-5F6B51EAB70D}"/>
            </a:ext>
            <a:ext uri="{147F2762-F138-4A5C-976F-8EAC2B608ADB}">
              <a16:predDERef xmlns:a16="http://schemas.microsoft.com/office/drawing/2014/main" pred="{EC569C5A-02C9-4BA4-8089-2292C4BF6DF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49F18DF2-DEA8-174E-B858-ED829CB970BC}"/>
            </a:ext>
            <a:ext uri="{147F2762-F138-4A5C-976F-8EAC2B608ADB}">
              <a16:predDERef xmlns:a16="http://schemas.microsoft.com/office/drawing/2014/main" pred="{BD6AF3FA-BEE5-48A5-AD27-8BE5AAB8C24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F077F9E7-D815-3B45-8B1E-850227003813}"/>
            </a:ext>
            <a:ext uri="{147F2762-F138-4A5C-976F-8EAC2B608ADB}">
              <a16:predDERef xmlns:a16="http://schemas.microsoft.com/office/drawing/2014/main" pred="{7190AA7E-DC8E-43AF-A63E-6133F39143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D0400C92-1FD7-5F4C-BD69-110D67758733}"/>
            </a:ext>
            <a:ext uri="{147F2762-F138-4A5C-976F-8EAC2B608ADB}">
              <a16:predDERef xmlns:a16="http://schemas.microsoft.com/office/drawing/2014/main" pred="{7251E5FA-A49E-49EA-8AEB-0BC77B1AD97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C008DFEC-57D6-1044-BABA-AEC4A63B2EC0}"/>
            </a:ext>
            <a:ext uri="{147F2762-F138-4A5C-976F-8EAC2B608ADB}">
              <a16:predDERef xmlns:a16="http://schemas.microsoft.com/office/drawing/2014/main" pred="{08CE163B-A23D-4460-9879-8058600E8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5506346D-FF6A-6A44-96D3-AC833DC66CDF}"/>
            </a:ext>
            <a:ext uri="{147F2762-F138-4A5C-976F-8EAC2B608ADB}">
              <a16:predDERef xmlns:a16="http://schemas.microsoft.com/office/drawing/2014/main" pred="{1A5CD91D-A9C7-4D46-A256-1C60CA86E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60294F71-9D97-3448-A9AA-AC21571E89AB}"/>
            </a:ext>
            <a:ext uri="{147F2762-F138-4A5C-976F-8EAC2B608ADB}">
              <a16:predDERef xmlns:a16="http://schemas.microsoft.com/office/drawing/2014/main" pred="{E16E6CDD-2664-4DD0-8113-F2631740A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39C61DD-1075-1047-B7E9-46425CED7636}"/>
            </a:ext>
            <a:ext uri="{147F2762-F138-4A5C-976F-8EAC2B608ADB}">
              <a16:predDERef xmlns:a16="http://schemas.microsoft.com/office/drawing/2014/main" pred="{6FE66BDF-7CC7-4306-916D-F92F8F74AA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1FD83670-73CF-A04C-A8FC-C16036DD1A39}"/>
            </a:ext>
            <a:ext uri="{147F2762-F138-4A5C-976F-8EAC2B608ADB}">
              <a16:predDERef xmlns:a16="http://schemas.microsoft.com/office/drawing/2014/main" pred="{446A9524-8BFB-440F-B9D0-EF6D3857D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4890D2F2-1BDF-364E-8429-7225FB216269}"/>
            </a:ext>
            <a:ext uri="{147F2762-F138-4A5C-976F-8EAC2B608ADB}">
              <a16:predDERef xmlns:a16="http://schemas.microsoft.com/office/drawing/2014/main" pred="{3ADA8EC9-E7B2-4F5C-A3E0-75B77CE92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414389C7-8B74-7542-B47F-D61A398572C3}"/>
            </a:ext>
            <a:ext uri="{147F2762-F138-4A5C-976F-8EAC2B608ADB}">
              <a16:predDERef xmlns:a16="http://schemas.microsoft.com/office/drawing/2014/main" pred="{3830DB4B-CF84-46B0-888B-5F4E24219D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616294EA-35AD-F441-92CA-36443F024912}"/>
            </a:ext>
            <a:ext uri="{147F2762-F138-4A5C-976F-8EAC2B608ADB}">
              <a16:predDERef xmlns:a16="http://schemas.microsoft.com/office/drawing/2014/main" pred="{E2185B0E-9A7D-4B9D-A1F3-8ED3385AD4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6DC899E0-F147-EB47-8AA6-C4B6FF7FA0D0}"/>
            </a:ext>
            <a:ext uri="{147F2762-F138-4A5C-976F-8EAC2B608ADB}">
              <a16:predDERef xmlns:a16="http://schemas.microsoft.com/office/drawing/2014/main" pred="{5AD304E1-8E59-4090-B379-71461C9BDE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8DF26649-AC77-0345-BB29-620B4C43CA0E}"/>
            </a:ext>
            <a:ext uri="{147F2762-F138-4A5C-976F-8EAC2B608ADB}">
              <a16:predDERef xmlns:a16="http://schemas.microsoft.com/office/drawing/2014/main" pred="{E343B584-EB5C-4FA6-B99A-5E406CCA0B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24AF838C-3E59-6547-80BB-37D16B139A76}"/>
            </a:ext>
            <a:ext uri="{147F2762-F138-4A5C-976F-8EAC2B608ADB}">
              <a16:predDERef xmlns:a16="http://schemas.microsoft.com/office/drawing/2014/main" pred="{33D24D4E-D3BD-4A8E-B204-391E131BA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D3E01012-6587-6746-9F75-FFECD7DE5DCA}"/>
            </a:ext>
            <a:ext uri="{147F2762-F138-4A5C-976F-8EAC2B608ADB}">
              <a16:predDERef xmlns:a16="http://schemas.microsoft.com/office/drawing/2014/main" pred="{A4694CE4-3CD2-46D9-8C0B-32D06A1BC6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1C77D86E-38C6-E54E-BF36-AD130B2D5023}"/>
            </a:ext>
            <a:ext uri="{147F2762-F138-4A5C-976F-8EAC2B608ADB}">
              <a16:predDERef xmlns:a16="http://schemas.microsoft.com/office/drawing/2014/main" pred="{15EE7831-EF7E-4806-85B2-5914329C22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7BCF27AE-CA6F-3142-A4AE-C467C38B4171}"/>
            </a:ext>
            <a:ext uri="{147F2762-F138-4A5C-976F-8EAC2B608ADB}">
              <a16:predDERef xmlns:a16="http://schemas.microsoft.com/office/drawing/2014/main" pred="{958E926A-5BDD-4083-857B-20B4BA69D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FD20663A-8356-B642-91E1-BF4649AD4E6A}"/>
            </a:ext>
            <a:ext uri="{147F2762-F138-4A5C-976F-8EAC2B608ADB}">
              <a16:predDERef xmlns:a16="http://schemas.microsoft.com/office/drawing/2014/main" pred="{C1F3110D-A33A-434E-B8B7-8F76EB2615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AB9859E6-D652-F040-AE0E-D017DC22CD56}"/>
            </a:ext>
            <a:ext uri="{147F2762-F138-4A5C-976F-8EAC2B608ADB}">
              <a16:predDERef xmlns:a16="http://schemas.microsoft.com/office/drawing/2014/main" pred="{65B4C5B1-7E80-4FCF-9D37-957410A72E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61BBA2AA-EC2A-694F-A7ED-03776DB552E1}"/>
            </a:ext>
            <a:ext uri="{147F2762-F138-4A5C-976F-8EAC2B608ADB}">
              <a16:predDERef xmlns:a16="http://schemas.microsoft.com/office/drawing/2014/main" pred="{242D51C8-EB49-4695-997B-ABCB7A4A9C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AC4DEEAD-F3F0-1141-A89D-DB15F61E3D0F}"/>
            </a:ext>
            <a:ext uri="{147F2762-F138-4A5C-976F-8EAC2B608ADB}">
              <a16:predDERef xmlns:a16="http://schemas.microsoft.com/office/drawing/2014/main" pred="{AF413B39-EB08-4EB2-B187-9398FC8EF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A0252F1-E079-3540-AFE2-A22F3F583DEC}"/>
            </a:ext>
            <a:ext uri="{147F2762-F138-4A5C-976F-8EAC2B608ADB}">
              <a16:predDERef xmlns:a16="http://schemas.microsoft.com/office/drawing/2014/main" pred="{F5B3F53A-CD2D-4E5D-B19C-783054FB63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C9204056-EB8B-594F-A6B5-4621B6335867}"/>
            </a:ext>
            <a:ext uri="{147F2762-F138-4A5C-976F-8EAC2B608ADB}">
              <a16:predDERef xmlns:a16="http://schemas.microsoft.com/office/drawing/2014/main" pred="{46C3C473-1161-45A6-8E3F-CFEC4467D5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4B32A4B4-3BFC-A54B-A04B-DC4511971203}"/>
            </a:ext>
            <a:ext uri="{147F2762-F138-4A5C-976F-8EAC2B608ADB}">
              <a16:predDERef xmlns:a16="http://schemas.microsoft.com/office/drawing/2014/main" pred="{7221523C-C6C1-4310-8977-26AB9E14F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D8895AC2-1B76-084E-A597-A69CF61B6359}"/>
            </a:ext>
            <a:ext uri="{147F2762-F138-4A5C-976F-8EAC2B608ADB}">
              <a16:predDERef xmlns:a16="http://schemas.microsoft.com/office/drawing/2014/main" pred="{177AC825-91D0-431E-80DC-0C4D84F8BB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7E867B8E-A870-2B48-ABE3-22BA31832174}"/>
            </a:ext>
            <a:ext uri="{147F2762-F138-4A5C-976F-8EAC2B608ADB}">
              <a16:predDERef xmlns:a16="http://schemas.microsoft.com/office/drawing/2014/main" pred="{D356C38A-D80F-4F20-9B51-DCAEF6400C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7</xdr:row>
      <xdr:rowOff>0</xdr:rowOff>
    </xdr:from>
    <xdr:ext cx="1622360" cy="1646553"/>
    <xdr:pic>
      <xdr:nvPicPr>
        <xdr:cNvPr id="75" name="Picture 74" descr="Item:Trebochet_Left,Pos:1">
          <a:extLst>
            <a:ext uri="{FF2B5EF4-FFF2-40B4-BE49-F238E27FC236}">
              <a16:creationId xmlns:a16="http://schemas.microsoft.com/office/drawing/2014/main" id="{5AF8004A-53D9-8741-BF92-BB71FD1FC023}"/>
            </a:ext>
            <a:ext uri="{147F2762-F138-4A5C-976F-8EAC2B608ADB}">
              <a16:predDERef xmlns:a16="http://schemas.microsoft.com/office/drawing/2014/main" pred="{2CBEA412-D8F7-4A64-A62D-7772618A49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42545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1622360" cy="1646553"/>
    <xdr:pic>
      <xdr:nvPicPr>
        <xdr:cNvPr id="76" name="Picture 76" descr="Item:Trebochet_Left,Pos:1">
          <a:extLst>
            <a:ext uri="{FF2B5EF4-FFF2-40B4-BE49-F238E27FC236}">
              <a16:creationId xmlns:a16="http://schemas.microsoft.com/office/drawing/2014/main" id="{979B67A9-80FD-8D40-9F65-D3F7AA8A2332}"/>
            </a:ext>
            <a:ext uri="{147F2762-F138-4A5C-976F-8EAC2B608ADB}">
              <a16:predDERef xmlns:a16="http://schemas.microsoft.com/office/drawing/2014/main" pred="{CACDAF0F-8129-40FB-84C9-7AEE93978C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36144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8</xdr:row>
      <xdr:rowOff>0</xdr:rowOff>
    </xdr:from>
    <xdr:ext cx="796636" cy="808182"/>
    <xdr:pic>
      <xdr:nvPicPr>
        <xdr:cNvPr id="77" name="Picture 77" descr="Item:Sword,Pos:1">
          <a:extLst>
            <a:ext uri="{FF2B5EF4-FFF2-40B4-BE49-F238E27FC236}">
              <a16:creationId xmlns:a16="http://schemas.microsoft.com/office/drawing/2014/main" id="{F3BD6EF2-076F-7542-B624-F63C34487F74}"/>
            </a:ext>
            <a:ext uri="{147F2762-F138-4A5C-976F-8EAC2B608ADB}">
              <a16:predDERef xmlns:a16="http://schemas.microsoft.com/office/drawing/2014/main" pred="{9A2E1E5A-4900-45B7-8963-87A000C06F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6807200" y="1625600"/>
          <a:ext cx="796636" cy="808182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8</xdr:row>
      <xdr:rowOff>0</xdr:rowOff>
    </xdr:from>
    <xdr:ext cx="796637" cy="808183"/>
    <xdr:pic>
      <xdr:nvPicPr>
        <xdr:cNvPr id="78" name="Picture 78" descr="Item:Anchor,Pos:1">
          <a:extLst>
            <a:ext uri="{FF2B5EF4-FFF2-40B4-BE49-F238E27FC236}">
              <a16:creationId xmlns:a16="http://schemas.microsoft.com/office/drawing/2014/main" id="{DB5A4497-CB6B-3D4D-B63A-2570C867A6F3}"/>
            </a:ext>
            <a:ext uri="{147F2762-F138-4A5C-976F-8EAC2B608ADB}">
              <a16:predDERef xmlns:a16="http://schemas.microsoft.com/office/drawing/2014/main" pred="{3A782FB1-0902-4D9A-8472-6831CB086C4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9359900" y="1625600"/>
          <a:ext cx="796637" cy="808183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8</xdr:row>
      <xdr:rowOff>0</xdr:rowOff>
    </xdr:from>
    <xdr:ext cx="790223" cy="790223"/>
    <xdr:pic>
      <xdr:nvPicPr>
        <xdr:cNvPr id="79" name="Picture 80" descr="Enemy:SwordFighter_LH,Pos:1">
          <a:extLst>
            <a:ext uri="{FF2B5EF4-FFF2-40B4-BE49-F238E27FC236}">
              <a16:creationId xmlns:a16="http://schemas.microsoft.com/office/drawing/2014/main" id="{3BF5D702-28FE-6A40-AF17-3E0AC3D9CBB0}"/>
            </a:ext>
            <a:ext uri="{147F2762-F138-4A5C-976F-8EAC2B608ADB}">
              <a16:predDERef xmlns:a16="http://schemas.microsoft.com/office/drawing/2014/main" pred="{8034E0AD-A2CD-4021-87BA-F25376EDE8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10617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8</xdr:row>
      <xdr:rowOff>0</xdr:rowOff>
    </xdr:from>
    <xdr:ext cx="790223" cy="790223"/>
    <xdr:pic>
      <xdr:nvPicPr>
        <xdr:cNvPr id="80" name="Picture 81" descr="Enemy:SwordFighter_LH,Pos:1">
          <a:extLst>
            <a:ext uri="{FF2B5EF4-FFF2-40B4-BE49-F238E27FC236}">
              <a16:creationId xmlns:a16="http://schemas.microsoft.com/office/drawing/2014/main" id="{5619CAAF-719A-D044-AA28-E7E6CCFB75D6}"/>
            </a:ext>
            <a:ext uri="{147F2762-F138-4A5C-976F-8EAC2B608ADB}">
              <a16:predDERef xmlns:a16="http://schemas.microsoft.com/office/drawing/2014/main" pred="{C803A950-DBAF-4281-9CF9-95BD4B4348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018000" y="1625600"/>
          <a:ext cx="790223" cy="790223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8</xdr:row>
      <xdr:rowOff>0</xdr:rowOff>
    </xdr:from>
    <xdr:ext cx="790222" cy="790222"/>
    <xdr:pic>
      <xdr:nvPicPr>
        <xdr:cNvPr id="81" name="Picture 82" descr="Enemy:Archer_LH,Pos:1">
          <a:extLst>
            <a:ext uri="{FF2B5EF4-FFF2-40B4-BE49-F238E27FC236}">
              <a16:creationId xmlns:a16="http://schemas.microsoft.com/office/drawing/2014/main" id="{00A582EF-EED9-BC4C-A8C7-EC65E3787921}"/>
            </a:ext>
            <a:ext uri="{147F2762-F138-4A5C-976F-8EAC2B608ADB}">
              <a16:predDERef xmlns:a16="http://schemas.microsoft.com/office/drawing/2014/main" pred="{1939264B-82DA-4F44-963F-B67AF2B2DE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20421600" y="1625600"/>
          <a:ext cx="790222" cy="790222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7</xdr:row>
      <xdr:rowOff>0</xdr:rowOff>
    </xdr:from>
    <xdr:ext cx="1622360" cy="1646553"/>
    <xdr:pic>
      <xdr:nvPicPr>
        <xdr:cNvPr id="82" name="Picture 84" descr="Item:Trebochet_Left,Pos:1">
          <a:extLst>
            <a:ext uri="{FF2B5EF4-FFF2-40B4-BE49-F238E27FC236}">
              <a16:creationId xmlns:a16="http://schemas.microsoft.com/office/drawing/2014/main" id="{CC1ED5A5-D02E-9540-AE82-C49F0749922C}"/>
            </a:ext>
            <a:ext uri="{147F2762-F138-4A5C-976F-8EAC2B608ADB}">
              <a16:predDERef xmlns:a16="http://schemas.microsoft.com/office/drawing/2014/main" pred="{85B16065-3EB2-49B1-B3F5-BF6E410CD2A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2123400" y="1422400"/>
          <a:ext cx="1622360" cy="1646553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8</xdr:row>
      <xdr:rowOff>0</xdr:rowOff>
    </xdr:from>
    <xdr:ext cx="774000" cy="774000"/>
    <xdr:pic>
      <xdr:nvPicPr>
        <xdr:cNvPr id="83" name="Picture 85" descr="31,31,32,32,">
          <a:extLst>
            <a:ext uri="{FF2B5EF4-FFF2-40B4-BE49-F238E27FC236}">
              <a16:creationId xmlns:a16="http://schemas.microsoft.com/office/drawing/2014/main" id="{1F686163-9D79-2949-817A-0B0125ED5A91}"/>
            </a:ext>
            <a:ext uri="{147F2762-F138-4A5C-976F-8EAC2B608ADB}">
              <a16:predDERef xmlns:a16="http://schemas.microsoft.com/office/drawing/2014/main" pred="{B87C7F46-6D89-4E6D-8828-394B452051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38252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7</xdr:row>
      <xdr:rowOff>0</xdr:rowOff>
    </xdr:from>
    <xdr:ext cx="774000" cy="774000"/>
    <xdr:pic>
      <xdr:nvPicPr>
        <xdr:cNvPr id="84" name="Picture 86" descr="31,31,31,31,">
          <a:extLst>
            <a:ext uri="{FF2B5EF4-FFF2-40B4-BE49-F238E27FC236}">
              <a16:creationId xmlns:a16="http://schemas.microsoft.com/office/drawing/2014/main" id="{DE7665A1-7EC7-9048-AEBF-5DB4D817AD59}"/>
            </a:ext>
            <a:ext uri="{147F2762-F138-4A5C-976F-8EAC2B608ADB}">
              <a16:predDERef xmlns:a16="http://schemas.microsoft.com/office/drawing/2014/main" pred="{5491297A-9242-46AF-B35A-D71EF6D2E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6</xdr:row>
      <xdr:rowOff>0</xdr:rowOff>
    </xdr:from>
    <xdr:ext cx="774000" cy="774000"/>
    <xdr:pic>
      <xdr:nvPicPr>
        <xdr:cNvPr id="85" name="Picture 87" descr="31,31,31,31,">
          <a:extLst>
            <a:ext uri="{FF2B5EF4-FFF2-40B4-BE49-F238E27FC236}">
              <a16:creationId xmlns:a16="http://schemas.microsoft.com/office/drawing/2014/main" id="{60DCB8BF-A360-0347-9DC7-A877DBA258B6}"/>
            </a:ext>
            <a:ext uri="{147F2762-F138-4A5C-976F-8EAC2B608ADB}">
              <a16:predDERef xmlns:a16="http://schemas.microsoft.com/office/drawing/2014/main" pred="{636E11ED-1BDE-40E7-9A40-5ECBAEA2A6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5</xdr:row>
      <xdr:rowOff>0</xdr:rowOff>
    </xdr:from>
    <xdr:ext cx="774000" cy="774000"/>
    <xdr:pic>
      <xdr:nvPicPr>
        <xdr:cNvPr id="86" name="Picture 88" descr="31,31,31,31,">
          <a:extLst>
            <a:ext uri="{FF2B5EF4-FFF2-40B4-BE49-F238E27FC236}">
              <a16:creationId xmlns:a16="http://schemas.microsoft.com/office/drawing/2014/main" id="{D0D89C35-D9C4-844D-922E-463F630BD17C}"/>
            </a:ext>
            <a:ext uri="{147F2762-F138-4A5C-976F-8EAC2B608ADB}">
              <a16:predDERef xmlns:a16="http://schemas.microsoft.com/office/drawing/2014/main" pred="{EEDD9223-24BF-4ECC-B5B5-656B8C2252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3825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6</xdr:row>
      <xdr:rowOff>0</xdr:rowOff>
    </xdr:from>
    <xdr:ext cx="774000" cy="774000"/>
    <xdr:pic>
      <xdr:nvPicPr>
        <xdr:cNvPr id="87" name="Picture 94" descr=" 1, 1, 2, 2,">
          <a:extLst>
            <a:ext uri="{FF2B5EF4-FFF2-40B4-BE49-F238E27FC236}">
              <a16:creationId xmlns:a16="http://schemas.microsoft.com/office/drawing/2014/main" id="{646CB607-9DFD-8542-B2B4-3AE851DFBF23}"/>
            </a:ext>
            <a:ext uri="{147F2762-F138-4A5C-976F-8EAC2B608ADB}">
              <a16:predDERef xmlns:a16="http://schemas.microsoft.com/office/drawing/2014/main" pred="{2574A39E-9612-4913-B8C8-D13C119C9A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6</xdr:row>
      <xdr:rowOff>0</xdr:rowOff>
    </xdr:from>
    <xdr:ext cx="774000" cy="774000"/>
    <xdr:pic>
      <xdr:nvPicPr>
        <xdr:cNvPr id="88" name="Picture 95" descr=" 1, 1, 2, 2,">
          <a:extLst>
            <a:ext uri="{FF2B5EF4-FFF2-40B4-BE49-F238E27FC236}">
              <a16:creationId xmlns:a16="http://schemas.microsoft.com/office/drawing/2014/main" id="{54BCED43-4847-5F41-944E-75F02B32C8E4}"/>
            </a:ext>
            <a:ext uri="{147F2762-F138-4A5C-976F-8EAC2B608ADB}">
              <a16:predDERef xmlns:a16="http://schemas.microsoft.com/office/drawing/2014/main" pred="{F154ED28-5AB4-454E-B600-472CDFA96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6</xdr:row>
      <xdr:rowOff>0</xdr:rowOff>
    </xdr:from>
    <xdr:ext cx="774000" cy="774000"/>
    <xdr:pic>
      <xdr:nvPicPr>
        <xdr:cNvPr id="89" name="Picture 96" descr=" 1, 1, 2, 2,">
          <a:extLst>
            <a:ext uri="{FF2B5EF4-FFF2-40B4-BE49-F238E27FC236}">
              <a16:creationId xmlns:a16="http://schemas.microsoft.com/office/drawing/2014/main" id="{490012E7-6A7E-5D40-9864-AAB7A3BD8A66}"/>
            </a:ext>
            <a:ext uri="{147F2762-F138-4A5C-976F-8EAC2B608ADB}">
              <a16:predDERef xmlns:a16="http://schemas.microsoft.com/office/drawing/2014/main" pred="{DD30050E-F276-4466-9171-B434C5D3D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6</xdr:row>
      <xdr:rowOff>0</xdr:rowOff>
    </xdr:from>
    <xdr:ext cx="774000" cy="774000"/>
    <xdr:pic>
      <xdr:nvPicPr>
        <xdr:cNvPr id="90" name="Picture 97" descr=" 1, 1, 2, 2,">
          <a:extLst>
            <a:ext uri="{FF2B5EF4-FFF2-40B4-BE49-F238E27FC236}">
              <a16:creationId xmlns:a16="http://schemas.microsoft.com/office/drawing/2014/main" id="{C23560C6-FFE1-1441-B0BB-771BA6CF5EB3}"/>
            </a:ext>
            <a:ext uri="{147F2762-F138-4A5C-976F-8EAC2B608ADB}">
              <a16:predDERef xmlns:a16="http://schemas.microsoft.com/office/drawing/2014/main" pred="{75D0A929-D53F-4C26-ACBE-5BFC4CB9BA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21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6</xdr:row>
      <xdr:rowOff>0</xdr:rowOff>
    </xdr:from>
    <xdr:ext cx="774000" cy="774000"/>
    <xdr:pic>
      <xdr:nvPicPr>
        <xdr:cNvPr id="91" name="Picture 98" descr=" 1, 1, 2, 2,">
          <a:extLst>
            <a:ext uri="{FF2B5EF4-FFF2-40B4-BE49-F238E27FC236}">
              <a16:creationId xmlns:a16="http://schemas.microsoft.com/office/drawing/2014/main" id="{4BF3C865-52A5-8F48-BEE3-1647C19C050B}"/>
            </a:ext>
            <a:ext uri="{147F2762-F138-4A5C-976F-8EAC2B608ADB}">
              <a16:predDERef xmlns:a16="http://schemas.microsoft.com/office/drawing/2014/main" pred="{E8200517-3CE0-41D2-B944-9B387EBED8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6</xdr:row>
      <xdr:rowOff>0</xdr:rowOff>
    </xdr:from>
    <xdr:ext cx="774000" cy="774000"/>
    <xdr:pic>
      <xdr:nvPicPr>
        <xdr:cNvPr id="92" name="Picture 100" descr=" 1, 1, 2, 2,">
          <a:extLst>
            <a:ext uri="{FF2B5EF4-FFF2-40B4-BE49-F238E27FC236}">
              <a16:creationId xmlns:a16="http://schemas.microsoft.com/office/drawing/2014/main" id="{97D59791-ADC5-9544-95FC-A59AC2F6A120}"/>
            </a:ext>
            <a:ext uri="{147F2762-F138-4A5C-976F-8EAC2B608ADB}">
              <a16:predDERef xmlns:a16="http://schemas.microsoft.com/office/drawing/2014/main" pred="{AE479C2F-48DF-4110-8EA5-95F81BE15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93" name="Picture 101" descr=" 1, 1, 2, 2,">
          <a:extLst>
            <a:ext uri="{FF2B5EF4-FFF2-40B4-BE49-F238E27FC236}">
              <a16:creationId xmlns:a16="http://schemas.microsoft.com/office/drawing/2014/main" id="{BD7A4910-D0B3-A546-A9C1-0891906C3E08}"/>
            </a:ext>
            <a:ext uri="{147F2762-F138-4A5C-976F-8EAC2B608ADB}">
              <a16:predDERef xmlns:a16="http://schemas.microsoft.com/office/drawing/2014/main" pred="{C9C2FAF8-2AEC-4173-8DA6-D9FDED7AAE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6</xdr:row>
      <xdr:rowOff>0</xdr:rowOff>
    </xdr:from>
    <xdr:ext cx="774000" cy="774000"/>
    <xdr:pic>
      <xdr:nvPicPr>
        <xdr:cNvPr id="94" name="Picture 102" descr=" 1, 1, 2, 2,">
          <a:extLst>
            <a:ext uri="{FF2B5EF4-FFF2-40B4-BE49-F238E27FC236}">
              <a16:creationId xmlns:a16="http://schemas.microsoft.com/office/drawing/2014/main" id="{0558A35A-3D5E-774A-9A77-BC017B0B4D1A}"/>
            </a:ext>
            <a:ext uri="{147F2762-F138-4A5C-976F-8EAC2B608ADB}">
              <a16:predDERef xmlns:a16="http://schemas.microsoft.com/office/drawing/2014/main" pred="{3A1AE63D-95EA-4461-A985-5039E1F1E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6</xdr:row>
      <xdr:rowOff>0</xdr:rowOff>
    </xdr:from>
    <xdr:ext cx="774000" cy="774000"/>
    <xdr:pic>
      <xdr:nvPicPr>
        <xdr:cNvPr id="95" name="Picture 103" descr=" 1, 1, 2, 2,">
          <a:extLst>
            <a:ext uri="{FF2B5EF4-FFF2-40B4-BE49-F238E27FC236}">
              <a16:creationId xmlns:a16="http://schemas.microsoft.com/office/drawing/2014/main" id="{E7D512D3-C0FF-3C45-A586-E8F07B3A1DAD}"/>
            </a:ext>
            <a:ext uri="{147F2762-F138-4A5C-976F-8EAC2B608ADB}">
              <a16:predDERef xmlns:a16="http://schemas.microsoft.com/office/drawing/2014/main" pred="{9ADFA1B0-E1AD-4561-A33B-B47EF7507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6</xdr:row>
      <xdr:rowOff>0</xdr:rowOff>
    </xdr:from>
    <xdr:ext cx="774000" cy="774000"/>
    <xdr:pic>
      <xdr:nvPicPr>
        <xdr:cNvPr id="96" name="Picture 104" descr=" 1, 1, 2, 2,">
          <a:extLst>
            <a:ext uri="{FF2B5EF4-FFF2-40B4-BE49-F238E27FC236}">
              <a16:creationId xmlns:a16="http://schemas.microsoft.com/office/drawing/2014/main" id="{CD6275B0-6413-644A-BCDD-D38254500A19}"/>
            </a:ext>
            <a:ext uri="{147F2762-F138-4A5C-976F-8EAC2B608ADB}">
              <a16:predDERef xmlns:a16="http://schemas.microsoft.com/office/drawing/2014/main" pred="{D5BAADA9-E581-49DC-A1FA-A99F9D615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6</xdr:row>
      <xdr:rowOff>0</xdr:rowOff>
    </xdr:from>
    <xdr:ext cx="774000" cy="774000"/>
    <xdr:pic>
      <xdr:nvPicPr>
        <xdr:cNvPr id="97" name="Picture 105" descr=" 1, 1, 2, 2,">
          <a:extLst>
            <a:ext uri="{FF2B5EF4-FFF2-40B4-BE49-F238E27FC236}">
              <a16:creationId xmlns:a16="http://schemas.microsoft.com/office/drawing/2014/main" id="{AE08DF32-07BC-9643-BCCA-988118750DA1}"/>
            </a:ext>
            <a:ext uri="{147F2762-F138-4A5C-976F-8EAC2B608ADB}">
              <a16:predDERef xmlns:a16="http://schemas.microsoft.com/office/drawing/2014/main" pred="{1B3D0FB3-838B-4448-BEC0-71BDA4311A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6</xdr:row>
      <xdr:rowOff>0</xdr:rowOff>
    </xdr:from>
    <xdr:ext cx="774000" cy="774000"/>
    <xdr:pic>
      <xdr:nvPicPr>
        <xdr:cNvPr id="98" name="Picture 106" descr=" 1, 1, 2, 2,">
          <a:extLst>
            <a:ext uri="{FF2B5EF4-FFF2-40B4-BE49-F238E27FC236}">
              <a16:creationId xmlns:a16="http://schemas.microsoft.com/office/drawing/2014/main" id="{7502F06D-9B92-1743-88E9-11D74E17A118}"/>
            </a:ext>
            <a:ext uri="{147F2762-F138-4A5C-976F-8EAC2B608ADB}">
              <a16:predDERef xmlns:a16="http://schemas.microsoft.com/office/drawing/2014/main" pred="{941E77C8-36F0-429E-9D1B-D5E3EDCC9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6</xdr:row>
      <xdr:rowOff>0</xdr:rowOff>
    </xdr:from>
    <xdr:ext cx="774000" cy="774000"/>
    <xdr:pic>
      <xdr:nvPicPr>
        <xdr:cNvPr id="99" name="Picture 107" descr=" 1, 1, 2, 2,">
          <a:extLst>
            <a:ext uri="{FF2B5EF4-FFF2-40B4-BE49-F238E27FC236}">
              <a16:creationId xmlns:a16="http://schemas.microsoft.com/office/drawing/2014/main" id="{4C031294-AA16-9A45-B3BE-EF68781AD1E2}"/>
            </a:ext>
            <a:ext uri="{147F2762-F138-4A5C-976F-8EAC2B608ADB}">
              <a16:predDERef xmlns:a16="http://schemas.microsoft.com/office/drawing/2014/main" pred="{31465922-649C-4775-A971-95D47451FD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6</xdr:row>
      <xdr:rowOff>0</xdr:rowOff>
    </xdr:from>
    <xdr:ext cx="774000" cy="774000"/>
    <xdr:pic>
      <xdr:nvPicPr>
        <xdr:cNvPr id="100" name="Picture 108" descr=" 1, 1, 2, 2,">
          <a:extLst>
            <a:ext uri="{FF2B5EF4-FFF2-40B4-BE49-F238E27FC236}">
              <a16:creationId xmlns:a16="http://schemas.microsoft.com/office/drawing/2014/main" id="{101670F5-9EE6-BE40-AB36-6DACBECC365A}"/>
            </a:ext>
            <a:ext uri="{147F2762-F138-4A5C-976F-8EAC2B608ADB}">
              <a16:predDERef xmlns:a16="http://schemas.microsoft.com/office/drawing/2014/main" pred="{2B61B4F8-69AD-4062-9A41-E9439C8C7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6</xdr:row>
      <xdr:rowOff>0</xdr:rowOff>
    </xdr:from>
    <xdr:ext cx="774000" cy="774000"/>
    <xdr:pic>
      <xdr:nvPicPr>
        <xdr:cNvPr id="101" name="Picture 110" descr=" 1, 1, 2, 2,">
          <a:extLst>
            <a:ext uri="{FF2B5EF4-FFF2-40B4-BE49-F238E27FC236}">
              <a16:creationId xmlns:a16="http://schemas.microsoft.com/office/drawing/2014/main" id="{EDB117F6-826B-2C42-B5A0-05AADD809912}"/>
            </a:ext>
            <a:ext uri="{147F2762-F138-4A5C-976F-8EAC2B608ADB}">
              <a16:predDERef xmlns:a16="http://schemas.microsoft.com/office/drawing/2014/main" pred="{D8E00127-A0A4-4E54-A0E1-BC3293690B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74000" cy="774000"/>
    <xdr:pic>
      <xdr:nvPicPr>
        <xdr:cNvPr id="102" name="Picture 111" descr=" 1, 1, 2, 2,">
          <a:extLst>
            <a:ext uri="{FF2B5EF4-FFF2-40B4-BE49-F238E27FC236}">
              <a16:creationId xmlns:a16="http://schemas.microsoft.com/office/drawing/2014/main" id="{ACABF91A-9FC6-8648-9336-BF6BFF1A96CA}"/>
            </a:ext>
            <a:ext uri="{147F2762-F138-4A5C-976F-8EAC2B608ADB}">
              <a16:predDERef xmlns:a16="http://schemas.microsoft.com/office/drawing/2014/main" pred="{57571BD0-CCA8-4159-A648-24AD87579C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6</xdr:row>
      <xdr:rowOff>0</xdr:rowOff>
    </xdr:from>
    <xdr:ext cx="774000" cy="774000"/>
    <xdr:pic>
      <xdr:nvPicPr>
        <xdr:cNvPr id="103" name="Picture 112" descr=" 1, 1, 2, 2,">
          <a:extLst>
            <a:ext uri="{FF2B5EF4-FFF2-40B4-BE49-F238E27FC236}">
              <a16:creationId xmlns:a16="http://schemas.microsoft.com/office/drawing/2014/main" id="{01B0F0D1-5E79-D745-BD50-1681CBC0E32F}"/>
            </a:ext>
            <a:ext uri="{147F2762-F138-4A5C-976F-8EAC2B608ADB}">
              <a16:predDERef xmlns:a16="http://schemas.microsoft.com/office/drawing/2014/main" pred="{99AEE657-ACDC-4578-87D1-D0FF2E25CA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774000" cy="774000"/>
    <xdr:pic>
      <xdr:nvPicPr>
        <xdr:cNvPr id="104" name="Picture 113" descr=" 1, 1, 2, 2,">
          <a:extLst>
            <a:ext uri="{FF2B5EF4-FFF2-40B4-BE49-F238E27FC236}">
              <a16:creationId xmlns:a16="http://schemas.microsoft.com/office/drawing/2014/main" id="{1E9D3581-B2CF-E843-AD66-CC5535236595}"/>
            </a:ext>
            <a:ext uri="{147F2762-F138-4A5C-976F-8EAC2B608ADB}">
              <a16:predDERef xmlns:a16="http://schemas.microsoft.com/office/drawing/2014/main" pred="{579F637E-C462-4630-BB96-8A27FE5E52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6</xdr:row>
      <xdr:rowOff>0</xdr:rowOff>
    </xdr:from>
    <xdr:ext cx="774000" cy="774000"/>
    <xdr:pic>
      <xdr:nvPicPr>
        <xdr:cNvPr id="105" name="Picture 114" descr=" 1, 1, 2, 2,">
          <a:extLst>
            <a:ext uri="{FF2B5EF4-FFF2-40B4-BE49-F238E27FC236}">
              <a16:creationId xmlns:a16="http://schemas.microsoft.com/office/drawing/2014/main" id="{43203913-14AF-534C-B4A4-9584D52E57D4}"/>
            </a:ext>
            <a:ext uri="{147F2762-F138-4A5C-976F-8EAC2B608ADB}">
              <a16:predDERef xmlns:a16="http://schemas.microsoft.com/office/drawing/2014/main" pred="{7C4B5A1F-1D56-4B66-8FE6-AD304991E1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74000" cy="774000"/>
    <xdr:pic>
      <xdr:nvPicPr>
        <xdr:cNvPr id="106" name="Picture 115" descr=" 1, 1, 2, 2,">
          <a:extLst>
            <a:ext uri="{FF2B5EF4-FFF2-40B4-BE49-F238E27FC236}">
              <a16:creationId xmlns:a16="http://schemas.microsoft.com/office/drawing/2014/main" id="{42F78741-4E9B-AE4D-B076-636676695FC4}"/>
            </a:ext>
            <a:ext uri="{147F2762-F138-4A5C-976F-8EAC2B608ADB}">
              <a16:predDERef xmlns:a16="http://schemas.microsoft.com/office/drawing/2014/main" pred="{C8B71203-9BFF-4CF0-B8F3-C649FE91A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6</xdr:row>
      <xdr:rowOff>0</xdr:rowOff>
    </xdr:from>
    <xdr:ext cx="774000" cy="774000"/>
    <xdr:pic>
      <xdr:nvPicPr>
        <xdr:cNvPr id="107" name="Picture 116" descr=" 1, 1, 2, 2,">
          <a:extLst>
            <a:ext uri="{FF2B5EF4-FFF2-40B4-BE49-F238E27FC236}">
              <a16:creationId xmlns:a16="http://schemas.microsoft.com/office/drawing/2014/main" id="{5B68CF1C-A808-634C-AEEC-59C6451CE263}"/>
            </a:ext>
            <a:ext uri="{147F2762-F138-4A5C-976F-8EAC2B608ADB}">
              <a16:predDERef xmlns:a16="http://schemas.microsoft.com/office/drawing/2014/main" pred="{5D688668-819A-4D07-ABDE-347825DEF6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774000" cy="774000"/>
    <xdr:pic>
      <xdr:nvPicPr>
        <xdr:cNvPr id="108" name="Picture 117" descr=" 1, 1, 2, 2,">
          <a:extLst>
            <a:ext uri="{FF2B5EF4-FFF2-40B4-BE49-F238E27FC236}">
              <a16:creationId xmlns:a16="http://schemas.microsoft.com/office/drawing/2014/main" id="{6CFFA053-91F3-E14D-8DCA-D580EDC634DE}"/>
            </a:ext>
            <a:ext uri="{147F2762-F138-4A5C-976F-8EAC2B608ADB}">
              <a16:predDERef xmlns:a16="http://schemas.microsoft.com/office/drawing/2014/main" pred="{5EB75008-6A46-47EE-9B49-B97DEEF42F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74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774000" cy="774000"/>
    <xdr:pic>
      <xdr:nvPicPr>
        <xdr:cNvPr id="109" name="Picture 118" descr=" 1, 1, 2, 2,">
          <a:extLst>
            <a:ext uri="{FF2B5EF4-FFF2-40B4-BE49-F238E27FC236}">
              <a16:creationId xmlns:a16="http://schemas.microsoft.com/office/drawing/2014/main" id="{98BD272C-1C77-F84A-B529-86C36B4DC609}"/>
            </a:ext>
            <a:ext uri="{147F2762-F138-4A5C-976F-8EAC2B608ADB}">
              <a16:predDERef xmlns:a16="http://schemas.microsoft.com/office/drawing/2014/main" pred="{950C3F90-C12A-4AE0-A5FA-694E677A87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23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774000" cy="774000"/>
    <xdr:pic>
      <xdr:nvPicPr>
        <xdr:cNvPr id="110" name="Picture 119" descr=" 1, 1, 2, 2,">
          <a:extLst>
            <a:ext uri="{FF2B5EF4-FFF2-40B4-BE49-F238E27FC236}">
              <a16:creationId xmlns:a16="http://schemas.microsoft.com/office/drawing/2014/main" id="{BFE3833B-9515-3244-BA63-FFA41DCF1449}"/>
            </a:ext>
            <a:ext uri="{147F2762-F138-4A5C-976F-8EAC2B608ADB}">
              <a16:predDERef xmlns:a16="http://schemas.microsoft.com/office/drawing/2014/main" pred="{591D6AEC-11A6-4113-AB68-50B12DA69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272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774000" cy="774000"/>
    <xdr:pic>
      <xdr:nvPicPr>
        <xdr:cNvPr id="111" name="Picture 121" descr=" 1, 1, 2, 2,">
          <a:extLst>
            <a:ext uri="{FF2B5EF4-FFF2-40B4-BE49-F238E27FC236}">
              <a16:creationId xmlns:a16="http://schemas.microsoft.com/office/drawing/2014/main" id="{640F6C20-9F78-2C4D-9E04-D223406635C6}"/>
            </a:ext>
            <a:ext uri="{147F2762-F138-4A5C-976F-8EAC2B608ADB}">
              <a16:predDERef xmlns:a16="http://schemas.microsoft.com/office/drawing/2014/main" pred="{7EDA9BF0-8360-4663-8CEE-020A43949A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70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774000" cy="774000"/>
    <xdr:pic>
      <xdr:nvPicPr>
        <xdr:cNvPr id="112" name="Picture 122" descr=" 1, 1, 2, 2,">
          <a:extLst>
            <a:ext uri="{FF2B5EF4-FFF2-40B4-BE49-F238E27FC236}">
              <a16:creationId xmlns:a16="http://schemas.microsoft.com/office/drawing/2014/main" id="{CE346F49-7FA5-984C-A763-9B2F8C5ECAB6}"/>
            </a:ext>
            <a:ext uri="{147F2762-F138-4A5C-976F-8EAC2B608ADB}">
              <a16:predDERef xmlns:a16="http://schemas.microsoft.com/office/drawing/2014/main" pred="{4FE7CE15-B5F9-4576-AEC6-C1AAC6693A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19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774000" cy="774000"/>
    <xdr:pic>
      <xdr:nvPicPr>
        <xdr:cNvPr id="113" name="Picture 123" descr=" 1, 1, 2, 2,">
          <a:extLst>
            <a:ext uri="{FF2B5EF4-FFF2-40B4-BE49-F238E27FC236}">
              <a16:creationId xmlns:a16="http://schemas.microsoft.com/office/drawing/2014/main" id="{59D85656-48BF-604C-B023-951446BFB9ED}"/>
            </a:ext>
            <a:ext uri="{147F2762-F138-4A5C-976F-8EAC2B608ADB}">
              <a16:predDERef xmlns:a16="http://schemas.microsoft.com/office/drawing/2014/main" pred="{FB08064D-D307-4C7B-B5D8-14724CD7A2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68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14" name="Picture 124" descr=" 1, 1, 2, 2,">
          <a:extLst>
            <a:ext uri="{FF2B5EF4-FFF2-40B4-BE49-F238E27FC236}">
              <a16:creationId xmlns:a16="http://schemas.microsoft.com/office/drawing/2014/main" id="{A5A5081F-DCEF-FD47-9B40-21486911C95A}"/>
            </a:ext>
            <a:ext uri="{147F2762-F138-4A5C-976F-8EAC2B608ADB}">
              <a16:predDERef xmlns:a16="http://schemas.microsoft.com/office/drawing/2014/main" pred="{625923E2-30BD-4699-AFFE-AD633B4CB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115" name="Picture 125" descr=" 1, 1, 2, 2,">
          <a:extLst>
            <a:ext uri="{FF2B5EF4-FFF2-40B4-BE49-F238E27FC236}">
              <a16:creationId xmlns:a16="http://schemas.microsoft.com/office/drawing/2014/main" id="{662830E2-36C0-D44D-985C-C4F8E22E4421}"/>
            </a:ext>
            <a:ext uri="{147F2762-F138-4A5C-976F-8EAC2B608ADB}">
              <a16:predDERef xmlns:a16="http://schemas.microsoft.com/office/drawing/2014/main" pred="{D17C4068-0898-4497-BF81-00208BE43B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116" name="Picture 126" descr=" 1, 1, 2, 2,">
          <a:extLst>
            <a:ext uri="{FF2B5EF4-FFF2-40B4-BE49-F238E27FC236}">
              <a16:creationId xmlns:a16="http://schemas.microsoft.com/office/drawing/2014/main" id="{246BE477-67E9-854F-820A-39AF8176627F}"/>
            </a:ext>
            <a:ext uri="{147F2762-F138-4A5C-976F-8EAC2B608ADB}">
              <a16:predDERef xmlns:a16="http://schemas.microsoft.com/office/drawing/2014/main" pred="{1083C6ED-9C3E-4B04-85A6-8C5526969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117" name="Picture 127" descr=" 1, 1, 2, 2,">
          <a:extLst>
            <a:ext uri="{FF2B5EF4-FFF2-40B4-BE49-F238E27FC236}">
              <a16:creationId xmlns:a16="http://schemas.microsoft.com/office/drawing/2014/main" id="{8D57795A-5971-F44E-9FD4-1548EAD4EE08}"/>
            </a:ext>
            <a:ext uri="{147F2762-F138-4A5C-976F-8EAC2B608ADB}">
              <a16:predDERef xmlns:a16="http://schemas.microsoft.com/office/drawing/2014/main" pred="{90765346-FB00-430B-B387-5D38CBE4F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118" name="Picture 128" descr=" 1, 1, 2, 2,">
          <a:extLst>
            <a:ext uri="{FF2B5EF4-FFF2-40B4-BE49-F238E27FC236}">
              <a16:creationId xmlns:a16="http://schemas.microsoft.com/office/drawing/2014/main" id="{D9544A5D-3F84-A044-A1CD-468FD9BB5BD9}"/>
            </a:ext>
            <a:ext uri="{147F2762-F138-4A5C-976F-8EAC2B608ADB}">
              <a16:predDERef xmlns:a16="http://schemas.microsoft.com/office/drawing/2014/main" pred="{9B2EA06C-08EB-4F7C-83C9-CF33EB0FB5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119" name="Picture 129" descr=" 1, 1, 2, 2,">
          <a:extLst>
            <a:ext uri="{FF2B5EF4-FFF2-40B4-BE49-F238E27FC236}">
              <a16:creationId xmlns:a16="http://schemas.microsoft.com/office/drawing/2014/main" id="{DAFE192A-65EF-1D4A-8106-F9E65F69737E}"/>
            </a:ext>
            <a:ext uri="{147F2762-F138-4A5C-976F-8EAC2B608ADB}">
              <a16:predDERef xmlns:a16="http://schemas.microsoft.com/office/drawing/2014/main" pred="{1B76C181-082B-42FB-A985-CD7A1ADAF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120" name="Picture 130" descr=" 1, 1, 2, 2,">
          <a:extLst>
            <a:ext uri="{FF2B5EF4-FFF2-40B4-BE49-F238E27FC236}">
              <a16:creationId xmlns:a16="http://schemas.microsoft.com/office/drawing/2014/main" id="{114F6C5C-B178-D34D-9C3E-56F1D16DA9B5}"/>
            </a:ext>
            <a:ext uri="{147F2762-F138-4A5C-976F-8EAC2B608ADB}">
              <a16:predDERef xmlns:a16="http://schemas.microsoft.com/office/drawing/2014/main" pred="{D9D9F90F-FCE7-422A-B9E0-EC59097211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13</xdr:col>
      <xdr:colOff>0</xdr:colOff>
      <xdr:row>3</xdr:row>
      <xdr:rowOff>0</xdr:rowOff>
    </xdr:from>
    <xdr:ext cx="774000" cy="774000"/>
    <xdr:pic>
      <xdr:nvPicPr>
        <xdr:cNvPr id="121" name="Picture 131" descr=" 1, 1, 2, 2,">
          <a:extLst>
            <a:ext uri="{FF2B5EF4-FFF2-40B4-BE49-F238E27FC236}">
              <a16:creationId xmlns:a16="http://schemas.microsoft.com/office/drawing/2014/main" id="{3D3D51C9-C4E4-3140-B2DF-27F91EBB7433}"/>
            </a:ext>
            <a:ext uri="{147F2762-F138-4A5C-976F-8EAC2B608ADB}">
              <a16:predDERef xmlns:a16="http://schemas.microsoft.com/office/drawing/2014/main" pred="{F8AD5E43-3E4F-4490-9F74-9C075D0F4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17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3</xdr:row>
      <xdr:rowOff>0</xdr:rowOff>
    </xdr:from>
    <xdr:ext cx="774000" cy="774000"/>
    <xdr:pic>
      <xdr:nvPicPr>
        <xdr:cNvPr id="122" name="Picture 132" descr=" 1, 1, 2, 2,">
          <a:extLst>
            <a:ext uri="{FF2B5EF4-FFF2-40B4-BE49-F238E27FC236}">
              <a16:creationId xmlns:a16="http://schemas.microsoft.com/office/drawing/2014/main" id="{DBE3826E-0BA9-EC4A-92A4-1E2CD41A3E40}"/>
            </a:ext>
            <a:ext uri="{147F2762-F138-4A5C-976F-8EAC2B608ADB}">
              <a16:predDERef xmlns:a16="http://schemas.microsoft.com/office/drawing/2014/main" pred="{0A039E45-3E41-490F-A540-587E34DEA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08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0</xdr:colOff>
      <xdr:row>3</xdr:row>
      <xdr:rowOff>0</xdr:rowOff>
    </xdr:from>
    <xdr:ext cx="774000" cy="774000"/>
    <xdr:pic>
      <xdr:nvPicPr>
        <xdr:cNvPr id="123" name="Picture 133" descr=" 1, 1, 2, 2,">
          <a:extLst>
            <a:ext uri="{FF2B5EF4-FFF2-40B4-BE49-F238E27FC236}">
              <a16:creationId xmlns:a16="http://schemas.microsoft.com/office/drawing/2014/main" id="{3B0623A7-2152-0646-A528-6001475C9BCB}"/>
            </a:ext>
            <a:ext uri="{147F2762-F138-4A5C-976F-8EAC2B608ADB}">
              <a16:predDERef xmlns:a16="http://schemas.microsoft.com/office/drawing/2014/main" pred="{2571AE9D-95F6-4B3C-BCCB-F554061512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9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3</xdr:row>
      <xdr:rowOff>0</xdr:rowOff>
    </xdr:from>
    <xdr:ext cx="774000" cy="774000"/>
    <xdr:pic>
      <xdr:nvPicPr>
        <xdr:cNvPr id="124" name="Picture 134" descr=" 1, 1, 2, 2,">
          <a:extLst>
            <a:ext uri="{FF2B5EF4-FFF2-40B4-BE49-F238E27FC236}">
              <a16:creationId xmlns:a16="http://schemas.microsoft.com/office/drawing/2014/main" id="{9506ED2C-AB63-FC45-B2B2-67041418E284}"/>
            </a:ext>
            <a:ext uri="{147F2762-F138-4A5C-976F-8EAC2B608ADB}">
              <a16:predDERef xmlns:a16="http://schemas.microsoft.com/office/drawing/2014/main" pred="{35856DB3-44BC-4A23-8D9A-506A745659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9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3</xdr:row>
      <xdr:rowOff>0</xdr:rowOff>
    </xdr:from>
    <xdr:ext cx="774000" cy="774000"/>
    <xdr:pic>
      <xdr:nvPicPr>
        <xdr:cNvPr id="125" name="Picture 136" descr=" 1, 1, 2, 2,">
          <a:extLst>
            <a:ext uri="{FF2B5EF4-FFF2-40B4-BE49-F238E27FC236}">
              <a16:creationId xmlns:a16="http://schemas.microsoft.com/office/drawing/2014/main" id="{1DD5A8F4-4C5C-AE49-94EA-078AD3CE7CD8}"/>
            </a:ext>
            <a:ext uri="{147F2762-F138-4A5C-976F-8EAC2B608ADB}">
              <a16:predDERef xmlns:a16="http://schemas.microsoft.com/office/drawing/2014/main" pred="{AFA48C2B-0D09-407C-8876-A4A5B55E21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07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774000" cy="774000"/>
    <xdr:pic>
      <xdr:nvPicPr>
        <xdr:cNvPr id="126" name="Picture 137" descr=" 1, 1, 2, 2,">
          <a:extLst>
            <a:ext uri="{FF2B5EF4-FFF2-40B4-BE49-F238E27FC236}">
              <a16:creationId xmlns:a16="http://schemas.microsoft.com/office/drawing/2014/main" id="{6D7494E5-33DD-B543-BBF4-D4CF45D7D13E}"/>
            </a:ext>
            <a:ext uri="{147F2762-F138-4A5C-976F-8EAC2B608ADB}">
              <a16:predDERef xmlns:a16="http://schemas.microsoft.com/office/drawing/2014/main" pred="{9EE15CB6-0CFE-490A-9E80-BDD745565EA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56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6</xdr:col>
      <xdr:colOff>0</xdr:colOff>
      <xdr:row>3</xdr:row>
      <xdr:rowOff>0</xdr:rowOff>
    </xdr:from>
    <xdr:ext cx="774000" cy="774000"/>
    <xdr:pic>
      <xdr:nvPicPr>
        <xdr:cNvPr id="127" name="Picture 138" descr=" 1, 1, 2, 2,">
          <a:extLst>
            <a:ext uri="{FF2B5EF4-FFF2-40B4-BE49-F238E27FC236}">
              <a16:creationId xmlns:a16="http://schemas.microsoft.com/office/drawing/2014/main" id="{13DA6E96-A860-1A41-B249-D8001B6AD3CE}"/>
            </a:ext>
            <a:ext uri="{147F2762-F138-4A5C-976F-8EAC2B608ADB}">
              <a16:predDERef xmlns:a16="http://schemas.microsoft.com/office/drawing/2014/main" pred="{F7E1AC1D-3B3D-41D1-AFA9-F0582B41C7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105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4</xdr:row>
      <xdr:rowOff>0</xdr:rowOff>
    </xdr:from>
    <xdr:ext cx="774000" cy="774000"/>
    <xdr:pic>
      <xdr:nvPicPr>
        <xdr:cNvPr id="128" name="Picture 140" descr="33,33,31,31,">
          <a:extLst>
            <a:ext uri="{FF2B5EF4-FFF2-40B4-BE49-F238E27FC236}">
              <a16:creationId xmlns:a16="http://schemas.microsoft.com/office/drawing/2014/main" id="{9ED13100-1BA5-B24D-B532-94156B0F417C}"/>
            </a:ext>
            <a:ext uri="{147F2762-F138-4A5C-976F-8EAC2B608ADB}">
              <a16:predDERef xmlns:a16="http://schemas.microsoft.com/office/drawing/2014/main" pred="{72871AAE-EBC0-4776-8D17-2A133DFEF1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38252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774000" cy="774000"/>
    <xdr:pic>
      <xdr:nvPicPr>
        <xdr:cNvPr id="129" name="Picture 141" descr=" 1, 1, 2, 2,">
          <a:extLst>
            <a:ext uri="{FF2B5EF4-FFF2-40B4-BE49-F238E27FC236}">
              <a16:creationId xmlns:a16="http://schemas.microsoft.com/office/drawing/2014/main" id="{DE68ECD0-467C-B249-98C6-163983F0BF16}"/>
            </a:ext>
            <a:ext uri="{147F2762-F138-4A5C-976F-8EAC2B608ADB}">
              <a16:predDERef xmlns:a16="http://schemas.microsoft.com/office/drawing/2014/main" pred="{2B6F2664-8DBA-4728-9C57-A8BF0EB14A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1633908" cy="1657048"/>
    <xdr:pic>
      <xdr:nvPicPr>
        <xdr:cNvPr id="130" name="Picture 142" descr="Item:Trebochet_Right,Pos:1">
          <a:extLst>
            <a:ext uri="{FF2B5EF4-FFF2-40B4-BE49-F238E27FC236}">
              <a16:creationId xmlns:a16="http://schemas.microsoft.com/office/drawing/2014/main" id="{D79BA249-7E00-6746-A8D9-EE24EF259144}"/>
            </a:ext>
            <a:ext uri="{147F2762-F138-4A5C-976F-8EAC2B608ADB}">
              <a16:predDERef xmlns:a16="http://schemas.microsoft.com/office/drawing/2014/main" pred="{A47528DB-22B8-4F31-B58C-FCE85A9858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17018000" y="812800"/>
          <a:ext cx="1633908" cy="1657048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4</xdr:row>
      <xdr:rowOff>0</xdr:rowOff>
    </xdr:from>
    <xdr:ext cx="1633908" cy="1657048"/>
    <xdr:pic>
      <xdr:nvPicPr>
        <xdr:cNvPr id="131" name="Picture 143" descr="Item:Trebochet_Right,Pos:1">
          <a:extLst>
            <a:ext uri="{FF2B5EF4-FFF2-40B4-BE49-F238E27FC236}">
              <a16:creationId xmlns:a16="http://schemas.microsoft.com/office/drawing/2014/main" id="{526C44F7-112F-3748-81EC-516325D0F1D8}"/>
            </a:ext>
            <a:ext uri="{147F2762-F138-4A5C-976F-8EAC2B608ADB}">
              <a16:predDERef xmlns:a16="http://schemas.microsoft.com/office/drawing/2014/main" pred="{4CB1A7E2-1A9B-49D2-BE4D-3564D067C86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8509000" y="812800"/>
          <a:ext cx="1633908" cy="1657048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5</xdr:row>
      <xdr:rowOff>0</xdr:rowOff>
    </xdr:from>
    <xdr:ext cx="776111" cy="776111"/>
    <xdr:pic>
      <xdr:nvPicPr>
        <xdr:cNvPr id="132" name="Picture 144">
          <a:extLst>
            <a:ext uri="{FF2B5EF4-FFF2-40B4-BE49-F238E27FC236}">
              <a16:creationId xmlns:a16="http://schemas.microsoft.com/office/drawing/2014/main" id="{1A8511B5-EC5B-8C45-B831-604C1922A3D2}"/>
            </a:ext>
            <a:ext uri="{147F2762-F138-4A5C-976F-8EAC2B608ADB}">
              <a16:predDERef xmlns:a16="http://schemas.microsoft.com/office/drawing/2014/main" pred="{6AB6CDCA-9FF9-466C-8E1E-654B96BF73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20421600" y="1016000"/>
          <a:ext cx="776111" cy="776111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6111" cy="776111"/>
    <xdr:pic>
      <xdr:nvPicPr>
        <xdr:cNvPr id="133" name="Picture 145">
          <a:extLst>
            <a:ext uri="{FF2B5EF4-FFF2-40B4-BE49-F238E27FC236}">
              <a16:creationId xmlns:a16="http://schemas.microsoft.com/office/drawing/2014/main" id="{C1CD900E-2E03-6742-8C37-20A1A5AB433D}"/>
            </a:ext>
            <a:ext uri="{147F2762-F138-4A5C-976F-8EAC2B608ADB}">
              <a16:predDERef xmlns:a16="http://schemas.microsoft.com/office/drawing/2014/main" pred="{BAA9BBC2-F18E-4141-A84E-06ECC780FE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2763500" y="1016000"/>
          <a:ext cx="776111" cy="776111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814917" cy="804334"/>
    <xdr:pic>
      <xdr:nvPicPr>
        <xdr:cNvPr id="134" name="Picture 146" descr="Enemy:Archer_RH,Pos:1">
          <a:extLst>
            <a:ext uri="{FF2B5EF4-FFF2-40B4-BE49-F238E27FC236}">
              <a16:creationId xmlns:a16="http://schemas.microsoft.com/office/drawing/2014/main" id="{489145EE-8529-ED48-A327-2773611E725C}"/>
            </a:ext>
            <a:ext uri="{147F2762-F138-4A5C-976F-8EAC2B608ADB}">
              <a16:predDERef xmlns:a16="http://schemas.microsoft.com/office/drawing/2014/main" pred="{73F4ACA6-FD6E-4DB1-9FD5-631612B31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1912600" y="1016000"/>
          <a:ext cx="814917" cy="804334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1</xdr:row>
      <xdr:rowOff>0</xdr:rowOff>
    </xdr:from>
    <xdr:ext cx="774000" cy="774000"/>
    <xdr:pic>
      <xdr:nvPicPr>
        <xdr:cNvPr id="135" name="Picture 147" descr=" 1, 1, 2, 2,">
          <a:extLst>
            <a:ext uri="{FF2B5EF4-FFF2-40B4-BE49-F238E27FC236}">
              <a16:creationId xmlns:a16="http://schemas.microsoft.com/office/drawing/2014/main" id="{4E64C99D-4F5D-2D45-A1E5-D2E4EC85F99B}"/>
            </a:ext>
            <a:ext uri="{147F2762-F138-4A5C-976F-8EAC2B608ADB}">
              <a16:predDERef xmlns:a16="http://schemas.microsoft.com/office/drawing/2014/main" pred="{B1DF031C-B602-44FF-8BF0-2221A93E2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2032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2</xdr:row>
      <xdr:rowOff>0</xdr:rowOff>
    </xdr:from>
    <xdr:ext cx="774000" cy="774000"/>
    <xdr:pic>
      <xdr:nvPicPr>
        <xdr:cNvPr id="136" name="Picture 148" descr="33,33,31,31,">
          <a:extLst>
            <a:ext uri="{FF2B5EF4-FFF2-40B4-BE49-F238E27FC236}">
              <a16:creationId xmlns:a16="http://schemas.microsoft.com/office/drawing/2014/main" id="{4F7858EC-8D59-FA4D-BC58-7E602F0E0796}"/>
            </a:ext>
            <a:ext uri="{147F2762-F138-4A5C-976F-8EAC2B608ADB}">
              <a16:predDERef xmlns:a16="http://schemas.microsoft.com/office/drawing/2014/main" pred="{F5C070DB-330D-45EB-9DF0-096E23F54B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42545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3</xdr:row>
      <xdr:rowOff>0</xdr:rowOff>
    </xdr:from>
    <xdr:ext cx="774000" cy="774000"/>
    <xdr:pic>
      <xdr:nvPicPr>
        <xdr:cNvPr id="137" name="Picture 149" descr="31,31,31,31,">
          <a:extLst>
            <a:ext uri="{FF2B5EF4-FFF2-40B4-BE49-F238E27FC236}">
              <a16:creationId xmlns:a16="http://schemas.microsoft.com/office/drawing/2014/main" id="{BC7C8058-16B0-854B-934A-BF27E907F9E2}"/>
            </a:ext>
            <a:ext uri="{147F2762-F138-4A5C-976F-8EAC2B608ADB}">
              <a16:predDERef xmlns:a16="http://schemas.microsoft.com/office/drawing/2014/main" pred="{DB14FDD0-D6C8-43F3-9ECB-8E21E24295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54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4</xdr:row>
      <xdr:rowOff>0</xdr:rowOff>
    </xdr:from>
    <xdr:ext cx="774000" cy="774000"/>
    <xdr:pic>
      <xdr:nvPicPr>
        <xdr:cNvPr id="138" name="Picture 150" descr="31,31,31,31,">
          <a:extLst>
            <a:ext uri="{FF2B5EF4-FFF2-40B4-BE49-F238E27FC236}">
              <a16:creationId xmlns:a16="http://schemas.microsoft.com/office/drawing/2014/main" id="{70CB21F4-AEA0-8B42-BC41-A878AFCF6AE4}"/>
            </a:ext>
            <a:ext uri="{147F2762-F138-4A5C-976F-8EAC2B608ADB}">
              <a16:predDERef xmlns:a16="http://schemas.microsoft.com/office/drawing/2014/main" pred="{75262880-52B8-46BE-8B32-41093C509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42545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0</xdr:colOff>
      <xdr:row>5</xdr:row>
      <xdr:rowOff>0</xdr:rowOff>
    </xdr:from>
    <xdr:ext cx="774000" cy="774000"/>
    <xdr:pic>
      <xdr:nvPicPr>
        <xdr:cNvPr id="139" name="Picture 151" descr="31,31,32,32,">
          <a:extLst>
            <a:ext uri="{FF2B5EF4-FFF2-40B4-BE49-F238E27FC236}">
              <a16:creationId xmlns:a16="http://schemas.microsoft.com/office/drawing/2014/main" id="{428002B1-F165-3E4B-A2D8-8B1223E0F934}"/>
            </a:ext>
            <a:ext uri="{147F2762-F138-4A5C-976F-8EAC2B608ADB}">
              <a16:predDERef xmlns:a16="http://schemas.microsoft.com/office/drawing/2014/main" pred="{7DBF63B8-1B2F-46E8-88FF-623AD62600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4254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1</xdr:row>
      <xdr:rowOff>0</xdr:rowOff>
    </xdr:from>
    <xdr:ext cx="808183" cy="796638"/>
    <xdr:pic>
      <xdr:nvPicPr>
        <xdr:cNvPr id="140" name="Picture 152" descr="Item:Chakana,Pos:1">
          <a:extLst>
            <a:ext uri="{FF2B5EF4-FFF2-40B4-BE49-F238E27FC236}">
              <a16:creationId xmlns:a16="http://schemas.microsoft.com/office/drawing/2014/main" id="{8FFC6913-0852-CA49-B081-6E5DEA1A3FFA}"/>
            </a:ext>
            <a:ext uri="{147F2762-F138-4A5C-976F-8EAC2B608ADB}">
              <a16:predDERef xmlns:a16="http://schemas.microsoft.com/office/drawing/2014/main" pred="{7E7394A4-ED55-4BD9-9A88-66B1936897C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23825200" y="203200"/>
          <a:ext cx="808183" cy="796638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774000" cy="774000"/>
    <xdr:pic>
      <xdr:nvPicPr>
        <xdr:cNvPr id="141" name="Picture 153" descr=" 1, 1, 2, 2,">
          <a:extLst>
            <a:ext uri="{FF2B5EF4-FFF2-40B4-BE49-F238E27FC236}">
              <a16:creationId xmlns:a16="http://schemas.microsoft.com/office/drawing/2014/main" id="{EA8A1628-B872-8540-ADE3-2F6CDBC77362}"/>
            </a:ext>
            <a:ext uri="{147F2762-F138-4A5C-976F-8EAC2B608ADB}">
              <a16:predDERef xmlns:a16="http://schemas.microsoft.com/office/drawing/2014/main" pred="{98EC98F2-3BBA-4071-ABA8-E1E38572FE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25200" y="406400"/>
          <a:ext cx="774000" cy="7740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777876" cy="777876"/>
    <xdr:pic>
      <xdr:nvPicPr>
        <xdr:cNvPr id="142" name="Picture 154" descr=" 0, 5, 6, 2, ">
          <a:extLst>
            <a:ext uri="{FF2B5EF4-FFF2-40B4-BE49-F238E27FC236}">
              <a16:creationId xmlns:a16="http://schemas.microsoft.com/office/drawing/2014/main" id="{8284E866-6050-F24E-A9B9-B97ED8E07A77}"/>
            </a:ext>
            <a:ext uri="{147F2762-F138-4A5C-976F-8EAC2B608ADB}">
              <a16:predDERef xmlns:a16="http://schemas.microsoft.com/office/drawing/2014/main" pred="{A896B517-5B4B-4D33-8F1D-C8BF700874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22974300" y="406400"/>
          <a:ext cx="777876" cy="777876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1622360" cy="1646553"/>
    <xdr:pic>
      <xdr:nvPicPr>
        <xdr:cNvPr id="143" name="Picture 155" descr="Item:Trebochet_Left,Pos:1">
          <a:extLst>
            <a:ext uri="{FF2B5EF4-FFF2-40B4-BE49-F238E27FC236}">
              <a16:creationId xmlns:a16="http://schemas.microsoft.com/office/drawing/2014/main" id="{AEDA0626-1304-9549-9572-14AC6B3DA923}"/>
            </a:ext>
            <a:ext uri="{147F2762-F138-4A5C-976F-8EAC2B608ADB}">
              <a16:predDERef xmlns:a16="http://schemas.microsoft.com/office/drawing/2014/main" pred="{83EBADAF-A0E3-4BCB-9C95-4EFF5B618A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8509000" y="203200"/>
          <a:ext cx="1622360" cy="1646553"/>
        </a:xfrm>
        <a:prstGeom prst="rect">
          <a:avLst/>
        </a:prstGeom>
      </xdr:spPr>
    </xdr:pic>
    <xdr:clientData/>
  </xdr:oneCellAnchor>
  <xdr:oneCellAnchor>
    <xdr:from>
      <xdr:col>8</xdr:col>
      <xdr:colOff>0</xdr:colOff>
      <xdr:row>2</xdr:row>
      <xdr:rowOff>0</xdr:rowOff>
    </xdr:from>
    <xdr:ext cx="790223" cy="790223"/>
    <xdr:pic>
      <xdr:nvPicPr>
        <xdr:cNvPr id="144" name="Picture 156" descr="Enemy:SwordFighter_LH,Pos:1">
          <a:extLst>
            <a:ext uri="{FF2B5EF4-FFF2-40B4-BE49-F238E27FC236}">
              <a16:creationId xmlns:a16="http://schemas.microsoft.com/office/drawing/2014/main" id="{0D2CD3EE-59AB-8745-A1FA-FF2E0A860E17}"/>
            </a:ext>
            <a:ext uri="{147F2762-F138-4A5C-976F-8EAC2B608ADB}">
              <a16:predDERef xmlns:a16="http://schemas.microsoft.com/office/drawing/2014/main" pred="{C01616D9-75FD-44EE-AD94-2B6D0A500F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6807200" y="406400"/>
          <a:ext cx="790223" cy="790223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90222" cy="790222"/>
    <xdr:pic>
      <xdr:nvPicPr>
        <xdr:cNvPr id="145" name="Picture 157" descr="Enemy:Archer_LH,Pos:1">
          <a:extLst>
            <a:ext uri="{FF2B5EF4-FFF2-40B4-BE49-F238E27FC236}">
              <a16:creationId xmlns:a16="http://schemas.microsoft.com/office/drawing/2014/main" id="{9BF1E0CD-A531-8847-A7C2-A8EC6FD0DC78}"/>
            </a:ext>
            <a:ext uri="{147F2762-F138-4A5C-976F-8EAC2B608ADB}">
              <a16:predDERef xmlns:a16="http://schemas.microsoft.com/office/drawing/2014/main" pred="{CEED1375-FAF4-46DA-9D09-D50258A606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19126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2</xdr:row>
      <xdr:rowOff>0</xdr:rowOff>
    </xdr:from>
    <xdr:ext cx="790222" cy="790222"/>
    <xdr:pic>
      <xdr:nvPicPr>
        <xdr:cNvPr id="146" name="Picture 158" descr="Enemy:Archer_LH,Pos:1">
          <a:extLst>
            <a:ext uri="{FF2B5EF4-FFF2-40B4-BE49-F238E27FC236}">
              <a16:creationId xmlns:a16="http://schemas.microsoft.com/office/drawing/2014/main" id="{1090B4B1-10C0-7647-A6F3-9AF1F270F862}"/>
            </a:ext>
            <a:ext uri="{147F2762-F138-4A5C-976F-8EAC2B608ADB}">
              <a16:predDERef xmlns:a16="http://schemas.microsoft.com/office/drawing/2014/main" pred="{5EBD5913-B935-4BA9-B187-8508F73B7C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2763500" y="406400"/>
          <a:ext cx="790222" cy="790222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1</xdr:row>
      <xdr:rowOff>0</xdr:rowOff>
    </xdr:from>
    <xdr:ext cx="1622360" cy="1646553"/>
    <xdr:pic>
      <xdr:nvPicPr>
        <xdr:cNvPr id="147" name="Picture 159" descr="Item:Trebochet_Left,Pos:1">
          <a:extLst>
            <a:ext uri="{FF2B5EF4-FFF2-40B4-BE49-F238E27FC236}">
              <a16:creationId xmlns:a16="http://schemas.microsoft.com/office/drawing/2014/main" id="{7D730050-1F29-7446-9BFE-FA3AAE1C2E09}"/>
            </a:ext>
            <a:ext uri="{147F2762-F138-4A5C-976F-8EAC2B608ADB}">
              <a16:predDERef xmlns:a16="http://schemas.microsoft.com/office/drawing/2014/main" pred="{09733D94-061E-4A8E-99AF-9B116F13B0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21272500" y="203200"/>
          <a:ext cx="1622360" cy="1646553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790223" cy="790223"/>
    <xdr:pic>
      <xdr:nvPicPr>
        <xdr:cNvPr id="148" name="Picture 160" descr="Enemy:SwordFighter_LH,Pos:1">
          <a:extLst>
            <a:ext uri="{FF2B5EF4-FFF2-40B4-BE49-F238E27FC236}">
              <a16:creationId xmlns:a16="http://schemas.microsoft.com/office/drawing/2014/main" id="{67B0C036-0A95-DC4F-A80A-284559D3F73B}"/>
            </a:ext>
            <a:ext uri="{147F2762-F138-4A5C-976F-8EAC2B608ADB}">
              <a16:predDERef xmlns:a16="http://schemas.microsoft.com/office/drawing/2014/main" pred="{96E3F230-CF23-44E0-90E7-141CAD7EFE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018000" y="406400"/>
          <a:ext cx="790223" cy="790223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6</xdr:row>
      <xdr:rowOff>0</xdr:rowOff>
    </xdr:from>
    <xdr:ext cx="777876" cy="777876"/>
    <xdr:pic>
      <xdr:nvPicPr>
        <xdr:cNvPr id="149" name="Picture 161" descr=" 2, 2, 3, 3,">
          <a:extLst>
            <a:ext uri="{FF2B5EF4-FFF2-40B4-BE49-F238E27FC236}">
              <a16:creationId xmlns:a16="http://schemas.microsoft.com/office/drawing/2014/main" id="{E9D7C480-8167-A54B-8699-8AB24A585FEC}"/>
            </a:ext>
            <a:ext uri="{147F2762-F138-4A5C-976F-8EAC2B608ADB}">
              <a16:predDERef xmlns:a16="http://schemas.microsoft.com/office/drawing/2014/main" pred="{1751457C-E616-4C48-A225-D13EC63CF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87198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6</xdr:row>
      <xdr:rowOff>0</xdr:rowOff>
    </xdr:from>
    <xdr:ext cx="777876" cy="777876"/>
    <xdr:pic>
      <xdr:nvPicPr>
        <xdr:cNvPr id="150" name="Picture 162" descr=" 2, 2, 3, 3,">
          <a:extLst>
            <a:ext uri="{FF2B5EF4-FFF2-40B4-BE49-F238E27FC236}">
              <a16:creationId xmlns:a16="http://schemas.microsoft.com/office/drawing/2014/main" id="{E6797442-6957-E54F-BB0F-ABB09B0F916F}"/>
            </a:ext>
            <a:ext uri="{147F2762-F138-4A5C-976F-8EAC2B608ADB}">
              <a16:predDERef xmlns:a16="http://schemas.microsoft.com/office/drawing/2014/main" pred="{3296F178-B8F5-445E-8CEE-365F74B0E6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10210800" y="1219200"/>
          <a:ext cx="777876" cy="777876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3</xdr:row>
      <xdr:rowOff>0</xdr:rowOff>
    </xdr:from>
    <xdr:ext cx="777876" cy="777876"/>
    <xdr:pic>
      <xdr:nvPicPr>
        <xdr:cNvPr id="151" name="Picture 164" descr=" 2, 2, 3, 3,">
          <a:extLst>
            <a:ext uri="{FF2B5EF4-FFF2-40B4-BE49-F238E27FC236}">
              <a16:creationId xmlns:a16="http://schemas.microsoft.com/office/drawing/2014/main" id="{C4037726-C89D-894E-B495-5EFC581C8EF3}"/>
            </a:ext>
            <a:ext uri="{147F2762-F138-4A5C-976F-8EAC2B608ADB}">
              <a16:predDERef xmlns:a16="http://schemas.microsoft.com/office/drawing/2014/main" pred="{B7DBE793-82AA-4BFE-8285-DBA4310D9A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76581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777876" cy="777876"/>
    <xdr:pic>
      <xdr:nvPicPr>
        <xdr:cNvPr id="152" name="Picture 165" descr=" 2, 2, 3, 3,">
          <a:extLst>
            <a:ext uri="{FF2B5EF4-FFF2-40B4-BE49-F238E27FC236}">
              <a16:creationId xmlns:a16="http://schemas.microsoft.com/office/drawing/2014/main" id="{7B492DD9-18A6-B641-92F4-1B35322680A6}"/>
            </a:ext>
            <a:ext uri="{147F2762-F138-4A5C-976F-8EAC2B608ADB}">
              <a16:predDERef xmlns:a16="http://schemas.microsoft.com/office/drawing/2014/main" pred="{9A6DFE41-E960-4F7F-B106-EEFFE85BD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04216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8</xdr:row>
      <xdr:rowOff>0</xdr:rowOff>
    </xdr:from>
    <xdr:ext cx="773545" cy="818444"/>
    <xdr:pic>
      <xdr:nvPicPr>
        <xdr:cNvPr id="153" name="Picture 166" descr="Item:Potion,Pos:1">
          <a:extLst>
            <a:ext uri="{FF2B5EF4-FFF2-40B4-BE49-F238E27FC236}">
              <a16:creationId xmlns:a16="http://schemas.microsoft.com/office/drawing/2014/main" id="{2155803C-C177-7F4B-A621-4237E7BB6BD0}"/>
            </a:ext>
            <a:ext uri="{147F2762-F138-4A5C-976F-8EAC2B608ADB}">
              <a16:predDERef xmlns:a16="http://schemas.microsoft.com/office/drawing/2014/main" pred="{A38EF3DE-5642-46D4-B1E6-E19FAEB122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5316200" y="1625600"/>
          <a:ext cx="773545" cy="818444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3545" cy="818444"/>
    <xdr:pic>
      <xdr:nvPicPr>
        <xdr:cNvPr id="154" name="Picture 167" descr="Item:Potion,Pos:1">
          <a:extLst>
            <a:ext uri="{FF2B5EF4-FFF2-40B4-BE49-F238E27FC236}">
              <a16:creationId xmlns:a16="http://schemas.microsoft.com/office/drawing/2014/main" id="{C81A74DB-E736-AA49-80F2-F4E77A885223}"/>
            </a:ext>
            <a:ext uri="{147F2762-F138-4A5C-976F-8EAC2B608ADB}">
              <a16:predDERef xmlns:a16="http://schemas.microsoft.com/office/drawing/2014/main" pred="{7F33F71E-1C1D-4F07-BE17-FE636B12F2B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6167100" y="1016000"/>
          <a:ext cx="773545" cy="818444"/>
        </a:xfrm>
        <a:prstGeom prst="rect">
          <a:avLst/>
        </a:prstGeom>
      </xdr:spPr>
    </xdr:pic>
    <xdr:clientData/>
  </xdr:oneCellAnchor>
  <xdr:oneCellAnchor>
    <xdr:from>
      <xdr:col>9</xdr:col>
      <xdr:colOff>0</xdr:colOff>
      <xdr:row>5</xdr:row>
      <xdr:rowOff>0</xdr:rowOff>
    </xdr:from>
    <xdr:ext cx="773545" cy="818444"/>
    <xdr:pic>
      <xdr:nvPicPr>
        <xdr:cNvPr id="155" name="Picture 168" descr="Item:Potion,Pos:1">
          <a:extLst>
            <a:ext uri="{FF2B5EF4-FFF2-40B4-BE49-F238E27FC236}">
              <a16:creationId xmlns:a16="http://schemas.microsoft.com/office/drawing/2014/main" id="{3B1F43A2-2790-F94E-A911-B4A8FCB47695}"/>
            </a:ext>
            <a:ext uri="{147F2762-F138-4A5C-976F-8EAC2B608ADB}">
              <a16:predDERef xmlns:a16="http://schemas.microsoft.com/office/drawing/2014/main" pred="{E4FFA3CC-E64D-47E2-A0A1-359FA27261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658100" y="1016000"/>
          <a:ext cx="773545" cy="818444"/>
        </a:xfrm>
        <a:prstGeom prst="rect">
          <a:avLst/>
        </a:prstGeom>
      </xdr:spPr>
    </xdr:pic>
    <xdr:clientData/>
  </xdr:oneCellAnchor>
  <xdr:oneCellAnchor>
    <xdr:from>
      <xdr:col>12</xdr:col>
      <xdr:colOff>0</xdr:colOff>
      <xdr:row>2</xdr:row>
      <xdr:rowOff>0</xdr:rowOff>
    </xdr:from>
    <xdr:ext cx="773545" cy="818444"/>
    <xdr:pic>
      <xdr:nvPicPr>
        <xdr:cNvPr id="156" name="Picture 169" descr="Item:Potion,Pos:1">
          <a:extLst>
            <a:ext uri="{FF2B5EF4-FFF2-40B4-BE49-F238E27FC236}">
              <a16:creationId xmlns:a16="http://schemas.microsoft.com/office/drawing/2014/main" id="{00D14EB7-CD98-A446-BEDA-ABDA85028E4C}"/>
            </a:ext>
            <a:ext uri="{147F2762-F138-4A5C-976F-8EAC2B608ADB}">
              <a16:predDERef xmlns:a16="http://schemas.microsoft.com/office/drawing/2014/main" pred="{E4DCB43B-3660-468F-92FF-AEEB679BD71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10210800" y="406400"/>
          <a:ext cx="773545" cy="818444"/>
        </a:xfrm>
        <a:prstGeom prst="rect">
          <a:avLst/>
        </a:prstGeom>
      </xdr:spPr>
    </xdr:pic>
    <xdr:clientData/>
  </xdr:oneCellAnchor>
  <xdr:twoCellAnchor editAs="oneCell">
    <xdr:from>
      <xdr:col>31</xdr:col>
      <xdr:colOff>63500</xdr:colOff>
      <xdr:row>11</xdr:row>
      <xdr:rowOff>47625</xdr:rowOff>
    </xdr:from>
    <xdr:to>
      <xdr:col>32</xdr:col>
      <xdr:colOff>0</xdr:colOff>
      <xdr:row>11</xdr:row>
      <xdr:rowOff>841375</xdr:rowOff>
    </xdr:to>
    <xdr:pic>
      <xdr:nvPicPr>
        <xdr:cNvPr id="157" name="Picture 156" descr="42,42,42,42, ">
          <a:extLst>
            <a:ext uri="{FF2B5EF4-FFF2-40B4-BE49-F238E27FC236}">
              <a16:creationId xmlns:a16="http://schemas.microsoft.com/office/drawing/2014/main" id="{EEF1750D-1DC2-ED49-BB66-3F2157069F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638250" y="9477375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79374</xdr:colOff>
      <xdr:row>12</xdr:row>
      <xdr:rowOff>31749</xdr:rowOff>
    </xdr:from>
    <xdr:to>
      <xdr:col>32</xdr:col>
      <xdr:colOff>31749</xdr:colOff>
      <xdr:row>12</xdr:row>
      <xdr:rowOff>841374</xdr:rowOff>
    </xdr:to>
    <xdr:pic>
      <xdr:nvPicPr>
        <xdr:cNvPr id="158" name="Picture 157" descr="43,43,43,43, ">
          <a:extLst>
            <a:ext uri="{FF2B5EF4-FFF2-40B4-BE49-F238E27FC236}">
              <a16:creationId xmlns:a16="http://schemas.microsoft.com/office/drawing/2014/main" id="{ECFC1F24-5B24-7343-B15A-D0844D9CAD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654124" y="10318749"/>
          <a:ext cx="809625" cy="80962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25400</xdr:colOff>
      <xdr:row>0</xdr:row>
      <xdr:rowOff>25400</xdr:rowOff>
    </xdr:from>
    <xdr:ext cx="774000" cy="774000"/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7EFACDEF-5768-F04E-A910-7F3F491644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1</xdr:row>
      <xdr:rowOff>25400</xdr:rowOff>
    </xdr:from>
    <xdr:ext cx="774000" cy="774000"/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B673A054-5A15-3245-B3EA-878912DE205E}"/>
            </a:ext>
            <a:ext uri="{147F2762-F138-4A5C-976F-8EAC2B608ADB}">
              <a16:predDERef xmlns:a16="http://schemas.microsoft.com/office/drawing/2014/main" pred="{BD41FCD7-006F-4E36-9FFC-F78E8AAE6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228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2</xdr:row>
      <xdr:rowOff>25400</xdr:rowOff>
    </xdr:from>
    <xdr:ext cx="774000" cy="774000"/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863B3F3D-3AE2-7D45-8B75-3B17EBB7212A}"/>
            </a:ext>
            <a:ext uri="{147F2762-F138-4A5C-976F-8EAC2B608ADB}">
              <a16:predDERef xmlns:a16="http://schemas.microsoft.com/office/drawing/2014/main" pred="{BF01FA13-D7CE-46F9-916E-968F751599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431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38100</xdr:colOff>
      <xdr:row>3</xdr:row>
      <xdr:rowOff>25400</xdr:rowOff>
    </xdr:from>
    <xdr:ext cx="774000" cy="774000"/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7C073DF7-2A78-BF4D-BFE3-DF4AFC2041AE}"/>
            </a:ext>
            <a:ext uri="{147F2762-F138-4A5C-976F-8EAC2B608ADB}">
              <a16:predDERef xmlns:a16="http://schemas.microsoft.com/office/drawing/2014/main" pred="{0CED1408-1882-43F7-92D9-A74F2D5120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0</xdr:row>
      <xdr:rowOff>25400</xdr:rowOff>
    </xdr:from>
    <xdr:ext cx="774000" cy="774000"/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F7CECFEA-1661-844B-932B-77CB4299CF27}"/>
            </a:ext>
            <a:ext uri="{147F2762-F138-4A5C-976F-8EAC2B608ADB}">
              <a16:predDERef xmlns:a16="http://schemas.microsoft.com/office/drawing/2014/main" pred="{C6ED988A-73C3-4C5D-B6D3-53A0F5A8C1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4</xdr:row>
      <xdr:rowOff>25400</xdr:rowOff>
    </xdr:from>
    <xdr:ext cx="774000" cy="774000"/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3A8C6361-EDDB-F949-8297-DBC473A737FE}"/>
            </a:ext>
            <a:ext uri="{147F2762-F138-4A5C-976F-8EAC2B608ADB}">
              <a16:predDERef xmlns:a16="http://schemas.microsoft.com/office/drawing/2014/main" pred="{2D41545D-7403-43D7-827A-819624529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4</xdr:row>
      <xdr:rowOff>25400</xdr:rowOff>
    </xdr:from>
    <xdr:ext cx="774000" cy="774000"/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39A82432-798B-C14F-B9A7-DCD006EC8EBB}"/>
            </a:ext>
            <a:ext uri="{147F2762-F138-4A5C-976F-8EAC2B608ADB}">
              <a16:predDERef xmlns:a16="http://schemas.microsoft.com/office/drawing/2014/main" pred="{04D50635-8E26-4B1D-91A2-537DA3E8D5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8382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3</xdr:row>
      <xdr:rowOff>25400</xdr:rowOff>
    </xdr:from>
    <xdr:ext cx="774000" cy="774000"/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2541DA26-2F48-1946-9B86-41D28C8C8904}"/>
            </a:ext>
            <a:ext uri="{147F2762-F138-4A5C-976F-8EAC2B608ADB}">
              <a16:predDERef xmlns:a16="http://schemas.microsoft.com/office/drawing/2014/main" pred="{31B77170-4D3F-4DB5-8FA1-B9560C031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635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9</xdr:row>
      <xdr:rowOff>38100</xdr:rowOff>
    </xdr:from>
    <xdr:ext cx="774000" cy="774000"/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38749C21-2C08-0849-8A84-359E84D821FA}"/>
            </a:ext>
            <a:ext uri="{147F2762-F138-4A5C-976F-8EAC2B608ADB}">
              <a16:predDERef xmlns:a16="http://schemas.microsoft.com/office/drawing/2014/main" pred="{FB8B16F1-C3F2-42A8-9795-2F7AD5DAA5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18669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10</xdr:row>
      <xdr:rowOff>38100</xdr:rowOff>
    </xdr:from>
    <xdr:ext cx="774000" cy="774000"/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38323625-2818-8441-8FDB-C4795F7B08BB}"/>
            </a:ext>
            <a:ext uri="{147F2762-F138-4A5C-976F-8EAC2B608ADB}">
              <a16:predDERef xmlns:a16="http://schemas.microsoft.com/office/drawing/2014/main" pred="{186EFA79-56CE-4B5D-9194-EA96A45D2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20701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10</xdr:row>
      <xdr:rowOff>25400</xdr:rowOff>
    </xdr:from>
    <xdr:ext cx="774000" cy="774000"/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65A6A6EC-878A-FE40-9220-4D1689F93F6B}"/>
            </a:ext>
            <a:ext uri="{147F2762-F138-4A5C-976F-8EAC2B608ADB}">
              <a16:predDERef xmlns:a16="http://schemas.microsoft.com/office/drawing/2014/main" pred="{E85373C0-45A4-49F5-BEC8-C67035DD7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2057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11</xdr:row>
      <xdr:rowOff>25400</xdr:rowOff>
    </xdr:from>
    <xdr:ext cx="774000" cy="774000"/>
    <xdr:pic>
      <xdr:nvPicPr>
        <xdr:cNvPr id="13" name="Picture 12" descr="13,15,13, 0,">
          <a:extLst>
            <a:ext uri="{FF2B5EF4-FFF2-40B4-BE49-F238E27FC236}">
              <a16:creationId xmlns:a16="http://schemas.microsoft.com/office/drawing/2014/main" id="{A918AF2C-6595-F343-B092-B79DBF22B2FE}"/>
            </a:ext>
            <a:ext uri="{147F2762-F138-4A5C-976F-8EAC2B608ADB}">
              <a16:predDERef xmlns:a16="http://schemas.microsoft.com/office/drawing/2014/main" pred="{616AB891-3001-4984-8AB3-25ADA2DA68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2</xdr:col>
      <xdr:colOff>41275</xdr:colOff>
      <xdr:row>11</xdr:row>
      <xdr:rowOff>41275</xdr:rowOff>
    </xdr:from>
    <xdr:ext cx="774000" cy="774000"/>
    <xdr:pic>
      <xdr:nvPicPr>
        <xdr:cNvPr id="14" name="Picture 13" descr="15,15, 0, 0,">
          <a:extLst>
            <a:ext uri="{FF2B5EF4-FFF2-40B4-BE49-F238E27FC236}">
              <a16:creationId xmlns:a16="http://schemas.microsoft.com/office/drawing/2014/main" id="{8CCD156E-0D23-5241-83B0-B7AF8E16099A}"/>
            </a:ext>
            <a:ext uri="{147F2762-F138-4A5C-976F-8EAC2B608ADB}">
              <a16:predDERef xmlns:a16="http://schemas.microsoft.com/office/drawing/2014/main" pred="{5C9E3BE9-6D37-4E86-9EC0-C14D93354B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50800</xdr:colOff>
      <xdr:row>11</xdr:row>
      <xdr:rowOff>25400</xdr:rowOff>
    </xdr:from>
    <xdr:ext cx="774000" cy="774000"/>
    <xdr:pic>
      <xdr:nvPicPr>
        <xdr:cNvPr id="15" name="Picture 14" descr="15,14, 0,14,">
          <a:extLst>
            <a:ext uri="{FF2B5EF4-FFF2-40B4-BE49-F238E27FC236}">
              <a16:creationId xmlns:a16="http://schemas.microsoft.com/office/drawing/2014/main" id="{784A570C-8426-3847-925F-1AFC8DE4D617}"/>
            </a:ext>
            <a:ext uri="{147F2762-F138-4A5C-976F-8EAC2B608ADB}">
              <a16:predDERef xmlns:a16="http://schemas.microsoft.com/office/drawing/2014/main" pred="{1A7268E4-EF71-4E9F-A0CA-555DC386B0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2260600"/>
          <a:ext cx="774000" cy="774000"/>
        </a:xfrm>
        <a:prstGeom prst="rect">
          <a:avLst/>
        </a:prstGeom>
      </xdr:spPr>
    </xdr:pic>
    <xdr:clientData/>
  </xdr:oneCellAnchor>
  <xdr:oneCellAnchor>
    <xdr:from>
      <xdr:col>4</xdr:col>
      <xdr:colOff>57150</xdr:colOff>
      <xdr:row>11</xdr:row>
      <xdr:rowOff>53975</xdr:rowOff>
    </xdr:from>
    <xdr:ext cx="774000" cy="774000"/>
    <xdr:pic>
      <xdr:nvPicPr>
        <xdr:cNvPr id="16" name="Picture 15" descr="16, 0, 1, 1,">
          <a:extLst>
            <a:ext uri="{FF2B5EF4-FFF2-40B4-BE49-F238E27FC236}">
              <a16:creationId xmlns:a16="http://schemas.microsoft.com/office/drawing/2014/main" id="{197AFC45-F3C5-2041-930F-21C2F99DDC46}"/>
            </a:ext>
            <a:ext uri="{147F2762-F138-4A5C-976F-8EAC2B608ADB}">
              <a16:predDERef xmlns:a16="http://schemas.microsoft.com/office/drawing/2014/main" pred="{3CF4CB5C-C118-4BB8-BF8E-2000ABFF08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2289175"/>
          <a:ext cx="774000" cy="774000"/>
        </a:xfrm>
        <a:prstGeom prst="rect">
          <a:avLst/>
        </a:prstGeom>
      </xdr:spPr>
    </xdr:pic>
    <xdr:clientData/>
  </xdr:oneCellAnchor>
  <xdr:oneCellAnchor>
    <xdr:from>
      <xdr:col>5</xdr:col>
      <xdr:colOff>73025</xdr:colOff>
      <xdr:row>11</xdr:row>
      <xdr:rowOff>53975</xdr:rowOff>
    </xdr:from>
    <xdr:ext cx="784583" cy="774000"/>
    <xdr:pic>
      <xdr:nvPicPr>
        <xdr:cNvPr id="17" name="Picture 16" descr=" 0,17, 1, 1,">
          <a:extLst>
            <a:ext uri="{FF2B5EF4-FFF2-40B4-BE49-F238E27FC236}">
              <a16:creationId xmlns:a16="http://schemas.microsoft.com/office/drawing/2014/main" id="{29F8DF8A-C21C-374C-90E5-240B76BDE9D2}"/>
            </a:ext>
            <a:ext uri="{147F2762-F138-4A5C-976F-8EAC2B608ADB}">
              <a16:predDERef xmlns:a16="http://schemas.microsoft.com/office/drawing/2014/main" pred="{5B6E7C5A-A3BF-43AC-9F43-CA9E45E3D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2289175"/>
          <a:ext cx="784583" cy="774000"/>
        </a:xfrm>
        <a:prstGeom prst="rect">
          <a:avLst/>
        </a:prstGeom>
      </xdr:spPr>
    </xdr:pic>
    <xdr:clientData/>
  </xdr:oneCellAnchor>
  <xdr:oneCellAnchor>
    <xdr:from>
      <xdr:col>3</xdr:col>
      <xdr:colOff>41275</xdr:colOff>
      <xdr:row>11</xdr:row>
      <xdr:rowOff>41275</xdr:rowOff>
    </xdr:from>
    <xdr:ext cx="774000" cy="774000"/>
    <xdr:pic>
      <xdr:nvPicPr>
        <xdr:cNvPr id="18" name="Picture 17">
          <a:extLst>
            <a:ext uri="{FF2B5EF4-FFF2-40B4-BE49-F238E27FC236}">
              <a16:creationId xmlns:a16="http://schemas.microsoft.com/office/drawing/2014/main" id="{710EF5D6-D6D7-D64A-BCD9-99C9088BB543}"/>
            </a:ext>
            <a:ext uri="{147F2762-F138-4A5C-976F-8EAC2B608ADB}">
              <a16:predDERef xmlns:a16="http://schemas.microsoft.com/office/drawing/2014/main" pred="{8D94AE0D-25C2-4C2A-A525-0CB4052B4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227647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5</xdr:row>
      <xdr:rowOff>25400</xdr:rowOff>
    </xdr:from>
    <xdr:ext cx="774000" cy="774000"/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FB276B21-718F-CF41-8295-1D1A8EDC1D95}"/>
            </a:ext>
            <a:ext uri="{147F2762-F138-4A5C-976F-8EAC2B608ADB}">
              <a16:predDERef xmlns:a16="http://schemas.microsoft.com/office/drawing/2014/main" pred="{EDCDE642-A7E2-473E-A005-C426C1999E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5</xdr:row>
      <xdr:rowOff>25400</xdr:rowOff>
    </xdr:from>
    <xdr:ext cx="774000" cy="774000"/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00BC5DC-82D2-3440-AFE0-7773CCF03AA2}"/>
            </a:ext>
            <a:ext uri="{147F2762-F138-4A5C-976F-8EAC2B608ADB}">
              <a16:predDERef xmlns:a16="http://schemas.microsoft.com/office/drawing/2014/main" pred="{CA0A4F75-F07D-4A5F-A4ED-AC9B8585A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10414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6</xdr:row>
      <xdr:rowOff>25400</xdr:rowOff>
    </xdr:from>
    <xdr:ext cx="774000" cy="774000"/>
    <xdr:pic>
      <xdr:nvPicPr>
        <xdr:cNvPr id="21" name="Picture 20">
          <a:extLst>
            <a:ext uri="{FF2B5EF4-FFF2-40B4-BE49-F238E27FC236}">
              <a16:creationId xmlns:a16="http://schemas.microsoft.com/office/drawing/2014/main" id="{DF0FBDEA-4BAC-3E45-B829-2A6679AC05D8}"/>
            </a:ext>
            <a:ext uri="{147F2762-F138-4A5C-976F-8EAC2B608ADB}">
              <a16:predDERef xmlns:a16="http://schemas.microsoft.com/office/drawing/2014/main" pred="{A00B6C1A-36AF-4DA9-B1FA-62D7005D18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6</xdr:row>
      <xdr:rowOff>25400</xdr:rowOff>
    </xdr:from>
    <xdr:ext cx="774000" cy="774000"/>
    <xdr:pic>
      <xdr:nvPicPr>
        <xdr:cNvPr id="22" name="Picture 21">
          <a:extLst>
            <a:ext uri="{FF2B5EF4-FFF2-40B4-BE49-F238E27FC236}">
              <a16:creationId xmlns:a16="http://schemas.microsoft.com/office/drawing/2014/main" id="{76F3A5BE-9233-C341-BDEA-31C35B8B3414}"/>
            </a:ext>
            <a:ext uri="{147F2762-F138-4A5C-976F-8EAC2B608ADB}">
              <a16:predDERef xmlns:a16="http://schemas.microsoft.com/office/drawing/2014/main" pred="{15BD58DF-F6CF-4E6F-AF74-3E4136AFC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12446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7</xdr:row>
      <xdr:rowOff>25400</xdr:rowOff>
    </xdr:from>
    <xdr:ext cx="774000" cy="774000"/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F4C2153A-844C-4C45-930E-951CF7831E41}"/>
            </a:ext>
            <a:ext uri="{147F2762-F138-4A5C-976F-8EAC2B608ADB}">
              <a16:predDERef xmlns:a16="http://schemas.microsoft.com/office/drawing/2014/main" pred="{2C7F9C55-6B3B-4A6B-9651-375A2FFF1F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25400</xdr:colOff>
      <xdr:row>8</xdr:row>
      <xdr:rowOff>25400</xdr:rowOff>
    </xdr:from>
    <xdr:ext cx="774000" cy="774000"/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6E90A75-97FC-F14F-A41B-77C653F8BD8E}"/>
            </a:ext>
            <a:ext uri="{147F2762-F138-4A5C-976F-8EAC2B608ADB}">
              <a16:predDERef xmlns:a16="http://schemas.microsoft.com/office/drawing/2014/main" pred="{F7A6118B-A50F-49DB-8AE3-C7D8B89B07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25400</xdr:colOff>
      <xdr:row>7</xdr:row>
      <xdr:rowOff>25400</xdr:rowOff>
    </xdr:from>
    <xdr:ext cx="774000" cy="774000"/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FADFA2D4-0079-754B-9B50-36052EF351B7}"/>
            </a:ext>
            <a:ext uri="{147F2762-F138-4A5C-976F-8EAC2B608ADB}">
              <a16:predDERef xmlns:a16="http://schemas.microsoft.com/office/drawing/2014/main" pred="{5E22D9A7-34EF-4A30-A8C9-6E2001A46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1447800"/>
          <a:ext cx="774000" cy="774000"/>
        </a:xfrm>
        <a:prstGeom prst="rect">
          <a:avLst/>
        </a:prstGeom>
      </xdr:spPr>
    </xdr:pic>
    <xdr:clientData/>
  </xdr:oneCellAnchor>
  <xdr:oneCellAnchor>
    <xdr:from>
      <xdr:col>1</xdr:col>
      <xdr:colOff>38100</xdr:colOff>
      <xdr:row>8</xdr:row>
      <xdr:rowOff>25400</xdr:rowOff>
    </xdr:from>
    <xdr:ext cx="774000" cy="774000"/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7791D832-4380-8048-AAB4-2AD200646B5E}"/>
            </a:ext>
            <a:ext uri="{147F2762-F138-4A5C-976F-8EAC2B608ADB}">
              <a16:predDERef xmlns:a16="http://schemas.microsoft.com/office/drawing/2014/main" pred="{117C7EDF-15DE-45C8-AE7C-53AF74A2916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1651000"/>
          <a:ext cx="774000" cy="774000"/>
        </a:xfrm>
        <a:prstGeom prst="rect">
          <a:avLst/>
        </a:prstGeom>
      </xdr:spPr>
    </xdr:pic>
    <xdr:clientData/>
  </xdr:oneCellAnchor>
  <xdr:oneCellAnchor>
    <xdr:from>
      <xdr:col>10</xdr:col>
      <xdr:colOff>53975</xdr:colOff>
      <xdr:row>11</xdr:row>
      <xdr:rowOff>73025</xdr:rowOff>
    </xdr:from>
    <xdr:ext cx="774000" cy="774000"/>
    <xdr:pic>
      <xdr:nvPicPr>
        <xdr:cNvPr id="27" name="Picture 26" descr="33,33,31,31,">
          <a:extLst>
            <a:ext uri="{FF2B5EF4-FFF2-40B4-BE49-F238E27FC236}">
              <a16:creationId xmlns:a16="http://schemas.microsoft.com/office/drawing/2014/main" id="{497098DE-34B9-8F49-B146-2E70025BEAC4}"/>
            </a:ext>
            <a:ext uri="{147F2762-F138-4A5C-976F-8EAC2B608ADB}">
              <a16:predDERef xmlns:a16="http://schemas.microsoft.com/office/drawing/2014/main" pred="{34DD8AD5-FFE3-4631-9308-C48122B71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85629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11</xdr:col>
      <xdr:colOff>41275</xdr:colOff>
      <xdr:row>11</xdr:row>
      <xdr:rowOff>73025</xdr:rowOff>
    </xdr:from>
    <xdr:ext cx="774000" cy="774000"/>
    <xdr:pic>
      <xdr:nvPicPr>
        <xdr:cNvPr id="28" name="Picture 27" descr="31,31,31,31,">
          <a:extLst>
            <a:ext uri="{FF2B5EF4-FFF2-40B4-BE49-F238E27FC236}">
              <a16:creationId xmlns:a16="http://schemas.microsoft.com/office/drawing/2014/main" id="{1C6DB42C-D10B-454D-A965-C3A661EBAC55}"/>
            </a:ext>
            <a:ext uri="{147F2762-F138-4A5C-976F-8EAC2B608ADB}">
              <a16:predDERef xmlns:a16="http://schemas.microsoft.com/office/drawing/2014/main" pred="{03C2142B-B06E-41B6-B80E-D238BD80F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94011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12</xdr:col>
      <xdr:colOff>88900</xdr:colOff>
      <xdr:row>11</xdr:row>
      <xdr:rowOff>73025</xdr:rowOff>
    </xdr:from>
    <xdr:ext cx="774000" cy="774000"/>
    <xdr:pic>
      <xdr:nvPicPr>
        <xdr:cNvPr id="29" name="Picture 28" descr="31,31,32,32,">
          <a:extLst>
            <a:ext uri="{FF2B5EF4-FFF2-40B4-BE49-F238E27FC236}">
              <a16:creationId xmlns:a16="http://schemas.microsoft.com/office/drawing/2014/main" id="{A160B115-6203-FA48-BA1A-F78DACD34A8E}"/>
            </a:ext>
            <a:ext uri="{147F2762-F138-4A5C-976F-8EAC2B608ADB}">
              <a16:predDERef xmlns:a16="http://schemas.microsoft.com/office/drawing/2014/main" pred="{10461EAA-81AF-4379-8F84-DE868B86B5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10299700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73025</xdr:colOff>
      <xdr:row>11</xdr:row>
      <xdr:rowOff>73025</xdr:rowOff>
    </xdr:from>
    <xdr:ext cx="784583" cy="774000"/>
    <xdr:pic>
      <xdr:nvPicPr>
        <xdr:cNvPr id="30" name="Picture 29" descr=" 0, 0,39,39,">
          <a:extLst>
            <a:ext uri="{FF2B5EF4-FFF2-40B4-BE49-F238E27FC236}">
              <a16:creationId xmlns:a16="http://schemas.microsoft.com/office/drawing/2014/main" id="{121245CD-349D-8E46-9C93-09814D145859}"/>
            </a:ext>
            <a:ext uri="{147F2762-F138-4A5C-976F-8EAC2B608ADB}">
              <a16:predDERef xmlns:a16="http://schemas.microsoft.com/office/drawing/2014/main" pred="{ABA8BEB4-30E1-4C2E-9AE4-4F1385F71C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l="25494" t="50593" r="62450"/>
        <a:stretch/>
      </xdr:blipFill>
      <xdr:spPr>
        <a:xfrm>
          <a:off x="11985625" y="2308225"/>
          <a:ext cx="784583" cy="774000"/>
        </a:xfrm>
        <a:prstGeom prst="rect">
          <a:avLst/>
        </a:prstGeom>
      </xdr:spPr>
    </xdr:pic>
    <xdr:clientData/>
  </xdr:oneCellAnchor>
  <xdr:oneCellAnchor>
    <xdr:from>
      <xdr:col>15</xdr:col>
      <xdr:colOff>41275</xdr:colOff>
      <xdr:row>11</xdr:row>
      <xdr:rowOff>73025</xdr:rowOff>
    </xdr:from>
    <xdr:ext cx="774000" cy="774000"/>
    <xdr:pic>
      <xdr:nvPicPr>
        <xdr:cNvPr id="31" name="Picture 30" descr=" 0, 0,40,40,">
          <a:extLst>
            <a:ext uri="{FF2B5EF4-FFF2-40B4-BE49-F238E27FC236}">
              <a16:creationId xmlns:a16="http://schemas.microsoft.com/office/drawing/2014/main" id="{CBA9FF91-BDB3-2642-841B-03047FF8AB5B}"/>
            </a:ext>
            <a:ext uri="{147F2762-F138-4A5C-976F-8EAC2B608ADB}">
              <a16:predDERef xmlns:a16="http://schemas.microsoft.com/office/drawing/2014/main" pred="{C129BDC3-A8DE-4014-9000-5EEA57B468E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0"/>
        <a:srcRect r="88235" b="52157"/>
        <a:stretch/>
      </xdr:blipFill>
      <xdr:spPr>
        <a:xfrm>
          <a:off x="12804775" y="2308225"/>
          <a:ext cx="774000" cy="774000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9</xdr:row>
      <xdr:rowOff>0</xdr:rowOff>
    </xdr:from>
    <xdr:ext cx="786484" cy="774000"/>
    <xdr:pic>
      <xdr:nvPicPr>
        <xdr:cNvPr id="32" name="Picture 31" descr=" 8, 8, 7, 7,">
          <a:extLst>
            <a:ext uri="{FF2B5EF4-FFF2-40B4-BE49-F238E27FC236}">
              <a16:creationId xmlns:a16="http://schemas.microsoft.com/office/drawing/2014/main" id="{7340716D-F0B5-1E4E-A73E-3D92C76D7CCE}"/>
            </a:ext>
            <a:ext uri="{147F2762-F138-4A5C-976F-8EAC2B608ADB}">
              <a16:predDERef xmlns:a16="http://schemas.microsoft.com/office/drawing/2014/main" pred="{D8057559-7588-43F5-8DAD-715F1DBFD4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0" y="1828800"/>
          <a:ext cx="786484" cy="774000"/>
        </a:xfrm>
        <a:prstGeom prst="rect">
          <a:avLst/>
        </a:prstGeom>
      </xdr:spPr>
    </xdr:pic>
    <xdr:clientData/>
  </xdr:oneCellAnchor>
  <xdr:oneCellAnchor>
    <xdr:from>
      <xdr:col>13</xdr:col>
      <xdr:colOff>73025</xdr:colOff>
      <xdr:row>11</xdr:row>
      <xdr:rowOff>73025</xdr:rowOff>
    </xdr:from>
    <xdr:ext cx="784584" cy="774000"/>
    <xdr:pic>
      <xdr:nvPicPr>
        <xdr:cNvPr id="33" name="Picture 32" descr=" 0, 0,38,38,">
          <a:extLst>
            <a:ext uri="{FF2B5EF4-FFF2-40B4-BE49-F238E27FC236}">
              <a16:creationId xmlns:a16="http://schemas.microsoft.com/office/drawing/2014/main" id="{CC4FCA4E-7437-6544-96B3-1DBCFC2D4BF8}"/>
            </a:ext>
            <a:ext uri="{147F2762-F138-4A5C-976F-8EAC2B608ADB}">
              <a16:predDERef xmlns:a16="http://schemas.microsoft.com/office/drawing/2014/main" pred="{647045F0-4874-44D2-AE55-1D49124E2E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2"/>
        <a:srcRect r="87800" b="51200"/>
        <a:stretch/>
      </xdr:blipFill>
      <xdr:spPr>
        <a:xfrm>
          <a:off x="11134725" y="2308225"/>
          <a:ext cx="784584" cy="774000"/>
        </a:xfrm>
        <a:prstGeom prst="rect">
          <a:avLst/>
        </a:prstGeom>
      </xdr:spPr>
    </xdr:pic>
    <xdr:clientData/>
  </xdr:oneCellAnchor>
  <xdr:oneCellAnchor>
    <xdr:from>
      <xdr:col>0</xdr:col>
      <xdr:colOff>47625</xdr:colOff>
      <xdr:row>12</xdr:row>
      <xdr:rowOff>47625</xdr:rowOff>
    </xdr:from>
    <xdr:ext cx="793750" cy="785813"/>
    <xdr:pic>
      <xdr:nvPicPr>
        <xdr:cNvPr id="34" name="Picture 33" descr="Item:Key1,Pos:1">
          <a:extLst>
            <a:ext uri="{FF2B5EF4-FFF2-40B4-BE49-F238E27FC236}">
              <a16:creationId xmlns:a16="http://schemas.microsoft.com/office/drawing/2014/main" id="{2CEADCFE-4096-3B41-9957-DF0803D2F305}"/>
            </a:ext>
            <a:ext uri="{147F2762-F138-4A5C-976F-8EAC2B608ADB}">
              <a16:predDERef xmlns:a16="http://schemas.microsoft.com/office/drawing/2014/main" pred="{18D373E6-0271-4680-A0BC-9E488FA73DC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r="87342"/>
        <a:stretch/>
      </xdr:blipFill>
      <xdr:spPr>
        <a:xfrm>
          <a:off x="47625" y="2486025"/>
          <a:ext cx="793750" cy="785813"/>
        </a:xfrm>
        <a:prstGeom prst="rect">
          <a:avLst/>
        </a:prstGeom>
      </xdr:spPr>
    </xdr:pic>
    <xdr:clientData/>
  </xdr:oneCellAnchor>
  <xdr:oneCellAnchor>
    <xdr:from>
      <xdr:col>1</xdr:col>
      <xdr:colOff>47625</xdr:colOff>
      <xdr:row>12</xdr:row>
      <xdr:rowOff>47624</xdr:rowOff>
    </xdr:from>
    <xdr:ext cx="777875" cy="777876"/>
    <xdr:pic>
      <xdr:nvPicPr>
        <xdr:cNvPr id="35" name="Picture 34" descr="Item:WoodenBarrier,Pos:1">
          <a:extLst>
            <a:ext uri="{FF2B5EF4-FFF2-40B4-BE49-F238E27FC236}">
              <a16:creationId xmlns:a16="http://schemas.microsoft.com/office/drawing/2014/main" id="{5F73F075-A1FC-BD42-8AF9-5A20C35B2629}"/>
            </a:ext>
            <a:ext uri="{147F2762-F138-4A5C-976F-8EAC2B608ADB}">
              <a16:predDERef xmlns:a16="http://schemas.microsoft.com/office/drawing/2014/main" pred="{453FD2D8-2FCD-4D20-8965-A3CEC4CDEC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7500"/>
        <a:stretch/>
      </xdr:blipFill>
      <xdr:spPr>
        <a:xfrm>
          <a:off x="898525" y="2486024"/>
          <a:ext cx="777875" cy="777876"/>
        </a:xfrm>
        <a:prstGeom prst="rect">
          <a:avLst/>
        </a:prstGeom>
      </xdr:spPr>
    </xdr:pic>
    <xdr:clientData/>
  </xdr:oneCellAnchor>
  <xdr:oneCellAnchor>
    <xdr:from>
      <xdr:col>2</xdr:col>
      <xdr:colOff>23091</xdr:colOff>
      <xdr:row>12</xdr:row>
      <xdr:rowOff>34638</xdr:rowOff>
    </xdr:from>
    <xdr:ext cx="819727" cy="796635"/>
    <xdr:pic>
      <xdr:nvPicPr>
        <xdr:cNvPr id="36" name="Picture 35" descr="Item:TrapDoor,Pos:1">
          <a:extLst>
            <a:ext uri="{FF2B5EF4-FFF2-40B4-BE49-F238E27FC236}">
              <a16:creationId xmlns:a16="http://schemas.microsoft.com/office/drawing/2014/main" id="{7C1EA5F9-FD6C-DF49-A673-74A9D3AB3C14}"/>
            </a:ext>
            <a:ext uri="{147F2762-F138-4A5C-976F-8EAC2B608ADB}">
              <a16:predDERef xmlns:a16="http://schemas.microsoft.com/office/drawing/2014/main" pred="{E71BA0DD-D30D-41FA-A873-218D8D093CB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5"/>
        <a:srcRect l="26621" r="49147" b="52901"/>
        <a:stretch/>
      </xdr:blipFill>
      <xdr:spPr>
        <a:xfrm>
          <a:off x="1724891" y="2473038"/>
          <a:ext cx="819727" cy="796635"/>
        </a:xfrm>
        <a:prstGeom prst="rect">
          <a:avLst/>
        </a:prstGeom>
      </xdr:spPr>
    </xdr:pic>
    <xdr:clientData/>
  </xdr:oneCellAnchor>
  <xdr:oneCellAnchor>
    <xdr:from>
      <xdr:col>3</xdr:col>
      <xdr:colOff>34636</xdr:colOff>
      <xdr:row>12</xdr:row>
      <xdr:rowOff>34636</xdr:rowOff>
    </xdr:from>
    <xdr:ext cx="808185" cy="808183"/>
    <xdr:pic>
      <xdr:nvPicPr>
        <xdr:cNvPr id="37" name="Picture 36" descr="Item:Punji,Pos:1">
          <a:extLst>
            <a:ext uri="{FF2B5EF4-FFF2-40B4-BE49-F238E27FC236}">
              <a16:creationId xmlns:a16="http://schemas.microsoft.com/office/drawing/2014/main" id="{C5013BCF-1E4E-4F48-8396-2B9E52E3FFDF}"/>
            </a:ext>
            <a:ext uri="{147F2762-F138-4A5C-976F-8EAC2B608ADB}">
              <a16:predDERef xmlns:a16="http://schemas.microsoft.com/office/drawing/2014/main" pred="{B7F71A4F-6522-46A7-BAE5-F318D9C2557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l="66667"/>
        <a:stretch/>
      </xdr:blipFill>
      <xdr:spPr>
        <a:xfrm>
          <a:off x="2587336" y="2473036"/>
          <a:ext cx="808185" cy="808183"/>
        </a:xfrm>
        <a:prstGeom prst="rect">
          <a:avLst/>
        </a:prstGeom>
      </xdr:spPr>
    </xdr:pic>
    <xdr:clientData/>
  </xdr:oneCellAnchor>
  <xdr:oneCellAnchor>
    <xdr:from>
      <xdr:col>4</xdr:col>
      <xdr:colOff>46182</xdr:colOff>
      <xdr:row>12</xdr:row>
      <xdr:rowOff>34636</xdr:rowOff>
    </xdr:from>
    <xdr:ext cx="811068" cy="808182"/>
    <xdr:pic>
      <xdr:nvPicPr>
        <xdr:cNvPr id="38" name="Picture 37" descr="Item:Hammer,Pos:1">
          <a:extLst>
            <a:ext uri="{FF2B5EF4-FFF2-40B4-BE49-F238E27FC236}">
              <a16:creationId xmlns:a16="http://schemas.microsoft.com/office/drawing/2014/main" id="{BAF82BCE-D7E4-084D-B393-AD7E676439AF}"/>
            </a:ext>
            <a:ext uri="{147F2762-F138-4A5C-976F-8EAC2B608ADB}">
              <a16:predDERef xmlns:a16="http://schemas.microsoft.com/office/drawing/2014/main" pred="{78E90CD8-928A-43E8-A331-12B46A95AD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500"/>
        <a:stretch/>
      </xdr:blipFill>
      <xdr:spPr>
        <a:xfrm>
          <a:off x="3449782" y="2473036"/>
          <a:ext cx="811068" cy="808182"/>
        </a:xfrm>
        <a:prstGeom prst="rect">
          <a:avLst/>
        </a:prstGeom>
      </xdr:spPr>
    </xdr:pic>
    <xdr:clientData/>
  </xdr:oneCellAnchor>
  <xdr:oneCellAnchor>
    <xdr:from>
      <xdr:col>5</xdr:col>
      <xdr:colOff>34636</xdr:colOff>
      <xdr:row>12</xdr:row>
      <xdr:rowOff>34635</xdr:rowOff>
    </xdr:from>
    <xdr:ext cx="785091" cy="808183"/>
    <xdr:pic>
      <xdr:nvPicPr>
        <xdr:cNvPr id="39" name="Picture 38" descr="Item:Amulet,Pos:1">
          <a:extLst>
            <a:ext uri="{FF2B5EF4-FFF2-40B4-BE49-F238E27FC236}">
              <a16:creationId xmlns:a16="http://schemas.microsoft.com/office/drawing/2014/main" id="{33A10A15-271A-4B46-BBB7-22BB38325E1D}"/>
            </a:ext>
            <a:ext uri="{147F2762-F138-4A5C-976F-8EAC2B608ADB}">
              <a16:predDERef xmlns:a16="http://schemas.microsoft.com/office/drawing/2014/main" pred="{C54394EA-F694-4C6B-80BB-FC0688E2713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857"/>
        <a:stretch/>
      </xdr:blipFill>
      <xdr:spPr>
        <a:xfrm>
          <a:off x="42891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6</xdr:col>
      <xdr:colOff>34636</xdr:colOff>
      <xdr:row>12</xdr:row>
      <xdr:rowOff>34635</xdr:rowOff>
    </xdr:from>
    <xdr:ext cx="830147" cy="808183"/>
    <xdr:pic>
      <xdr:nvPicPr>
        <xdr:cNvPr id="40" name="Picture 39" descr="Item:MysteryCrate,Pos:1,ItemType:17">
          <a:extLst>
            <a:ext uri="{FF2B5EF4-FFF2-40B4-BE49-F238E27FC236}">
              <a16:creationId xmlns:a16="http://schemas.microsoft.com/office/drawing/2014/main" id="{82888F4B-23AD-1C41-9A01-0D77482ED80F}"/>
            </a:ext>
            <a:ext uri="{147F2762-F138-4A5C-976F-8EAC2B608ADB}">
              <a16:predDERef xmlns:a16="http://schemas.microsoft.com/office/drawing/2014/main" pred="{82EA3962-8795-41B2-8718-95B9C261D8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r="87324"/>
        <a:stretch/>
      </xdr:blipFill>
      <xdr:spPr>
        <a:xfrm>
          <a:off x="5140036" y="2473035"/>
          <a:ext cx="830147" cy="808183"/>
        </a:xfrm>
        <a:prstGeom prst="rect">
          <a:avLst/>
        </a:prstGeom>
      </xdr:spPr>
    </xdr:pic>
    <xdr:clientData/>
  </xdr:oneCellAnchor>
  <xdr:oneCellAnchor>
    <xdr:from>
      <xdr:col>7</xdr:col>
      <xdr:colOff>34637</xdr:colOff>
      <xdr:row>12</xdr:row>
      <xdr:rowOff>23090</xdr:rowOff>
    </xdr:from>
    <xdr:ext cx="785091" cy="819727"/>
    <xdr:pic>
      <xdr:nvPicPr>
        <xdr:cNvPr id="41" name="Picture 40" descr="Item:PinchBar,Pos:1">
          <a:extLst>
            <a:ext uri="{FF2B5EF4-FFF2-40B4-BE49-F238E27FC236}">
              <a16:creationId xmlns:a16="http://schemas.microsoft.com/office/drawing/2014/main" id="{512056D6-F242-7C49-ADA6-220562FB36E3}"/>
            </a:ext>
            <a:ext uri="{147F2762-F138-4A5C-976F-8EAC2B608ADB}">
              <a16:predDERef xmlns:a16="http://schemas.microsoft.com/office/drawing/2014/main" pred="{DF35DDEA-6273-44A3-8C47-4002D1E9D3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r="88028"/>
        <a:stretch/>
      </xdr:blipFill>
      <xdr:spPr>
        <a:xfrm>
          <a:off x="5990937" y="2461490"/>
          <a:ext cx="785091" cy="819727"/>
        </a:xfrm>
        <a:prstGeom prst="rect">
          <a:avLst/>
        </a:prstGeom>
      </xdr:spPr>
    </xdr:pic>
    <xdr:clientData/>
  </xdr:oneCellAnchor>
  <xdr:oneCellAnchor>
    <xdr:from>
      <xdr:col>8</xdr:col>
      <xdr:colOff>34637</xdr:colOff>
      <xdr:row>12</xdr:row>
      <xdr:rowOff>34636</xdr:rowOff>
    </xdr:from>
    <xdr:ext cx="822613" cy="805873"/>
    <xdr:pic>
      <xdr:nvPicPr>
        <xdr:cNvPr id="42" name="Picture 41" descr="Item:LockedDoor,Pos:1">
          <a:extLst>
            <a:ext uri="{FF2B5EF4-FFF2-40B4-BE49-F238E27FC236}">
              <a16:creationId xmlns:a16="http://schemas.microsoft.com/office/drawing/2014/main" id="{CFEBBC3D-3634-2F40-9CC4-11C1AF973C20}"/>
            </a:ext>
            <a:ext uri="{147F2762-F138-4A5C-976F-8EAC2B608ADB}">
              <a16:predDERef xmlns:a16="http://schemas.microsoft.com/office/drawing/2014/main" pred="{CC320288-4FC6-4FBC-A17F-E5F87E857FA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79656"/>
        <a:stretch/>
      </xdr:blipFill>
      <xdr:spPr>
        <a:xfrm>
          <a:off x="6841837" y="2473036"/>
          <a:ext cx="822613" cy="805873"/>
        </a:xfrm>
        <a:prstGeom prst="rect">
          <a:avLst/>
        </a:prstGeom>
      </xdr:spPr>
    </xdr:pic>
    <xdr:clientData/>
  </xdr:oneCellAnchor>
  <xdr:oneCellAnchor>
    <xdr:from>
      <xdr:col>9</xdr:col>
      <xdr:colOff>46182</xdr:colOff>
      <xdr:row>12</xdr:row>
      <xdr:rowOff>23092</xdr:rowOff>
    </xdr:from>
    <xdr:ext cx="773545" cy="818444"/>
    <xdr:pic>
      <xdr:nvPicPr>
        <xdr:cNvPr id="43" name="Picture 42" descr="Item:Potion,Pos:1">
          <a:extLst>
            <a:ext uri="{FF2B5EF4-FFF2-40B4-BE49-F238E27FC236}">
              <a16:creationId xmlns:a16="http://schemas.microsoft.com/office/drawing/2014/main" id="{98B4FF9E-EFEE-024E-92C9-A58DC0A16111}"/>
            </a:ext>
            <a:ext uri="{147F2762-F138-4A5C-976F-8EAC2B608ADB}">
              <a16:predDERef xmlns:a16="http://schemas.microsoft.com/office/drawing/2014/main" pred="{4A0FBF49-F698-4456-98E1-403C4184F71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9498"/>
        <a:stretch/>
      </xdr:blipFill>
      <xdr:spPr>
        <a:xfrm>
          <a:off x="7704282" y="2461492"/>
          <a:ext cx="773545" cy="818444"/>
        </a:xfrm>
        <a:prstGeom prst="rect">
          <a:avLst/>
        </a:prstGeom>
      </xdr:spPr>
    </xdr:pic>
    <xdr:clientData/>
  </xdr:oneCellAnchor>
  <xdr:oneCellAnchor>
    <xdr:from>
      <xdr:col>10</xdr:col>
      <xdr:colOff>23091</xdr:colOff>
      <xdr:row>12</xdr:row>
      <xdr:rowOff>34635</xdr:rowOff>
    </xdr:from>
    <xdr:ext cx="796637" cy="808183"/>
    <xdr:pic>
      <xdr:nvPicPr>
        <xdr:cNvPr id="44" name="Picture 43" descr="Item:Anchor,Pos:1">
          <a:extLst>
            <a:ext uri="{FF2B5EF4-FFF2-40B4-BE49-F238E27FC236}">
              <a16:creationId xmlns:a16="http://schemas.microsoft.com/office/drawing/2014/main" id="{88F517E5-827C-1D4B-B62D-FD3986E77838}"/>
            </a:ext>
            <a:ext uri="{147F2762-F138-4A5C-976F-8EAC2B608ADB}">
              <a16:predDERef xmlns:a16="http://schemas.microsoft.com/office/drawing/2014/main" pred="{8FD7F02D-FA49-47A9-946A-30141E6C6C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679"/>
        <a:stretch/>
      </xdr:blipFill>
      <xdr:spPr>
        <a:xfrm>
          <a:off x="8532091" y="2473035"/>
          <a:ext cx="796637" cy="808183"/>
        </a:xfrm>
        <a:prstGeom prst="rect">
          <a:avLst/>
        </a:prstGeom>
      </xdr:spPr>
    </xdr:pic>
    <xdr:clientData/>
  </xdr:oneCellAnchor>
  <xdr:oneCellAnchor>
    <xdr:from>
      <xdr:col>11</xdr:col>
      <xdr:colOff>34636</xdr:colOff>
      <xdr:row>12</xdr:row>
      <xdr:rowOff>34635</xdr:rowOff>
    </xdr:from>
    <xdr:ext cx="785091" cy="808183"/>
    <xdr:pic>
      <xdr:nvPicPr>
        <xdr:cNvPr id="45" name="Picture 44" descr="Item:Flame,Pos:1">
          <a:extLst>
            <a:ext uri="{FF2B5EF4-FFF2-40B4-BE49-F238E27FC236}">
              <a16:creationId xmlns:a16="http://schemas.microsoft.com/office/drawing/2014/main" id="{49C4D295-96A3-0B42-88FD-A2BA67832F3C}"/>
            </a:ext>
            <a:ext uri="{147F2762-F138-4A5C-976F-8EAC2B608ADB}">
              <a16:predDERef xmlns:a16="http://schemas.microsoft.com/office/drawing/2014/main" pred="{60EFC18B-0DBE-4D2A-8A3F-7CF718B396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3810"/>
        <a:stretch/>
      </xdr:blipFill>
      <xdr:spPr>
        <a:xfrm>
          <a:off x="9394536" y="2473035"/>
          <a:ext cx="785091" cy="808183"/>
        </a:xfrm>
        <a:prstGeom prst="rect">
          <a:avLst/>
        </a:prstGeom>
      </xdr:spPr>
    </xdr:pic>
    <xdr:clientData/>
  </xdr:oneCellAnchor>
  <xdr:oneCellAnchor>
    <xdr:from>
      <xdr:col>22</xdr:col>
      <xdr:colOff>20525</xdr:colOff>
      <xdr:row>11</xdr:row>
      <xdr:rowOff>20525</xdr:rowOff>
    </xdr:from>
    <xdr:ext cx="1612835" cy="1646553"/>
    <xdr:pic>
      <xdr:nvPicPr>
        <xdr:cNvPr id="46" name="Picture 45" descr="Item:Trebochet_Left,Pos:1">
          <a:extLst>
            <a:ext uri="{FF2B5EF4-FFF2-40B4-BE49-F238E27FC236}">
              <a16:creationId xmlns:a16="http://schemas.microsoft.com/office/drawing/2014/main" id="{77ECE7E0-784E-044E-9151-0F34395485C1}"/>
            </a:ext>
            <a:ext uri="{147F2762-F138-4A5C-976F-8EAC2B608ADB}">
              <a16:predDERef xmlns:a16="http://schemas.microsoft.com/office/drawing/2014/main" pred="{EC7EC956-4561-47F9-A416-2F9815A5AF6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80580"/>
        <a:stretch/>
      </xdr:blipFill>
      <xdr:spPr>
        <a:xfrm>
          <a:off x="18740325" y="2255725"/>
          <a:ext cx="1612835" cy="1646553"/>
        </a:xfrm>
        <a:prstGeom prst="rect">
          <a:avLst/>
        </a:prstGeom>
      </xdr:spPr>
    </xdr:pic>
    <xdr:clientData/>
  </xdr:oneCellAnchor>
  <xdr:oneCellAnchor>
    <xdr:from>
      <xdr:col>24</xdr:col>
      <xdr:colOff>37200</xdr:colOff>
      <xdr:row>11</xdr:row>
      <xdr:rowOff>34634</xdr:rowOff>
    </xdr:from>
    <xdr:ext cx="1624383" cy="1657048"/>
    <xdr:pic>
      <xdr:nvPicPr>
        <xdr:cNvPr id="47" name="Picture 46" descr="Item:Trebochet_Right,Pos:1">
          <a:extLst>
            <a:ext uri="{FF2B5EF4-FFF2-40B4-BE49-F238E27FC236}">
              <a16:creationId xmlns:a16="http://schemas.microsoft.com/office/drawing/2014/main" id="{7C5C1096-4204-B74E-93A8-AD17A219ACFA}"/>
            </a:ext>
            <a:ext uri="{147F2762-F138-4A5C-976F-8EAC2B608ADB}">
              <a16:predDERef xmlns:a16="http://schemas.microsoft.com/office/drawing/2014/main" pred="{134F9854-6F5E-4D46-9740-E0B601ABC10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0563"/>
        <a:stretch/>
      </xdr:blipFill>
      <xdr:spPr>
        <a:xfrm>
          <a:off x="20458800" y="2269834"/>
          <a:ext cx="1624383" cy="1657048"/>
        </a:xfrm>
        <a:prstGeom prst="rect">
          <a:avLst/>
        </a:prstGeom>
      </xdr:spPr>
    </xdr:pic>
    <xdr:clientData/>
  </xdr:oneCellAnchor>
  <xdr:oneCellAnchor>
    <xdr:from>
      <xdr:col>18</xdr:col>
      <xdr:colOff>51313</xdr:colOff>
      <xdr:row>11</xdr:row>
      <xdr:rowOff>48745</xdr:rowOff>
    </xdr:from>
    <xdr:ext cx="1664470" cy="808183"/>
    <xdr:pic>
      <xdr:nvPicPr>
        <xdr:cNvPr id="48" name="Picture 47" descr="Item:SwingyThing,Pos:1">
          <a:extLst>
            <a:ext uri="{FF2B5EF4-FFF2-40B4-BE49-F238E27FC236}">
              <a16:creationId xmlns:a16="http://schemas.microsoft.com/office/drawing/2014/main" id="{CA240844-F5C8-E349-9FB9-E263248F845C}"/>
            </a:ext>
            <a:ext uri="{147F2762-F138-4A5C-976F-8EAC2B608ADB}">
              <a16:predDERef xmlns:a16="http://schemas.microsoft.com/office/drawing/2014/main" pred="{C7268448-309A-4769-8ED5-9905A8F12E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6560" b="47368"/>
        <a:stretch/>
      </xdr:blipFill>
      <xdr:spPr>
        <a:xfrm>
          <a:off x="15367513" y="2283945"/>
          <a:ext cx="1664470" cy="808183"/>
        </a:xfrm>
        <a:prstGeom prst="rect">
          <a:avLst/>
        </a:prstGeom>
      </xdr:spPr>
    </xdr:pic>
    <xdr:clientData/>
  </xdr:oneCellAnchor>
  <xdr:oneCellAnchor>
    <xdr:from>
      <xdr:col>12</xdr:col>
      <xdr:colOff>23091</xdr:colOff>
      <xdr:row>12</xdr:row>
      <xdr:rowOff>34636</xdr:rowOff>
    </xdr:from>
    <xdr:ext cx="796636" cy="808182"/>
    <xdr:pic>
      <xdr:nvPicPr>
        <xdr:cNvPr id="49" name="Picture 48" descr="Item:Sword,Pos:1">
          <a:extLst>
            <a:ext uri="{FF2B5EF4-FFF2-40B4-BE49-F238E27FC236}">
              <a16:creationId xmlns:a16="http://schemas.microsoft.com/office/drawing/2014/main" id="{C2FCD583-CE99-AE46-A106-BC6D884C21EC}"/>
            </a:ext>
            <a:ext uri="{147F2762-F138-4A5C-976F-8EAC2B608ADB}">
              <a16:predDERef xmlns:a16="http://schemas.microsoft.com/office/drawing/2014/main" pred="{CAFC849F-1721-4DD3-BC5B-983DD9F553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7679"/>
        <a:stretch/>
      </xdr:blipFill>
      <xdr:spPr>
        <a:xfrm>
          <a:off x="10233891" y="2473036"/>
          <a:ext cx="796636" cy="808182"/>
        </a:xfrm>
        <a:prstGeom prst="rect">
          <a:avLst/>
        </a:prstGeom>
      </xdr:spPr>
    </xdr:pic>
    <xdr:clientData/>
  </xdr:oneCellAnchor>
  <xdr:oneCellAnchor>
    <xdr:from>
      <xdr:col>13</xdr:col>
      <xdr:colOff>23090</xdr:colOff>
      <xdr:row>12</xdr:row>
      <xdr:rowOff>34636</xdr:rowOff>
    </xdr:from>
    <xdr:ext cx="808183" cy="796638"/>
    <xdr:pic>
      <xdr:nvPicPr>
        <xdr:cNvPr id="50" name="Picture 49" descr="Item:Chakana,Pos:1">
          <a:extLst>
            <a:ext uri="{FF2B5EF4-FFF2-40B4-BE49-F238E27FC236}">
              <a16:creationId xmlns:a16="http://schemas.microsoft.com/office/drawing/2014/main" id="{2B359684-6CB4-6749-8EA1-6FF62212CD85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1084790" y="2473036"/>
          <a:ext cx="808183" cy="796638"/>
        </a:xfrm>
        <a:prstGeom prst="rect">
          <a:avLst/>
        </a:prstGeom>
      </xdr:spPr>
    </xdr:pic>
    <xdr:clientData/>
  </xdr:oneCellAnchor>
  <xdr:oneCellAnchor>
    <xdr:from>
      <xdr:col>14</xdr:col>
      <xdr:colOff>48747</xdr:colOff>
      <xdr:row>12</xdr:row>
      <xdr:rowOff>34635</xdr:rowOff>
    </xdr:from>
    <xdr:ext cx="796637" cy="796638"/>
    <xdr:pic>
      <xdr:nvPicPr>
        <xdr:cNvPr id="51" name="Picture 50" descr="Item:Lever_LH,Pos:1,Data:1">
          <a:extLst>
            <a:ext uri="{FF2B5EF4-FFF2-40B4-BE49-F238E27FC236}">
              <a16:creationId xmlns:a16="http://schemas.microsoft.com/office/drawing/2014/main" id="{99E47EDB-ECD7-3648-A1F1-1A243BC3CCA4}"/>
            </a:ext>
            <a:ext uri="{147F2762-F138-4A5C-976F-8EAC2B608ADB}">
              <a16:predDERef xmlns:a16="http://schemas.microsoft.com/office/drawing/2014/main" pred="{4A72CFC7-9081-4F30-997C-FF05DA9183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1961347" y="2473035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25658</xdr:colOff>
      <xdr:row>12</xdr:row>
      <xdr:rowOff>20526</xdr:rowOff>
    </xdr:from>
    <xdr:ext cx="806593" cy="797919"/>
    <xdr:pic>
      <xdr:nvPicPr>
        <xdr:cNvPr id="52" name="Picture 51" descr="Item:Lever_Portal_Closed,Pos:2">
          <a:extLst>
            <a:ext uri="{FF2B5EF4-FFF2-40B4-BE49-F238E27FC236}">
              <a16:creationId xmlns:a16="http://schemas.microsoft.com/office/drawing/2014/main" id="{2ADE76B1-B646-2544-A630-E9F8088A2C71}"/>
            </a:ext>
            <a:ext uri="{147F2762-F138-4A5C-976F-8EAC2B608ADB}">
              <a16:predDERef xmlns:a16="http://schemas.microsoft.com/office/drawing/2014/main" pred="{2438D864-DFDC-4D89-AF2B-DA2C4A44E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40058" y="2458926"/>
          <a:ext cx="806593" cy="797919"/>
        </a:xfrm>
        <a:prstGeom prst="rect">
          <a:avLst/>
        </a:prstGeom>
      </xdr:spPr>
    </xdr:pic>
    <xdr:clientData/>
  </xdr:oneCellAnchor>
  <xdr:oneCellAnchor>
    <xdr:from>
      <xdr:col>17</xdr:col>
      <xdr:colOff>51315</xdr:colOff>
      <xdr:row>12</xdr:row>
      <xdr:rowOff>20525</xdr:rowOff>
    </xdr:from>
    <xdr:ext cx="783809" cy="783809"/>
    <xdr:pic>
      <xdr:nvPicPr>
        <xdr:cNvPr id="53" name="Picture 52" descr="Item:Lever_Portal_Open,Pos:2">
          <a:extLst>
            <a:ext uri="{FF2B5EF4-FFF2-40B4-BE49-F238E27FC236}">
              <a16:creationId xmlns:a16="http://schemas.microsoft.com/office/drawing/2014/main" id="{B57FA764-A4C1-304E-857E-1FED80214039}"/>
            </a:ext>
            <a:ext uri="{147F2762-F138-4A5C-976F-8EAC2B608ADB}">
              <a16:predDERef xmlns:a16="http://schemas.microsoft.com/office/drawing/2014/main" pred="{120D4F83-A96C-4916-A7EA-5319E29579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4516615" y="2458925"/>
          <a:ext cx="783809" cy="783809"/>
        </a:xfrm>
        <a:prstGeom prst="rect">
          <a:avLst/>
        </a:prstGeom>
      </xdr:spPr>
    </xdr:pic>
    <xdr:clientData/>
  </xdr:oneCellAnchor>
  <xdr:oneCellAnchor>
    <xdr:from>
      <xdr:col>26</xdr:col>
      <xdr:colOff>42333</xdr:colOff>
      <xdr:row>11</xdr:row>
      <xdr:rowOff>56444</xdr:rowOff>
    </xdr:from>
    <xdr:ext cx="2476499" cy="1650065"/>
    <xdr:pic>
      <xdr:nvPicPr>
        <xdr:cNvPr id="54" name="Picture 53" descr="Item:SwingingVine">
          <a:extLst>
            <a:ext uri="{FF2B5EF4-FFF2-40B4-BE49-F238E27FC236}">
              <a16:creationId xmlns:a16="http://schemas.microsoft.com/office/drawing/2014/main" id="{9A9E667E-D04E-C54C-A14A-000A8CD4B422}"/>
            </a:ext>
            <a:ext uri="{147F2762-F138-4A5C-976F-8EAC2B608ADB}">
              <a16:predDERef xmlns:a16="http://schemas.microsoft.com/office/drawing/2014/main" pred="{3AB5CA58-705D-4BFB-ABD4-CF992E3EC2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3"/>
        <a:stretch>
          <a:fillRect/>
        </a:stretch>
      </xdr:blipFill>
      <xdr:spPr>
        <a:xfrm>
          <a:off x="22165733" y="2291644"/>
          <a:ext cx="2476499" cy="1650065"/>
        </a:xfrm>
        <a:prstGeom prst="rect">
          <a:avLst/>
        </a:prstGeom>
      </xdr:spPr>
    </xdr:pic>
    <xdr:clientData/>
  </xdr:oneCellAnchor>
  <xdr:oneCellAnchor>
    <xdr:from>
      <xdr:col>18</xdr:col>
      <xdr:colOff>70556</xdr:colOff>
      <xdr:row>12</xdr:row>
      <xdr:rowOff>28222</xdr:rowOff>
    </xdr:from>
    <xdr:ext cx="786695" cy="776112"/>
    <xdr:pic>
      <xdr:nvPicPr>
        <xdr:cNvPr id="55" name="Picture 54" descr="Item:Lever_Portal_Auto_Closed,Pos:2,Data:256">
          <a:extLst>
            <a:ext uri="{FF2B5EF4-FFF2-40B4-BE49-F238E27FC236}">
              <a16:creationId xmlns:a16="http://schemas.microsoft.com/office/drawing/2014/main" id="{66C63319-5C5E-2A4A-BB61-1665BB8D5BF6}"/>
            </a:ext>
            <a:ext uri="{147F2762-F138-4A5C-976F-8EAC2B608ADB}">
              <a16:predDERef xmlns:a16="http://schemas.microsoft.com/office/drawing/2014/main" pred="{13191F5E-BE94-4399-880F-AAC1751977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86756" y="2466622"/>
          <a:ext cx="786695" cy="776112"/>
        </a:xfrm>
        <a:prstGeom prst="rect">
          <a:avLst/>
        </a:prstGeom>
      </xdr:spPr>
    </xdr:pic>
    <xdr:clientData/>
  </xdr:oneCellAnchor>
  <xdr:oneCellAnchor>
    <xdr:from>
      <xdr:col>16</xdr:col>
      <xdr:colOff>28222</xdr:colOff>
      <xdr:row>11</xdr:row>
      <xdr:rowOff>56445</xdr:rowOff>
    </xdr:from>
    <xdr:ext cx="804333" cy="800806"/>
    <xdr:pic>
      <xdr:nvPicPr>
        <xdr:cNvPr id="56" name="Picture 55" descr="Item:LifeSaver,Pos:1">
          <a:extLst>
            <a:ext uri="{FF2B5EF4-FFF2-40B4-BE49-F238E27FC236}">
              <a16:creationId xmlns:a16="http://schemas.microsoft.com/office/drawing/2014/main" id="{B3A077AA-A047-9843-BA8C-4F155BB5B0B5}"/>
            </a:ext>
            <a:ext uri="{147F2762-F138-4A5C-976F-8EAC2B608ADB}">
              <a16:predDERef xmlns:a16="http://schemas.microsoft.com/office/drawing/2014/main" pred="{19E77F34-AC6C-4CC2-B1D8-3B293B3518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/>
        <a:stretch>
          <a:fillRect/>
        </a:stretch>
      </xdr:blipFill>
      <xdr:spPr>
        <a:xfrm>
          <a:off x="13642622" y="2291645"/>
          <a:ext cx="804333" cy="800806"/>
        </a:xfrm>
        <a:prstGeom prst="rect">
          <a:avLst/>
        </a:prstGeom>
      </xdr:spPr>
    </xdr:pic>
    <xdr:clientData/>
  </xdr:oneCellAnchor>
  <xdr:oneCellAnchor>
    <xdr:from>
      <xdr:col>17</xdr:col>
      <xdr:colOff>42332</xdr:colOff>
      <xdr:row>11</xdr:row>
      <xdr:rowOff>56445</xdr:rowOff>
    </xdr:from>
    <xdr:ext cx="804334" cy="800807"/>
    <xdr:pic>
      <xdr:nvPicPr>
        <xdr:cNvPr id="57" name="Picture 56" descr="Item:LifeSaver_Disolve,Pos:1">
          <a:extLst>
            <a:ext uri="{FF2B5EF4-FFF2-40B4-BE49-F238E27FC236}">
              <a16:creationId xmlns:a16="http://schemas.microsoft.com/office/drawing/2014/main" id="{7E7D31E9-3BE5-9C47-9569-4CB42E696787}"/>
            </a:ext>
            <a:ext uri="{147F2762-F138-4A5C-976F-8EAC2B608ADB}">
              <a16:predDERef xmlns:a16="http://schemas.microsoft.com/office/drawing/2014/main" pred="{54EC3F15-B54B-4312-9EAB-4C6A47BD5F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/>
        <a:stretch>
          <a:fillRect/>
        </a:stretch>
      </xdr:blipFill>
      <xdr:spPr>
        <a:xfrm>
          <a:off x="14507632" y="2291645"/>
          <a:ext cx="804334" cy="800807"/>
        </a:xfrm>
        <a:prstGeom prst="rect">
          <a:avLst/>
        </a:prstGeom>
      </xdr:spPr>
    </xdr:pic>
    <xdr:clientData/>
  </xdr:oneCellAnchor>
  <xdr:oneCellAnchor>
    <xdr:from>
      <xdr:col>7</xdr:col>
      <xdr:colOff>56444</xdr:colOff>
      <xdr:row>11</xdr:row>
      <xdr:rowOff>42332</xdr:rowOff>
    </xdr:from>
    <xdr:ext cx="800808" cy="790224"/>
    <xdr:pic>
      <xdr:nvPicPr>
        <xdr:cNvPr id="58" name="Picture 57" descr=" 0, 0,27,27,">
          <a:extLst>
            <a:ext uri="{FF2B5EF4-FFF2-40B4-BE49-F238E27FC236}">
              <a16:creationId xmlns:a16="http://schemas.microsoft.com/office/drawing/2014/main" id="{AE752666-A70A-6F4B-A731-3873CE47229F}"/>
            </a:ext>
            <a:ext uri="{147F2762-F138-4A5C-976F-8EAC2B608ADB}">
              <a16:predDERef xmlns:a16="http://schemas.microsoft.com/office/drawing/2014/main" pred="{5270F8E8-8714-444D-BB3C-558684408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6012744" y="2277532"/>
          <a:ext cx="800808" cy="790224"/>
        </a:xfrm>
        <a:prstGeom prst="rect">
          <a:avLst/>
        </a:prstGeom>
      </xdr:spPr>
    </xdr:pic>
    <xdr:clientData/>
  </xdr:oneCellAnchor>
  <xdr:oneCellAnchor>
    <xdr:from>
      <xdr:col>6</xdr:col>
      <xdr:colOff>42333</xdr:colOff>
      <xdr:row>11</xdr:row>
      <xdr:rowOff>42332</xdr:rowOff>
    </xdr:from>
    <xdr:ext cx="776112" cy="776112"/>
    <xdr:pic>
      <xdr:nvPicPr>
        <xdr:cNvPr id="59" name="Picture 58" descr=" 0, 0,28,28,">
          <a:extLst>
            <a:ext uri="{FF2B5EF4-FFF2-40B4-BE49-F238E27FC236}">
              <a16:creationId xmlns:a16="http://schemas.microsoft.com/office/drawing/2014/main" id="{5BC3464C-9BAC-4440-8C72-976720992490}"/>
            </a:ext>
            <a:ext uri="{147F2762-F138-4A5C-976F-8EAC2B608ADB}">
              <a16:predDERef xmlns:a16="http://schemas.microsoft.com/office/drawing/2014/main" pred="{AE4760DD-4873-4DCB-A2BB-89754AE89C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/>
        <a:stretch>
          <a:fillRect/>
        </a:stretch>
      </xdr:blipFill>
      <xdr:spPr>
        <a:xfrm>
          <a:off x="5147733" y="2277532"/>
          <a:ext cx="776112" cy="776112"/>
        </a:xfrm>
        <a:prstGeom prst="rect">
          <a:avLst/>
        </a:prstGeom>
      </xdr:spPr>
    </xdr:pic>
    <xdr:clientData/>
  </xdr:oneCellAnchor>
  <xdr:oneCellAnchor>
    <xdr:from>
      <xdr:col>9</xdr:col>
      <xdr:colOff>42333</xdr:colOff>
      <xdr:row>11</xdr:row>
      <xdr:rowOff>42332</xdr:rowOff>
    </xdr:from>
    <xdr:ext cx="776111" cy="776111"/>
    <xdr:pic>
      <xdr:nvPicPr>
        <xdr:cNvPr id="60" name="Picture 59" descr="27,27, 2, 2,">
          <a:extLst>
            <a:ext uri="{FF2B5EF4-FFF2-40B4-BE49-F238E27FC236}">
              <a16:creationId xmlns:a16="http://schemas.microsoft.com/office/drawing/2014/main" id="{DAFC3839-CC5E-044D-BE1E-E21933F14540}"/>
            </a:ext>
            <a:ext uri="{147F2762-F138-4A5C-976F-8EAC2B608ADB}">
              <a16:predDERef xmlns:a16="http://schemas.microsoft.com/office/drawing/2014/main" pred="{149E3F0D-6244-4D39-AE12-F616E3E4B0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9"/>
        <a:stretch>
          <a:fillRect/>
        </a:stretch>
      </xdr:blipFill>
      <xdr:spPr>
        <a:xfrm>
          <a:off x="7700433" y="2277532"/>
          <a:ext cx="776111" cy="776111"/>
        </a:xfrm>
        <a:prstGeom prst="rect">
          <a:avLst/>
        </a:prstGeom>
      </xdr:spPr>
    </xdr:pic>
    <xdr:clientData/>
  </xdr:oneCellAnchor>
  <xdr:oneCellAnchor>
    <xdr:from>
      <xdr:col>8</xdr:col>
      <xdr:colOff>28221</xdr:colOff>
      <xdr:row>11</xdr:row>
      <xdr:rowOff>42331</xdr:rowOff>
    </xdr:from>
    <xdr:ext cx="776113" cy="776113"/>
    <xdr:pic>
      <xdr:nvPicPr>
        <xdr:cNvPr id="61" name="Picture 60" descr="28,28, 2, 2,">
          <a:extLst>
            <a:ext uri="{FF2B5EF4-FFF2-40B4-BE49-F238E27FC236}">
              <a16:creationId xmlns:a16="http://schemas.microsoft.com/office/drawing/2014/main" id="{5A46D291-7AC4-6246-9E65-5439BD7C6C68}"/>
            </a:ext>
            <a:ext uri="{147F2762-F138-4A5C-976F-8EAC2B608ADB}">
              <a16:predDERef xmlns:a16="http://schemas.microsoft.com/office/drawing/2014/main" pred="{FFAF390B-FA93-4547-8E30-045AB6F12D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/>
        <a:stretch>
          <a:fillRect/>
        </a:stretch>
      </xdr:blipFill>
      <xdr:spPr>
        <a:xfrm>
          <a:off x="6835421" y="2277531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42332</xdr:colOff>
      <xdr:row>12</xdr:row>
      <xdr:rowOff>42332</xdr:rowOff>
    </xdr:from>
    <xdr:ext cx="790223" cy="790223"/>
    <xdr:pic>
      <xdr:nvPicPr>
        <xdr:cNvPr id="62" name="Picture 61" descr="Item:Lever_RH,Pos:1,Data:1">
          <a:extLst>
            <a:ext uri="{FF2B5EF4-FFF2-40B4-BE49-F238E27FC236}">
              <a16:creationId xmlns:a16="http://schemas.microsoft.com/office/drawing/2014/main" id="{44A40D6B-03F6-9847-BAE4-C946ECDB0DC1}"/>
            </a:ext>
            <a:ext uri="{147F2762-F138-4A5C-976F-8EAC2B608ADB}">
              <a16:predDERef xmlns:a16="http://schemas.microsoft.com/office/drawing/2014/main" pred="{764578E8-7833-4D10-ADFF-83713F8B2F7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2805832" y="2480732"/>
          <a:ext cx="790223" cy="790223"/>
        </a:xfrm>
        <a:prstGeom prst="rect">
          <a:avLst/>
        </a:prstGeom>
      </xdr:spPr>
    </xdr:pic>
    <xdr:clientData/>
  </xdr:oneCellAnchor>
  <xdr:oneCellAnchor>
    <xdr:from>
      <xdr:col>19</xdr:col>
      <xdr:colOff>56443</xdr:colOff>
      <xdr:row>12</xdr:row>
      <xdr:rowOff>42332</xdr:rowOff>
    </xdr:from>
    <xdr:ext cx="776113" cy="776113"/>
    <xdr:pic>
      <xdr:nvPicPr>
        <xdr:cNvPr id="63" name="Picture 62" descr="Item:Lever_Portal_Auto_Open,Pos:2,Data:256">
          <a:extLst>
            <a:ext uri="{FF2B5EF4-FFF2-40B4-BE49-F238E27FC236}">
              <a16:creationId xmlns:a16="http://schemas.microsoft.com/office/drawing/2014/main" id="{03584CDC-FD2F-684A-A0AA-E7BFCC354B36}"/>
            </a:ext>
            <a:ext uri="{147F2762-F138-4A5C-976F-8EAC2B608ADB}">
              <a16:predDERef xmlns:a16="http://schemas.microsoft.com/office/drawing/2014/main" pred="{716C864A-4C21-48F6-B47F-0E9940A4B4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6223543" y="2480732"/>
          <a:ext cx="776113" cy="776113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11</xdr:row>
      <xdr:rowOff>42332</xdr:rowOff>
    </xdr:from>
    <xdr:ext cx="814917" cy="804334"/>
    <xdr:pic>
      <xdr:nvPicPr>
        <xdr:cNvPr id="64" name="Picture 63" descr="Enemy:Archer_RH,Pos:1">
          <a:extLst>
            <a:ext uri="{FF2B5EF4-FFF2-40B4-BE49-F238E27FC236}">
              <a16:creationId xmlns:a16="http://schemas.microsoft.com/office/drawing/2014/main" id="{E24F411C-6468-F940-8237-7D52753AA719}"/>
            </a:ext>
            <a:ext uri="{147F2762-F138-4A5C-976F-8EAC2B608ADB}">
              <a16:predDERef xmlns:a16="http://schemas.microsoft.com/office/drawing/2014/main" pred="{57C2236F-5C7C-4212-9B51-00987EFB8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3"/>
        <a:stretch>
          <a:fillRect/>
        </a:stretch>
      </xdr:blipFill>
      <xdr:spPr>
        <a:xfrm>
          <a:off x="17060333" y="2277532"/>
          <a:ext cx="814917" cy="804334"/>
        </a:xfrm>
        <a:prstGeom prst="rect">
          <a:avLst/>
        </a:prstGeom>
      </xdr:spPr>
    </xdr:pic>
    <xdr:clientData/>
  </xdr:oneCellAnchor>
  <xdr:oneCellAnchor>
    <xdr:from>
      <xdr:col>21</xdr:col>
      <xdr:colOff>42333</xdr:colOff>
      <xdr:row>11</xdr:row>
      <xdr:rowOff>42333</xdr:rowOff>
    </xdr:from>
    <xdr:ext cx="790222" cy="790222"/>
    <xdr:pic>
      <xdr:nvPicPr>
        <xdr:cNvPr id="65" name="Picture 64" descr="Enemy:Archer_LH,Pos:1">
          <a:extLst>
            <a:ext uri="{FF2B5EF4-FFF2-40B4-BE49-F238E27FC236}">
              <a16:creationId xmlns:a16="http://schemas.microsoft.com/office/drawing/2014/main" id="{11A0A671-1B64-974A-AB80-342FB457AD83}"/>
            </a:ext>
            <a:ext uri="{147F2762-F138-4A5C-976F-8EAC2B608ADB}">
              <a16:predDERef xmlns:a16="http://schemas.microsoft.com/office/drawing/2014/main" pred="{3D03D897-5D39-4154-869B-3A7C4992F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/>
        <a:stretch>
          <a:fillRect/>
        </a:stretch>
      </xdr:blipFill>
      <xdr:spPr>
        <a:xfrm>
          <a:off x="1791123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20</xdr:col>
      <xdr:colOff>42333</xdr:colOff>
      <xdr:row>12</xdr:row>
      <xdr:rowOff>28222</xdr:rowOff>
    </xdr:from>
    <xdr:ext cx="776111" cy="776111"/>
    <xdr:pic>
      <xdr:nvPicPr>
        <xdr:cNvPr id="66" name="Picture 65">
          <a:extLst>
            <a:ext uri="{FF2B5EF4-FFF2-40B4-BE49-F238E27FC236}">
              <a16:creationId xmlns:a16="http://schemas.microsoft.com/office/drawing/2014/main" id="{90FF1003-A996-7440-99A3-0AFDFBE23F1B}"/>
            </a:ext>
            <a:ext uri="{147F2762-F138-4A5C-976F-8EAC2B608ADB}">
              <a16:predDERef xmlns:a16="http://schemas.microsoft.com/office/drawing/2014/main" pred="{68CE7299-393C-4165-8D40-C37CE99753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5"/>
        <a:stretch>
          <a:fillRect/>
        </a:stretch>
      </xdr:blipFill>
      <xdr:spPr>
        <a:xfrm>
          <a:off x="17060333" y="2466622"/>
          <a:ext cx="776111" cy="776111"/>
        </a:xfrm>
        <a:prstGeom prst="rect">
          <a:avLst/>
        </a:prstGeom>
      </xdr:spPr>
    </xdr:pic>
    <xdr:clientData/>
  </xdr:oneCellAnchor>
  <xdr:oneCellAnchor>
    <xdr:from>
      <xdr:col>21</xdr:col>
      <xdr:colOff>28221</xdr:colOff>
      <xdr:row>12</xdr:row>
      <xdr:rowOff>28221</xdr:rowOff>
    </xdr:from>
    <xdr:ext cx="790223" cy="790223"/>
    <xdr:pic>
      <xdr:nvPicPr>
        <xdr:cNvPr id="67" name="Picture 66" descr="Enemy:SwordFighter_LH,Pos:1">
          <a:extLst>
            <a:ext uri="{FF2B5EF4-FFF2-40B4-BE49-F238E27FC236}">
              <a16:creationId xmlns:a16="http://schemas.microsoft.com/office/drawing/2014/main" id="{805E11A6-BEA1-DE4C-9AFC-E66E8400B455}"/>
            </a:ext>
            <a:ext uri="{147F2762-F138-4A5C-976F-8EAC2B608ADB}">
              <a16:predDERef xmlns:a16="http://schemas.microsoft.com/office/drawing/2014/main" pred="{39E9D872-E54E-48F3-8404-BDB498ABF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/>
        <a:stretch>
          <a:fillRect/>
        </a:stretch>
      </xdr:blipFill>
      <xdr:spPr>
        <a:xfrm>
          <a:off x="17897121" y="2466621"/>
          <a:ext cx="790223" cy="790223"/>
        </a:xfrm>
        <a:prstGeom prst="rect">
          <a:avLst/>
        </a:prstGeom>
      </xdr:spPr>
    </xdr:pic>
    <xdr:clientData/>
  </xdr:oneCellAnchor>
  <xdr:oneCellAnchor>
    <xdr:from>
      <xdr:col>29</xdr:col>
      <xdr:colOff>28223</xdr:colOff>
      <xdr:row>11</xdr:row>
      <xdr:rowOff>42333</xdr:rowOff>
    </xdr:from>
    <xdr:ext cx="790222" cy="790222"/>
    <xdr:pic>
      <xdr:nvPicPr>
        <xdr:cNvPr id="68" name="Picture 67" descr="Item:Chakana_Small,Pos:1,Data:5">
          <a:extLst>
            <a:ext uri="{FF2B5EF4-FFF2-40B4-BE49-F238E27FC236}">
              <a16:creationId xmlns:a16="http://schemas.microsoft.com/office/drawing/2014/main" id="{D0570B49-D842-494C-88BC-F6A888261A5D}"/>
            </a:ext>
            <a:ext uri="{147F2762-F138-4A5C-976F-8EAC2B608ADB}">
              <a16:predDERef xmlns:a16="http://schemas.microsoft.com/office/drawing/2014/main" pred="{3E2E46A2-3C69-47E4-A280-19B6F0062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/>
        <a:stretch>
          <a:fillRect/>
        </a:stretch>
      </xdr:blipFill>
      <xdr:spPr>
        <a:xfrm>
          <a:off x="24704323" y="2277533"/>
          <a:ext cx="790222" cy="790222"/>
        </a:xfrm>
        <a:prstGeom prst="rect">
          <a:avLst/>
        </a:prstGeom>
      </xdr:spPr>
    </xdr:pic>
    <xdr:clientData/>
  </xdr:oneCellAnchor>
  <xdr:oneCellAnchor>
    <xdr:from>
      <xdr:col>1</xdr:col>
      <xdr:colOff>28222</xdr:colOff>
      <xdr:row>1</xdr:row>
      <xdr:rowOff>56445</xdr:rowOff>
    </xdr:from>
    <xdr:ext cx="776112" cy="776112"/>
    <xdr:pic>
      <xdr:nvPicPr>
        <xdr:cNvPr id="69" name="Picture 71" descr="18,18,18,18,">
          <a:extLst>
            <a:ext uri="{FF2B5EF4-FFF2-40B4-BE49-F238E27FC236}">
              <a16:creationId xmlns:a16="http://schemas.microsoft.com/office/drawing/2014/main" id="{1C5849AC-01CD-7B40-8A6C-6BE5F4A421FE}"/>
            </a:ext>
            <a:ext uri="{147F2762-F138-4A5C-976F-8EAC2B608ADB}">
              <a16:predDERef xmlns:a16="http://schemas.microsoft.com/office/drawing/2014/main" pred="{FD73721D-4588-49F2-8D4B-CEC6849423A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8"/>
        <a:stretch>
          <a:fillRect/>
        </a:stretch>
      </xdr:blipFill>
      <xdr:spPr>
        <a:xfrm>
          <a:off x="879122" y="259645"/>
          <a:ext cx="776112" cy="776112"/>
        </a:xfrm>
        <a:prstGeom prst="rect">
          <a:avLst/>
        </a:prstGeom>
      </xdr:spPr>
    </xdr:pic>
    <xdr:clientData/>
  </xdr:oneCellAnchor>
  <xdr:oneCellAnchor>
    <xdr:from>
      <xdr:col>29</xdr:col>
      <xdr:colOff>47625</xdr:colOff>
      <xdr:row>12</xdr:row>
      <xdr:rowOff>31750</xdr:rowOff>
    </xdr:from>
    <xdr:ext cx="809625" cy="809625"/>
    <xdr:pic>
      <xdr:nvPicPr>
        <xdr:cNvPr id="70" name="Picture 73" descr="Item:Poker,Pos:1">
          <a:extLst>
            <a:ext uri="{FF2B5EF4-FFF2-40B4-BE49-F238E27FC236}">
              <a16:creationId xmlns:a16="http://schemas.microsoft.com/office/drawing/2014/main" id="{E2F8A90D-8456-2542-AE40-7070B01F641E}"/>
            </a:ext>
            <a:ext uri="{147F2762-F138-4A5C-976F-8EAC2B608ADB}">
              <a16:predDERef xmlns:a16="http://schemas.microsoft.com/office/drawing/2014/main" pred="{D8EEE82B-5E04-4A8B-8A47-0E3C573164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/>
        <a:stretch>
          <a:fillRect/>
        </a:stretch>
      </xdr:blipFill>
      <xdr:spPr>
        <a:xfrm>
          <a:off x="24723725" y="2470150"/>
          <a:ext cx="809625" cy="809625"/>
        </a:xfrm>
        <a:prstGeom prst="rect">
          <a:avLst/>
        </a:prstGeom>
      </xdr:spPr>
    </xdr:pic>
    <xdr:clientData/>
  </xdr:oneCellAnchor>
  <xdr:oneCellAnchor>
    <xdr:from>
      <xdr:col>30</xdr:col>
      <xdr:colOff>15875</xdr:colOff>
      <xdr:row>11</xdr:row>
      <xdr:rowOff>31750</xdr:rowOff>
    </xdr:from>
    <xdr:ext cx="793750" cy="793750"/>
    <xdr:pic>
      <xdr:nvPicPr>
        <xdr:cNvPr id="71" name="Picture 156" descr=" 0, 0, 3, 3,">
          <a:extLst>
            <a:ext uri="{FF2B5EF4-FFF2-40B4-BE49-F238E27FC236}">
              <a16:creationId xmlns:a16="http://schemas.microsoft.com/office/drawing/2014/main" id="{4A1BDA85-77B0-AE4D-949D-676F73100C1A}"/>
            </a:ext>
            <a:ext uri="{147F2762-F138-4A5C-976F-8EAC2B608ADB}">
              <a16:predDERef xmlns:a16="http://schemas.microsoft.com/office/drawing/2014/main" pred="{E91600B2-1605-42D8-B297-2EBE1CA69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25542875" y="2266950"/>
          <a:ext cx="793750" cy="793750"/>
        </a:xfrm>
        <a:prstGeom prst="rect">
          <a:avLst/>
        </a:prstGeom>
      </xdr:spPr>
    </xdr:pic>
    <xdr:clientData/>
  </xdr:oneCellAnchor>
  <xdr:oneCellAnchor>
    <xdr:from>
      <xdr:col>30</xdr:col>
      <xdr:colOff>47624</xdr:colOff>
      <xdr:row>12</xdr:row>
      <xdr:rowOff>31749</xdr:rowOff>
    </xdr:from>
    <xdr:ext cx="777876" cy="777876"/>
    <xdr:pic>
      <xdr:nvPicPr>
        <xdr:cNvPr id="72" name="Picture 157" descr=" 2, 2, 3, 3,">
          <a:extLst>
            <a:ext uri="{FF2B5EF4-FFF2-40B4-BE49-F238E27FC236}">
              <a16:creationId xmlns:a16="http://schemas.microsoft.com/office/drawing/2014/main" id="{FDF8342D-5D30-BC45-9CCF-82B66106DA6C}"/>
            </a:ext>
            <a:ext uri="{147F2762-F138-4A5C-976F-8EAC2B608ADB}">
              <a16:predDERef xmlns:a16="http://schemas.microsoft.com/office/drawing/2014/main" pred="{5DDE5ED6-8559-4E72-A551-E1BF0FBA16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25574624" y="2470149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3</xdr:row>
      <xdr:rowOff>0</xdr:rowOff>
    </xdr:from>
    <xdr:ext cx="777876" cy="777876"/>
    <xdr:pic>
      <xdr:nvPicPr>
        <xdr:cNvPr id="73" name="Picture 72" descr=" 0, 5, 6, 2, ">
          <a:extLst>
            <a:ext uri="{FF2B5EF4-FFF2-40B4-BE49-F238E27FC236}">
              <a16:creationId xmlns:a16="http://schemas.microsoft.com/office/drawing/2014/main" id="{7CA248D6-CF78-7E4D-AEF9-680E2D69F2FA}"/>
            </a:ext>
            <a:ext uri="{147F2762-F138-4A5C-976F-8EAC2B608ADB}">
              <a16:predDERef xmlns:a16="http://schemas.microsoft.com/office/drawing/2014/main" pred="{C66FA600-5FF3-4183-968A-369F58F1ED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2"/>
        <a:stretch>
          <a:fillRect/>
        </a:stretch>
      </xdr:blipFill>
      <xdr:spPr>
        <a:xfrm>
          <a:off x="1701800" y="609600"/>
          <a:ext cx="777876" cy="777876"/>
        </a:xfrm>
        <a:prstGeom prst="rect">
          <a:avLst/>
        </a:prstGeom>
      </xdr:spPr>
    </xdr:pic>
    <xdr:clientData/>
  </xdr:oneCellAnchor>
  <xdr:oneCellAnchor>
    <xdr:from>
      <xdr:col>2</xdr:col>
      <xdr:colOff>0</xdr:colOff>
      <xdr:row>4</xdr:row>
      <xdr:rowOff>0</xdr:rowOff>
    </xdr:from>
    <xdr:ext cx="762000" cy="762000"/>
    <xdr:pic>
      <xdr:nvPicPr>
        <xdr:cNvPr id="74" name="Picture 73" descr=" 9, 0, 2,11, ">
          <a:extLst>
            <a:ext uri="{FF2B5EF4-FFF2-40B4-BE49-F238E27FC236}">
              <a16:creationId xmlns:a16="http://schemas.microsoft.com/office/drawing/2014/main" id="{B2D4DDC4-03CE-A44F-89B2-917175C9371E}"/>
            </a:ext>
            <a:ext uri="{147F2762-F138-4A5C-976F-8EAC2B608ADB}">
              <a16:predDERef xmlns:a16="http://schemas.microsoft.com/office/drawing/2014/main" pred="{25C42C3F-C956-44C9-AAEB-881556D082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/>
        <a:stretch>
          <a:fillRect/>
        </a:stretch>
      </xdr:blipFill>
      <xdr:spPr>
        <a:xfrm>
          <a:off x="1701800" y="812800"/>
          <a:ext cx="762000" cy="762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8</xdr:row>
      <xdr:rowOff>0</xdr:rowOff>
    </xdr:from>
    <xdr:ext cx="796637" cy="796638"/>
    <xdr:pic>
      <xdr:nvPicPr>
        <xdr:cNvPr id="75" name="Picture 74" descr="Item:Lever_LH,Pos:1,Data:1">
          <a:extLst>
            <a:ext uri="{FF2B5EF4-FFF2-40B4-BE49-F238E27FC236}">
              <a16:creationId xmlns:a16="http://schemas.microsoft.com/office/drawing/2014/main" id="{9F82691F-3433-164B-9F1A-9AAC5C460CC6}"/>
            </a:ext>
            <a:ext uri="{147F2762-F138-4A5C-976F-8EAC2B608ADB}">
              <a16:predDERef xmlns:a16="http://schemas.microsoft.com/office/drawing/2014/main" pred="{62A3A625-DC90-4CEC-AA1B-77D942AA74B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7127" b="48507"/>
        <a:stretch/>
      </xdr:blipFill>
      <xdr:spPr>
        <a:xfrm>
          <a:off x="13614400" y="1625600"/>
          <a:ext cx="796637" cy="796638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6</xdr:row>
      <xdr:rowOff>0</xdr:rowOff>
    </xdr:from>
    <xdr:ext cx="806593" cy="797919"/>
    <xdr:pic>
      <xdr:nvPicPr>
        <xdr:cNvPr id="76" name="Picture 75" descr="Item:Lever_Portal_Closed,Pos:2">
          <a:extLst>
            <a:ext uri="{FF2B5EF4-FFF2-40B4-BE49-F238E27FC236}">
              <a16:creationId xmlns:a16="http://schemas.microsoft.com/office/drawing/2014/main" id="{28D7726D-5909-CD4D-854E-EA45CB9F3DE2}"/>
            </a:ext>
            <a:ext uri="{147F2762-F138-4A5C-976F-8EAC2B608ADB}">
              <a16:predDERef xmlns:a16="http://schemas.microsoft.com/office/drawing/2014/main" pred="{ABC07EDF-AB60-4C39-8099-CB1552D56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8" b="538"/>
        <a:stretch/>
      </xdr:blipFill>
      <xdr:spPr>
        <a:xfrm>
          <a:off x="13614400" y="1219200"/>
          <a:ext cx="806593" cy="797919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4</xdr:row>
      <xdr:rowOff>0</xdr:rowOff>
    </xdr:from>
    <xdr:ext cx="783809" cy="783809"/>
    <xdr:pic>
      <xdr:nvPicPr>
        <xdr:cNvPr id="77" name="Picture 76" descr="Item:Lever_Portal_Open,Pos:2">
          <a:extLst>
            <a:ext uri="{FF2B5EF4-FFF2-40B4-BE49-F238E27FC236}">
              <a16:creationId xmlns:a16="http://schemas.microsoft.com/office/drawing/2014/main" id="{C51DC781-CED0-8F47-A99B-EF84D842F858}"/>
            </a:ext>
            <a:ext uri="{147F2762-F138-4A5C-976F-8EAC2B608ADB}">
              <a16:predDERef xmlns:a16="http://schemas.microsoft.com/office/drawing/2014/main" pred="{6D0E3707-A9F9-4883-9BE6-089B7BF794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3614400" y="812800"/>
          <a:ext cx="783809" cy="783809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6</xdr:row>
      <xdr:rowOff>0</xdr:rowOff>
    </xdr:from>
    <xdr:ext cx="790223" cy="790223"/>
    <xdr:pic>
      <xdr:nvPicPr>
        <xdr:cNvPr id="78" name="Picture 77" descr="Item:Lever_RH,Pos:1,Data:1">
          <a:extLst>
            <a:ext uri="{FF2B5EF4-FFF2-40B4-BE49-F238E27FC236}">
              <a16:creationId xmlns:a16="http://schemas.microsoft.com/office/drawing/2014/main" id="{88343DAD-80FB-BD43-9778-012276E6B54F}"/>
            </a:ext>
            <a:ext uri="{147F2762-F138-4A5C-976F-8EAC2B608ADB}">
              <a16:predDERef xmlns:a16="http://schemas.microsoft.com/office/drawing/2014/main" pred="{3D2BEC00-68D1-4A76-A769-C49139ED6A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/>
        <a:stretch>
          <a:fillRect/>
        </a:stretch>
      </xdr:blipFill>
      <xdr:spPr>
        <a:xfrm>
          <a:off x="15316200" y="1219200"/>
          <a:ext cx="790223" cy="790223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4</xdr:row>
      <xdr:rowOff>0</xdr:rowOff>
    </xdr:from>
    <xdr:ext cx="786695" cy="776112"/>
    <xdr:pic>
      <xdr:nvPicPr>
        <xdr:cNvPr id="79" name="Picture 78" descr="Item:Lever_Portal_Auto_Closed,Pos:2,Data:256">
          <a:extLst>
            <a:ext uri="{FF2B5EF4-FFF2-40B4-BE49-F238E27FC236}">
              <a16:creationId xmlns:a16="http://schemas.microsoft.com/office/drawing/2014/main" id="{8A31D6F1-5AAE-2245-A06B-86AF84A2EAAA}"/>
            </a:ext>
            <a:ext uri="{147F2762-F138-4A5C-976F-8EAC2B608ADB}">
              <a16:predDERef xmlns:a16="http://schemas.microsoft.com/office/drawing/2014/main" pred="{AB099D75-9C0A-47D4-9F89-6C46A9196F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/>
        <a:stretch>
          <a:fillRect/>
        </a:stretch>
      </xdr:blipFill>
      <xdr:spPr>
        <a:xfrm>
          <a:off x="15316200" y="812800"/>
          <a:ext cx="786695" cy="776112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776113" cy="776113"/>
    <xdr:pic>
      <xdr:nvPicPr>
        <xdr:cNvPr id="80" name="Picture 79" descr="Item:Lever_Portal_Auto_Open,Pos:2,Data:256">
          <a:extLst>
            <a:ext uri="{FF2B5EF4-FFF2-40B4-BE49-F238E27FC236}">
              <a16:creationId xmlns:a16="http://schemas.microsoft.com/office/drawing/2014/main" id="{3535D115-050B-C748-9CD2-A82B9DCE40E7}"/>
            </a:ext>
            <a:ext uri="{147F2762-F138-4A5C-976F-8EAC2B608ADB}">
              <a16:predDERef xmlns:a16="http://schemas.microsoft.com/office/drawing/2014/main" pred="{281385D3-5E35-4185-8760-9773CBF089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/>
        <a:stretch>
          <a:fillRect/>
        </a:stretch>
      </xdr:blipFill>
      <xdr:spPr>
        <a:xfrm>
          <a:off x="15316200" y="406400"/>
          <a:ext cx="776113" cy="776113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7</xdr:row>
      <xdr:rowOff>0</xdr:rowOff>
    </xdr:from>
    <xdr:ext cx="774000" cy="774000"/>
    <xdr:pic>
      <xdr:nvPicPr>
        <xdr:cNvPr id="81" name="Picture 80" descr=" 1, 1, 2, 2,">
          <a:extLst>
            <a:ext uri="{FF2B5EF4-FFF2-40B4-BE49-F238E27FC236}">
              <a16:creationId xmlns:a16="http://schemas.microsoft.com/office/drawing/2014/main" id="{AC730EC0-C23A-AB44-898F-844431DCD755}"/>
            </a:ext>
            <a:ext uri="{147F2762-F138-4A5C-976F-8EAC2B608ADB}">
              <a16:predDERef xmlns:a16="http://schemas.microsoft.com/office/drawing/2014/main" pred="{D1111238-3FA5-48CA-8800-0306220D47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7</xdr:row>
      <xdr:rowOff>0</xdr:rowOff>
    </xdr:from>
    <xdr:ext cx="774000" cy="774000"/>
    <xdr:pic>
      <xdr:nvPicPr>
        <xdr:cNvPr id="82" name="Picture 81" descr=" 1, 1, 2, 2,">
          <a:extLst>
            <a:ext uri="{FF2B5EF4-FFF2-40B4-BE49-F238E27FC236}">
              <a16:creationId xmlns:a16="http://schemas.microsoft.com/office/drawing/2014/main" id="{236A8713-004A-1D46-85B3-35580B1B2916}"/>
            </a:ext>
            <a:ext uri="{147F2762-F138-4A5C-976F-8EAC2B608ADB}">
              <a16:predDERef xmlns:a16="http://schemas.microsoft.com/office/drawing/2014/main" pred="{5324D03B-C7BD-41E4-B080-3A52930A9C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7</xdr:row>
      <xdr:rowOff>0</xdr:rowOff>
    </xdr:from>
    <xdr:ext cx="774000" cy="774000"/>
    <xdr:pic>
      <xdr:nvPicPr>
        <xdr:cNvPr id="83" name="Picture 82" descr=" 1, 1, 2, 2,">
          <a:extLst>
            <a:ext uri="{FF2B5EF4-FFF2-40B4-BE49-F238E27FC236}">
              <a16:creationId xmlns:a16="http://schemas.microsoft.com/office/drawing/2014/main" id="{65480925-F865-C945-A7E3-E59544C86289}"/>
            </a:ext>
            <a:ext uri="{147F2762-F138-4A5C-976F-8EAC2B608ADB}">
              <a16:predDERef xmlns:a16="http://schemas.microsoft.com/office/drawing/2014/main" pred="{64A23E7F-9299-4B5B-A1A4-94C6441E7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7</xdr:row>
      <xdr:rowOff>0</xdr:rowOff>
    </xdr:from>
    <xdr:ext cx="774000" cy="774000"/>
    <xdr:pic>
      <xdr:nvPicPr>
        <xdr:cNvPr id="84" name="Picture 83" descr=" 1, 1, 2, 2,">
          <a:extLst>
            <a:ext uri="{FF2B5EF4-FFF2-40B4-BE49-F238E27FC236}">
              <a16:creationId xmlns:a16="http://schemas.microsoft.com/office/drawing/2014/main" id="{E5E5DFF7-AB2E-F543-A30A-2F06FF18E710}"/>
            </a:ext>
            <a:ext uri="{147F2762-F138-4A5C-976F-8EAC2B608ADB}">
              <a16:predDERef xmlns:a16="http://schemas.microsoft.com/office/drawing/2014/main" pred="{1DAF18E9-3A4A-4439-B027-2FD1C7C51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7</xdr:row>
      <xdr:rowOff>0</xdr:rowOff>
    </xdr:from>
    <xdr:ext cx="774000" cy="774000"/>
    <xdr:pic>
      <xdr:nvPicPr>
        <xdr:cNvPr id="85" name="Picture 84" descr=" 1, 1, 2, 2,">
          <a:extLst>
            <a:ext uri="{FF2B5EF4-FFF2-40B4-BE49-F238E27FC236}">
              <a16:creationId xmlns:a16="http://schemas.microsoft.com/office/drawing/2014/main" id="{D53D6B95-422E-9642-A2AB-F8454EDEEBA9}"/>
            </a:ext>
            <a:ext uri="{147F2762-F138-4A5C-976F-8EAC2B608ADB}">
              <a16:predDERef xmlns:a16="http://schemas.microsoft.com/office/drawing/2014/main" pred="{4C4E43EE-FFB1-467C-AD43-A82E0617F0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5</xdr:row>
      <xdr:rowOff>0</xdr:rowOff>
    </xdr:from>
    <xdr:ext cx="774000" cy="774000"/>
    <xdr:pic>
      <xdr:nvPicPr>
        <xdr:cNvPr id="86" name="Picture 85" descr=" 1, 1, 2, 2,">
          <a:extLst>
            <a:ext uri="{FF2B5EF4-FFF2-40B4-BE49-F238E27FC236}">
              <a16:creationId xmlns:a16="http://schemas.microsoft.com/office/drawing/2014/main" id="{5C995713-B541-B646-A222-D9994EEE6535}"/>
            </a:ext>
            <a:ext uri="{147F2762-F138-4A5C-976F-8EAC2B608ADB}">
              <a16:predDERef xmlns:a16="http://schemas.microsoft.com/office/drawing/2014/main" pred="{4236BA1F-91CD-4D68-B2FB-C9B25BE0B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5</xdr:row>
      <xdr:rowOff>0</xdr:rowOff>
    </xdr:from>
    <xdr:ext cx="774000" cy="774000"/>
    <xdr:pic>
      <xdr:nvPicPr>
        <xdr:cNvPr id="87" name="Picture 86" descr=" 1, 1, 2, 2,">
          <a:extLst>
            <a:ext uri="{FF2B5EF4-FFF2-40B4-BE49-F238E27FC236}">
              <a16:creationId xmlns:a16="http://schemas.microsoft.com/office/drawing/2014/main" id="{C567EA9C-C03B-9643-B501-9F9F35A0E1DD}"/>
            </a:ext>
            <a:ext uri="{147F2762-F138-4A5C-976F-8EAC2B608ADB}">
              <a16:predDERef xmlns:a16="http://schemas.microsoft.com/office/drawing/2014/main" pred="{1F8A5C39-70AE-4D9F-AF20-09F11A429E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5</xdr:row>
      <xdr:rowOff>0</xdr:rowOff>
    </xdr:from>
    <xdr:ext cx="774000" cy="774000"/>
    <xdr:pic>
      <xdr:nvPicPr>
        <xdr:cNvPr id="88" name="Picture 87" descr=" 1, 1, 2, 2,">
          <a:extLst>
            <a:ext uri="{FF2B5EF4-FFF2-40B4-BE49-F238E27FC236}">
              <a16:creationId xmlns:a16="http://schemas.microsoft.com/office/drawing/2014/main" id="{BB002C58-29C4-224D-B6C9-722A8AEEFFD7}"/>
            </a:ext>
            <a:ext uri="{147F2762-F138-4A5C-976F-8EAC2B608ADB}">
              <a16:predDERef xmlns:a16="http://schemas.microsoft.com/office/drawing/2014/main" pred="{A5E1F09C-6110-4B9A-9377-70658BD96D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5</xdr:row>
      <xdr:rowOff>0</xdr:rowOff>
    </xdr:from>
    <xdr:ext cx="774000" cy="774000"/>
    <xdr:pic>
      <xdr:nvPicPr>
        <xdr:cNvPr id="89" name="Picture 88" descr=" 1, 1, 2, 2,">
          <a:extLst>
            <a:ext uri="{FF2B5EF4-FFF2-40B4-BE49-F238E27FC236}">
              <a16:creationId xmlns:a16="http://schemas.microsoft.com/office/drawing/2014/main" id="{99DCE3F1-D012-3144-83D7-22C32137DCCD}"/>
            </a:ext>
            <a:ext uri="{147F2762-F138-4A5C-976F-8EAC2B608ADB}">
              <a16:predDERef xmlns:a16="http://schemas.microsoft.com/office/drawing/2014/main" pred="{9F74065F-5231-4CCF-B11F-A118E59C6E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5</xdr:row>
      <xdr:rowOff>0</xdr:rowOff>
    </xdr:from>
    <xdr:ext cx="774000" cy="774000"/>
    <xdr:pic>
      <xdr:nvPicPr>
        <xdr:cNvPr id="90" name="Picture 89" descr=" 1, 1, 2, 2,">
          <a:extLst>
            <a:ext uri="{FF2B5EF4-FFF2-40B4-BE49-F238E27FC236}">
              <a16:creationId xmlns:a16="http://schemas.microsoft.com/office/drawing/2014/main" id="{BEAB018A-0657-E540-B62D-8B277EB3E394}"/>
            </a:ext>
            <a:ext uri="{147F2762-F138-4A5C-976F-8EAC2B608ADB}">
              <a16:predDERef xmlns:a16="http://schemas.microsoft.com/office/drawing/2014/main" pred="{239EF045-5169-49EB-A8F7-1925455E78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15</xdr:col>
      <xdr:colOff>0</xdr:colOff>
      <xdr:row>3</xdr:row>
      <xdr:rowOff>0</xdr:rowOff>
    </xdr:from>
    <xdr:ext cx="774000" cy="774000"/>
    <xdr:pic>
      <xdr:nvPicPr>
        <xdr:cNvPr id="91" name="Picture 90" descr=" 1, 1, 2, 2,">
          <a:extLst>
            <a:ext uri="{FF2B5EF4-FFF2-40B4-BE49-F238E27FC236}">
              <a16:creationId xmlns:a16="http://schemas.microsoft.com/office/drawing/2014/main" id="{AB2569FD-4319-BA46-B752-839F03C43EC6}"/>
            </a:ext>
            <a:ext uri="{147F2762-F138-4A5C-976F-8EAC2B608ADB}">
              <a16:predDERef xmlns:a16="http://schemas.microsoft.com/office/drawing/2014/main" pred="{22439EAF-5D3F-4ED7-8A8A-E7AACE036D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35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774000" cy="774000"/>
    <xdr:pic>
      <xdr:nvPicPr>
        <xdr:cNvPr id="92" name="Picture 91" descr=" 1, 1, 2, 2,">
          <a:extLst>
            <a:ext uri="{FF2B5EF4-FFF2-40B4-BE49-F238E27FC236}">
              <a16:creationId xmlns:a16="http://schemas.microsoft.com/office/drawing/2014/main" id="{E55075A2-F247-DB4D-B84F-D29FA4E2644B}"/>
            </a:ext>
            <a:ext uri="{147F2762-F138-4A5C-976F-8EAC2B608ADB}">
              <a16:predDERef xmlns:a16="http://schemas.microsoft.com/office/drawing/2014/main" pred="{06F8440C-F877-42DC-A6DE-E0A94CF3B5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144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774000" cy="774000"/>
    <xdr:pic>
      <xdr:nvPicPr>
        <xdr:cNvPr id="93" name="Picture 92" descr=" 1, 1, 2, 2,">
          <a:extLst>
            <a:ext uri="{FF2B5EF4-FFF2-40B4-BE49-F238E27FC236}">
              <a16:creationId xmlns:a16="http://schemas.microsoft.com/office/drawing/2014/main" id="{A0C32208-A9B7-1D4D-BC2E-CF164D4C0446}"/>
            </a:ext>
            <a:ext uri="{147F2762-F138-4A5C-976F-8EAC2B608ADB}">
              <a16:predDERef xmlns:a16="http://schemas.microsoft.com/office/drawing/2014/main" pred="{4F2DA9E2-57AD-4F5A-BD22-5CEAC759EC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653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774000" cy="774000"/>
    <xdr:pic>
      <xdr:nvPicPr>
        <xdr:cNvPr id="94" name="Picture 93" descr=" 1, 1, 2, 2,">
          <a:extLst>
            <a:ext uri="{FF2B5EF4-FFF2-40B4-BE49-F238E27FC236}">
              <a16:creationId xmlns:a16="http://schemas.microsoft.com/office/drawing/2014/main" id="{CD56DCF4-FDE8-1E4D-A885-21A7E82D3EA4}"/>
            </a:ext>
            <a:ext uri="{147F2762-F138-4A5C-976F-8EAC2B608ADB}">
              <a16:predDERef xmlns:a16="http://schemas.microsoft.com/office/drawing/2014/main" pred="{8881D391-010F-4C29-BF05-6C09197315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162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774000" cy="774000"/>
    <xdr:pic>
      <xdr:nvPicPr>
        <xdr:cNvPr id="95" name="Picture 94" descr=" 1, 1, 2, 2,">
          <a:extLst>
            <a:ext uri="{FF2B5EF4-FFF2-40B4-BE49-F238E27FC236}">
              <a16:creationId xmlns:a16="http://schemas.microsoft.com/office/drawing/2014/main" id="{9C1A880C-D768-C140-A527-66804603FA8F}"/>
            </a:ext>
            <a:ext uri="{147F2762-F138-4A5C-976F-8EAC2B608ADB}">
              <a16:predDERef xmlns:a16="http://schemas.microsoft.com/office/drawing/2014/main" pred="{F9948A16-906E-4DCF-AE89-EFD2F176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671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6</xdr:row>
      <xdr:rowOff>0</xdr:rowOff>
    </xdr:from>
    <xdr:ext cx="786484" cy="774000"/>
    <xdr:pic>
      <xdr:nvPicPr>
        <xdr:cNvPr id="96" name="Picture 95" descr=" 8, 8, 7, 7,">
          <a:extLst>
            <a:ext uri="{FF2B5EF4-FFF2-40B4-BE49-F238E27FC236}">
              <a16:creationId xmlns:a16="http://schemas.microsoft.com/office/drawing/2014/main" id="{E0637E74-1910-5B44-88C1-5EBF2F546A11}"/>
            </a:ext>
            <a:ext uri="{147F2762-F138-4A5C-976F-8EAC2B608ADB}">
              <a16:predDERef xmlns:a16="http://schemas.microsoft.com/office/drawing/2014/main" pred="{FF56DD61-3423-429C-A86C-011DBDE3F4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912600" y="1219200"/>
          <a:ext cx="786484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4</xdr:row>
      <xdr:rowOff>0</xdr:rowOff>
    </xdr:from>
    <xdr:ext cx="786484" cy="774000"/>
    <xdr:pic>
      <xdr:nvPicPr>
        <xdr:cNvPr id="97" name="Picture 96" descr=" 8, 8, 7, 7,">
          <a:extLst>
            <a:ext uri="{FF2B5EF4-FFF2-40B4-BE49-F238E27FC236}">
              <a16:creationId xmlns:a16="http://schemas.microsoft.com/office/drawing/2014/main" id="{1166DC0E-4A9C-6842-AC50-9829FD790BA8}"/>
            </a:ext>
            <a:ext uri="{147F2762-F138-4A5C-976F-8EAC2B608ADB}">
              <a16:predDERef xmlns:a16="http://schemas.microsoft.com/office/drawing/2014/main" pred="{3CB14136-C46D-42CD-A757-D76911A8A6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18000" y="812800"/>
          <a:ext cx="786484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2</xdr:row>
      <xdr:rowOff>0</xdr:rowOff>
    </xdr:from>
    <xdr:ext cx="786484" cy="774000"/>
    <xdr:pic>
      <xdr:nvPicPr>
        <xdr:cNvPr id="98" name="Picture 97" descr=" 8, 8, 7, 7,">
          <a:extLst>
            <a:ext uri="{FF2B5EF4-FFF2-40B4-BE49-F238E27FC236}">
              <a16:creationId xmlns:a16="http://schemas.microsoft.com/office/drawing/2014/main" id="{D5BE5643-4740-AD45-932C-953B162A7817}"/>
            </a:ext>
            <a:ext uri="{147F2762-F138-4A5C-976F-8EAC2B608ADB}">
              <a16:predDERef xmlns:a16="http://schemas.microsoft.com/office/drawing/2014/main" pred="{B40562A4-1C9E-49C3-9D20-DBDDD0A40A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1912600" y="406400"/>
          <a:ext cx="786484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3</xdr:row>
      <xdr:rowOff>0</xdr:rowOff>
    </xdr:from>
    <xdr:ext cx="774000" cy="774000"/>
    <xdr:pic>
      <xdr:nvPicPr>
        <xdr:cNvPr id="99" name="Picture 98" descr="12,12,12,12,">
          <a:extLst>
            <a:ext uri="{FF2B5EF4-FFF2-40B4-BE49-F238E27FC236}">
              <a16:creationId xmlns:a16="http://schemas.microsoft.com/office/drawing/2014/main" id="{30E5FEFD-BBDB-9C42-B594-9427ED82423A}"/>
            </a:ext>
            <a:ext uri="{147F2762-F138-4A5C-976F-8EAC2B608ADB}">
              <a16:predDERef xmlns:a16="http://schemas.microsoft.com/office/drawing/2014/main" pred="{7D5B43FD-D73E-46A3-A4C9-EEC5E27F37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126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5</xdr:row>
      <xdr:rowOff>0</xdr:rowOff>
    </xdr:from>
    <xdr:ext cx="774000" cy="774000"/>
    <xdr:pic>
      <xdr:nvPicPr>
        <xdr:cNvPr id="100" name="Picture 99" descr="12,12,12,12,">
          <a:extLst>
            <a:ext uri="{FF2B5EF4-FFF2-40B4-BE49-F238E27FC236}">
              <a16:creationId xmlns:a16="http://schemas.microsoft.com/office/drawing/2014/main" id="{F5D97C24-CA7F-5A4A-8F6A-33CA084F8F2F}"/>
            </a:ext>
            <a:ext uri="{147F2762-F138-4A5C-976F-8EAC2B608ADB}">
              <a16:predDERef xmlns:a16="http://schemas.microsoft.com/office/drawing/2014/main" pred="{ACCAB059-8038-43E9-82A4-B34CC38876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70180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7</xdr:row>
      <xdr:rowOff>0</xdr:rowOff>
    </xdr:from>
    <xdr:ext cx="774000" cy="774000"/>
    <xdr:pic>
      <xdr:nvPicPr>
        <xdr:cNvPr id="101" name="Picture 100" descr="12,12,12,12,">
          <a:extLst>
            <a:ext uri="{FF2B5EF4-FFF2-40B4-BE49-F238E27FC236}">
              <a16:creationId xmlns:a16="http://schemas.microsoft.com/office/drawing/2014/main" id="{873134BC-5836-124F-9432-DEE5F282A792}"/>
            </a:ext>
            <a:ext uri="{147F2762-F138-4A5C-976F-8EAC2B608ADB}">
              <a16:predDERef xmlns:a16="http://schemas.microsoft.com/office/drawing/2014/main" pred="{76873EAF-C1F7-4B35-A136-76110B49C6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9126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4</xdr:row>
      <xdr:rowOff>0</xdr:rowOff>
    </xdr:from>
    <xdr:ext cx="774000" cy="774000"/>
    <xdr:pic>
      <xdr:nvPicPr>
        <xdr:cNvPr id="102" name="Picture 101" descr="12,12, 7, 7,">
          <a:extLst>
            <a:ext uri="{FF2B5EF4-FFF2-40B4-BE49-F238E27FC236}">
              <a16:creationId xmlns:a16="http://schemas.microsoft.com/office/drawing/2014/main" id="{C8D92B1F-E11D-EC4B-9DF7-5DD2B42DD82E}"/>
            </a:ext>
            <a:ext uri="{147F2762-F138-4A5C-976F-8EAC2B608ADB}">
              <a16:predDERef xmlns:a16="http://schemas.microsoft.com/office/drawing/2014/main" pred="{CCA27973-E081-4591-B877-C1E880CB0A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12600" y="8128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6</xdr:row>
      <xdr:rowOff>0</xdr:rowOff>
    </xdr:from>
    <xdr:ext cx="774000" cy="774000"/>
    <xdr:pic>
      <xdr:nvPicPr>
        <xdr:cNvPr id="103" name="Picture 102" descr="12,12, 7, 7,">
          <a:extLst>
            <a:ext uri="{FF2B5EF4-FFF2-40B4-BE49-F238E27FC236}">
              <a16:creationId xmlns:a16="http://schemas.microsoft.com/office/drawing/2014/main" id="{7D09984D-6914-E446-B810-69095CA61DAF}"/>
            </a:ext>
            <a:ext uri="{147F2762-F138-4A5C-976F-8EAC2B608ADB}">
              <a16:predDERef xmlns:a16="http://schemas.microsoft.com/office/drawing/2014/main" pred="{67191DB9-1FC1-40E4-BE8E-4876BF8EF9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018000" y="12192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8</xdr:row>
      <xdr:rowOff>0</xdr:rowOff>
    </xdr:from>
    <xdr:ext cx="774000" cy="774000"/>
    <xdr:pic>
      <xdr:nvPicPr>
        <xdr:cNvPr id="104" name="Picture 103" descr="12,12, 7, 7,">
          <a:extLst>
            <a:ext uri="{FF2B5EF4-FFF2-40B4-BE49-F238E27FC236}">
              <a16:creationId xmlns:a16="http://schemas.microsoft.com/office/drawing/2014/main" id="{4DD66748-DBB1-5B46-BB26-49775CA03359}"/>
            </a:ext>
            <a:ext uri="{147F2762-F138-4A5C-976F-8EAC2B608ADB}">
              <a16:predDERef xmlns:a16="http://schemas.microsoft.com/office/drawing/2014/main" pred="{25BBDEA3-1473-4D92-B449-3D20656F1E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12600" y="1625600"/>
          <a:ext cx="774000" cy="774000"/>
        </a:xfrm>
        <a:prstGeom prst="rect">
          <a:avLst/>
        </a:prstGeom>
      </xdr:spPr>
    </xdr:pic>
    <xdr:clientData/>
  </xdr:oneCellAnchor>
  <xdr:oneCellAnchor>
    <xdr:from>
      <xdr:col>14</xdr:col>
      <xdr:colOff>0</xdr:colOff>
      <xdr:row>5</xdr:row>
      <xdr:rowOff>0</xdr:rowOff>
    </xdr:from>
    <xdr:ext cx="774000" cy="774000"/>
    <xdr:pic>
      <xdr:nvPicPr>
        <xdr:cNvPr id="105" name="Picture 104" descr=" 1, 1, 2, 2,">
          <a:extLst>
            <a:ext uri="{FF2B5EF4-FFF2-40B4-BE49-F238E27FC236}">
              <a16:creationId xmlns:a16="http://schemas.microsoft.com/office/drawing/2014/main" id="{6EFF110F-077B-6744-8279-9748B3C3095C}"/>
            </a:ext>
            <a:ext uri="{147F2762-F138-4A5C-976F-8EAC2B608ADB}">
              <a16:predDERef xmlns:a16="http://schemas.microsoft.com/office/drawing/2014/main" pred="{7214F2E3-3406-4D37-B813-E0DCF3471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2600" y="10160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774000" cy="774000"/>
    <xdr:pic>
      <xdr:nvPicPr>
        <xdr:cNvPr id="106" name="Picture 105" descr=" 1, 1, 2, 2,">
          <a:extLst>
            <a:ext uri="{FF2B5EF4-FFF2-40B4-BE49-F238E27FC236}">
              <a16:creationId xmlns:a16="http://schemas.microsoft.com/office/drawing/2014/main" id="{4504A704-C738-CE42-A622-D129E40BA943}"/>
            </a:ext>
            <a:ext uri="{147F2762-F138-4A5C-976F-8EAC2B608ADB}">
              <a16:predDERef xmlns:a16="http://schemas.microsoft.com/office/drawing/2014/main" pred="{84C5BDE1-7107-4CE5-A7FC-8AB3AD403B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6096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7</xdr:row>
      <xdr:rowOff>0</xdr:rowOff>
    </xdr:from>
    <xdr:ext cx="774000" cy="774000"/>
    <xdr:pic>
      <xdr:nvPicPr>
        <xdr:cNvPr id="107" name="Picture 106" descr=" 1, 1, 2, 2,">
          <a:extLst>
            <a:ext uri="{FF2B5EF4-FFF2-40B4-BE49-F238E27FC236}">
              <a16:creationId xmlns:a16="http://schemas.microsoft.com/office/drawing/2014/main" id="{062ECCD2-C3BC-B04D-93DA-49A5E49E6CA2}"/>
            </a:ext>
            <a:ext uri="{147F2762-F138-4A5C-976F-8EAC2B608ADB}">
              <a16:predDERef xmlns:a16="http://schemas.microsoft.com/office/drawing/2014/main" pred="{FF25A5B5-0A7D-47E8-81D4-6CA41955AB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18000" y="1422400"/>
          <a:ext cx="774000" cy="774000"/>
        </a:xfrm>
        <a:prstGeom prst="rect">
          <a:avLst/>
        </a:prstGeom>
      </xdr:spPr>
    </xdr:pic>
    <xdr:clientData/>
  </xdr:oneCellAnchor>
  <xdr:oneCellAnchor>
    <xdr:from>
      <xdr:col>20</xdr:col>
      <xdr:colOff>19915</xdr:colOff>
      <xdr:row>2</xdr:row>
      <xdr:rowOff>12411</xdr:rowOff>
    </xdr:from>
    <xdr:ext cx="808183" cy="796638"/>
    <xdr:pic>
      <xdr:nvPicPr>
        <xdr:cNvPr id="108" name="Picture 107" descr="Item:Chakana,Pos:1">
          <a:extLst>
            <a:ext uri="{FF2B5EF4-FFF2-40B4-BE49-F238E27FC236}">
              <a16:creationId xmlns:a16="http://schemas.microsoft.com/office/drawing/2014/main" id="{AEE7AA7B-5320-1147-83F6-F4A988620AE6}"/>
            </a:ext>
            <a:ext uri="{147F2762-F138-4A5C-976F-8EAC2B608ADB}">
              <a16:predDERef xmlns:a16="http://schemas.microsoft.com/office/drawing/2014/main" pred="{3EA62200-4BE3-4911-9616-E54F08FC1E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73585" b="82641"/>
        <a:stretch/>
      </xdr:blipFill>
      <xdr:spPr>
        <a:xfrm>
          <a:off x="17164915" y="1726911"/>
          <a:ext cx="808183" cy="796638"/>
        </a:xfrm>
        <a:prstGeom prst="rect">
          <a:avLst/>
        </a:prstGeom>
      </xdr:spPr>
    </xdr:pic>
    <xdr:clientData/>
  </xdr:oneCellAnchor>
  <xdr:twoCellAnchor editAs="oneCell">
    <xdr:from>
      <xdr:col>31</xdr:col>
      <xdr:colOff>31750</xdr:colOff>
      <xdr:row>11</xdr:row>
      <xdr:rowOff>31750</xdr:rowOff>
    </xdr:from>
    <xdr:to>
      <xdr:col>31</xdr:col>
      <xdr:colOff>825500</xdr:colOff>
      <xdr:row>11</xdr:row>
      <xdr:rowOff>825500</xdr:rowOff>
    </xdr:to>
    <xdr:pic>
      <xdr:nvPicPr>
        <xdr:cNvPr id="109" name="Picture 108" descr="42,42,42,42, ">
          <a:extLst>
            <a:ext uri="{FF2B5EF4-FFF2-40B4-BE49-F238E27FC236}">
              <a16:creationId xmlns:a16="http://schemas.microsoft.com/office/drawing/2014/main" id="{4A9FFF0C-3545-F545-BC68-EC88826BA0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4"/>
        <a:stretch>
          <a:fillRect/>
        </a:stretch>
      </xdr:blipFill>
      <xdr:spPr>
        <a:xfrm>
          <a:off x="26606500" y="9461500"/>
          <a:ext cx="793750" cy="793750"/>
        </a:xfrm>
        <a:prstGeom prst="rect">
          <a:avLst/>
        </a:prstGeom>
      </xdr:spPr>
    </xdr:pic>
    <xdr:clientData/>
  </xdr:twoCellAnchor>
  <xdr:twoCellAnchor editAs="oneCell">
    <xdr:from>
      <xdr:col>31</xdr:col>
      <xdr:colOff>47624</xdr:colOff>
      <xdr:row>12</xdr:row>
      <xdr:rowOff>15874</xdr:rowOff>
    </xdr:from>
    <xdr:to>
      <xdr:col>31</xdr:col>
      <xdr:colOff>857249</xdr:colOff>
      <xdr:row>12</xdr:row>
      <xdr:rowOff>825499</xdr:rowOff>
    </xdr:to>
    <xdr:pic>
      <xdr:nvPicPr>
        <xdr:cNvPr id="110" name="Picture 109" descr="43,43,43,43, ">
          <a:extLst>
            <a:ext uri="{FF2B5EF4-FFF2-40B4-BE49-F238E27FC236}">
              <a16:creationId xmlns:a16="http://schemas.microsoft.com/office/drawing/2014/main" id="{2C4CFA6B-A107-4A41-906F-C8E09D5129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/>
        <a:stretch>
          <a:fillRect/>
        </a:stretch>
      </xdr:blipFill>
      <xdr:spPr>
        <a:xfrm>
          <a:off x="26622374" y="10302874"/>
          <a:ext cx="809625" cy="80962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330200</xdr:colOff>
      <xdr:row>19</xdr:row>
      <xdr:rowOff>101600</xdr:rowOff>
    </xdr:from>
    <xdr:to>
      <xdr:col>4</xdr:col>
      <xdr:colOff>690770</xdr:colOff>
      <xdr:row>28</xdr:row>
      <xdr:rowOff>88900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2F3778F-5EA3-99FD-2C78-33F83A21D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30200" y="3962400"/>
          <a:ext cx="3662570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28</xdr:row>
      <xdr:rowOff>190500</xdr:rowOff>
    </xdr:from>
    <xdr:to>
      <xdr:col>4</xdr:col>
      <xdr:colOff>709055</xdr:colOff>
      <xdr:row>37</xdr:row>
      <xdr:rowOff>177800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9B3DE7-0507-CE00-B2CE-11706AFDD4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17500" y="5880100"/>
          <a:ext cx="3693555" cy="1816100"/>
        </a:xfrm>
        <a:prstGeom prst="rect">
          <a:avLst/>
        </a:prstGeom>
      </xdr:spPr>
    </xdr:pic>
    <xdr:clientData/>
  </xdr:twoCellAnchor>
  <xdr:twoCellAnchor editAs="oneCell">
    <xdr:from>
      <xdr:col>0</xdr:col>
      <xdr:colOff>317500</xdr:colOff>
      <xdr:row>38</xdr:row>
      <xdr:rowOff>88900</xdr:rowOff>
    </xdr:from>
    <xdr:to>
      <xdr:col>4</xdr:col>
      <xdr:colOff>736261</xdr:colOff>
      <xdr:row>47</xdr:row>
      <xdr:rowOff>114300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D377F47-E8FF-810F-078D-D9194A6928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17500" y="7810500"/>
          <a:ext cx="3720761" cy="1854200"/>
        </a:xfrm>
        <a:prstGeom prst="rect">
          <a:avLst/>
        </a:prstGeom>
      </xdr:spPr>
    </xdr:pic>
    <xdr:clientData/>
  </xdr:twoCellAnchor>
  <xdr:twoCellAnchor editAs="oneCell">
    <xdr:from>
      <xdr:col>0</xdr:col>
      <xdr:colOff>342900</xdr:colOff>
      <xdr:row>48</xdr:row>
      <xdr:rowOff>38100</xdr:rowOff>
    </xdr:from>
    <xdr:to>
      <xdr:col>4</xdr:col>
      <xdr:colOff>753918</xdr:colOff>
      <xdr:row>57</xdr:row>
      <xdr:rowOff>38100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B8AC6AEF-76E9-9ACA-4C9F-19CC029E8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42900" y="9791700"/>
          <a:ext cx="3713018" cy="18288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58</xdr:row>
      <xdr:rowOff>12700</xdr:rowOff>
    </xdr:from>
    <xdr:to>
      <xdr:col>4</xdr:col>
      <xdr:colOff>818412</xdr:colOff>
      <xdr:row>67</xdr:row>
      <xdr:rowOff>50800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06C6F51-E458-C549-E437-7197694FA6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55600" y="11798300"/>
          <a:ext cx="3764812" cy="1866900"/>
        </a:xfrm>
        <a:prstGeom prst="rect">
          <a:avLst/>
        </a:prstGeom>
      </xdr:spPr>
    </xdr:pic>
    <xdr:clientData/>
  </xdr:twoCellAnchor>
  <xdr:twoCellAnchor editAs="oneCell">
    <xdr:from>
      <xdr:col>0</xdr:col>
      <xdr:colOff>355600</xdr:colOff>
      <xdr:row>68</xdr:row>
      <xdr:rowOff>12700</xdr:rowOff>
    </xdr:from>
    <xdr:to>
      <xdr:col>5</xdr:col>
      <xdr:colOff>12278</xdr:colOff>
      <xdr:row>77</xdr:row>
      <xdr:rowOff>63500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97126DD-8A68-E43A-98EC-86BF53EAD5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5600" y="13830300"/>
          <a:ext cx="3784178" cy="1879600"/>
        </a:xfrm>
        <a:prstGeom prst="rect">
          <a:avLst/>
        </a:prstGeom>
      </xdr:spPr>
    </xdr:pic>
    <xdr:clientData/>
  </xdr:twoCellAnchor>
  <xdr:twoCellAnchor editAs="oneCell">
    <xdr:from>
      <xdr:col>0</xdr:col>
      <xdr:colOff>596900</xdr:colOff>
      <xdr:row>78</xdr:row>
      <xdr:rowOff>25400</xdr:rowOff>
    </xdr:from>
    <xdr:to>
      <xdr:col>5</xdr:col>
      <xdr:colOff>202359</xdr:colOff>
      <xdr:row>87</xdr:row>
      <xdr:rowOff>50800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B0FCBFC-0C79-EE21-2878-D5B8144C04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96900" y="15875000"/>
          <a:ext cx="3732959" cy="1854200"/>
        </a:xfrm>
        <a:prstGeom prst="rect">
          <a:avLst/>
        </a:prstGeom>
      </xdr:spPr>
    </xdr:pic>
    <xdr:clientData/>
  </xdr:twoCellAnchor>
  <xdr:twoCellAnchor editAs="oneCell">
    <xdr:from>
      <xdr:col>7</xdr:col>
      <xdr:colOff>139700</xdr:colOff>
      <xdr:row>19</xdr:row>
      <xdr:rowOff>89524</xdr:rowOff>
    </xdr:from>
    <xdr:to>
      <xdr:col>11</xdr:col>
      <xdr:colOff>520700</xdr:colOff>
      <xdr:row>28</xdr:row>
      <xdr:rowOff>65997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98E23450-3B3A-37A4-E3FD-7D5729203F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918200" y="3950324"/>
          <a:ext cx="3683000" cy="1805273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28</xdr:row>
      <xdr:rowOff>165101</xdr:rowOff>
    </xdr:from>
    <xdr:to>
      <xdr:col>11</xdr:col>
      <xdr:colOff>457200</xdr:colOff>
      <xdr:row>37</xdr:row>
      <xdr:rowOff>146407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CD24887C-C745-7563-10B7-0E9A9DE0BB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5905500" y="5854701"/>
          <a:ext cx="3632200" cy="1810106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38</xdr:row>
      <xdr:rowOff>63500</xdr:rowOff>
    </xdr:from>
    <xdr:to>
      <xdr:col>11</xdr:col>
      <xdr:colOff>533400</xdr:colOff>
      <xdr:row>47</xdr:row>
      <xdr:rowOff>85825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124F8365-2783-C9B2-986B-98BB3313A7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905500" y="7785100"/>
          <a:ext cx="3708400" cy="1851125"/>
        </a:xfrm>
        <a:prstGeom prst="rect">
          <a:avLst/>
        </a:prstGeom>
      </xdr:spPr>
    </xdr:pic>
    <xdr:clientData/>
  </xdr:twoCellAnchor>
  <xdr:twoCellAnchor editAs="oneCell">
    <xdr:from>
      <xdr:col>7</xdr:col>
      <xdr:colOff>127000</xdr:colOff>
      <xdr:row>48</xdr:row>
      <xdr:rowOff>12700</xdr:rowOff>
    </xdr:from>
    <xdr:to>
      <xdr:col>11</xdr:col>
      <xdr:colOff>482600</xdr:colOff>
      <xdr:row>56</xdr:row>
      <xdr:rowOff>188604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53D13D40-6DD9-89A6-0903-04526416B3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5905500" y="9766300"/>
          <a:ext cx="3657600" cy="1801504"/>
        </a:xfrm>
        <a:prstGeom prst="rect">
          <a:avLst/>
        </a:prstGeom>
      </xdr:spPr>
    </xdr:pic>
    <xdr:clientData/>
  </xdr:twoCellAnchor>
  <xdr:twoCellAnchor editAs="oneCell">
    <xdr:from>
      <xdr:col>7</xdr:col>
      <xdr:colOff>165100</xdr:colOff>
      <xdr:row>57</xdr:row>
      <xdr:rowOff>190500</xdr:rowOff>
    </xdr:from>
    <xdr:to>
      <xdr:col>11</xdr:col>
      <xdr:colOff>486563</xdr:colOff>
      <xdr:row>66</xdr:row>
      <xdr:rowOff>152400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920FAB09-19E0-8455-ABF8-DE3FEAFCF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43600" y="11772900"/>
          <a:ext cx="3623463" cy="1790700"/>
        </a:xfrm>
        <a:prstGeom prst="rect">
          <a:avLst/>
        </a:prstGeom>
      </xdr:spPr>
    </xdr:pic>
    <xdr:clientData/>
  </xdr:twoCellAnchor>
  <xdr:twoCellAnchor editAs="oneCell">
    <xdr:from>
      <xdr:col>7</xdr:col>
      <xdr:colOff>203200</xdr:colOff>
      <xdr:row>78</xdr:row>
      <xdr:rowOff>12700</xdr:rowOff>
    </xdr:from>
    <xdr:to>
      <xdr:col>11</xdr:col>
      <xdr:colOff>594343</xdr:colOff>
      <xdr:row>87</xdr:row>
      <xdr:rowOff>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52B1A43-7E9E-D94F-BC25-0EE92B1A58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5981700" y="15862300"/>
          <a:ext cx="3693143" cy="1816100"/>
        </a:xfrm>
        <a:prstGeom prst="rect">
          <a:avLst/>
        </a:prstGeom>
      </xdr:spPr>
    </xdr:pic>
    <xdr:clientData/>
  </xdr:twoCellAnchor>
  <xdr:twoCellAnchor editAs="oneCell">
    <xdr:from>
      <xdr:col>7</xdr:col>
      <xdr:colOff>177800</xdr:colOff>
      <xdr:row>68</xdr:row>
      <xdr:rowOff>12700</xdr:rowOff>
    </xdr:from>
    <xdr:to>
      <xdr:col>11</xdr:col>
      <xdr:colOff>571500</xdr:colOff>
      <xdr:row>77</xdr:row>
      <xdr:rowOff>4352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F95E2FC6-39CE-F298-56D0-78F3E7496A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56300" y="13830300"/>
          <a:ext cx="3695700" cy="182045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simonholmes/Downloads/ArraysEdit2(1).xlsm" TargetMode="External"/><Relationship Id="rId1" Type="http://schemas.openxmlformats.org/officeDocument/2006/relationships/externalLinkPath" Target="/Users/simonholmes/Downloads/ArraysEdit2(1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idden"/>
      <sheetName val="Stances"/>
      <sheetName val="Level_00"/>
      <sheetName val="Level_03"/>
      <sheetName val="Level_04"/>
      <sheetName val="Level_05"/>
      <sheetName val="Map"/>
      <sheetName val="Sheet2"/>
      <sheetName val="Blank"/>
    </sheetNames>
    <sheetDataSet>
      <sheetData sheetId="0">
        <row r="24">
          <cell r="F24" t="str">
            <v xml:space="preserve"> 0, 0,</v>
          </cell>
          <cell r="G24" t="str">
            <v xml:space="preserve"> 0, 0,</v>
          </cell>
          <cell r="H24" t="str">
            <v xml:space="preserve"> 0, 0,</v>
          </cell>
          <cell r="I24" t="str">
            <v xml:space="preserve"> 0, 0,</v>
          </cell>
          <cell r="J24" t="str">
            <v xml:space="preserve"> 0, 0,</v>
          </cell>
          <cell r="K24" t="str">
            <v xml:space="preserve"> 0, 0,</v>
          </cell>
          <cell r="L24" t="str">
            <v xml:space="preserve"> 0, 0,</v>
          </cell>
          <cell r="M24" t="str">
            <v xml:space="preserve"> 0, 0,</v>
          </cell>
          <cell r="N24" t="str">
            <v xml:space="preserve"> 0, 0,</v>
          </cell>
          <cell r="O24" t="str">
            <v xml:space="preserve"> 0, 0,</v>
          </cell>
          <cell r="P24" t="str">
            <v xml:space="preserve"> 0, 0,</v>
          </cell>
          <cell r="Q24" t="str">
            <v xml:space="preserve"> 0, 0,</v>
          </cell>
          <cell r="R24" t="str">
            <v xml:space="preserve"> 0, 0,</v>
          </cell>
          <cell r="S24" t="str">
            <v xml:space="preserve"> 0, 0,</v>
          </cell>
          <cell r="T24" t="str">
            <v xml:space="preserve"> 0, 0,</v>
          </cell>
          <cell r="U24" t="str">
            <v xml:space="preserve"> 0, 0,</v>
          </cell>
          <cell r="V24" t="str">
            <v xml:space="preserve"> 0, 0,</v>
          </cell>
          <cell r="W24" t="str">
            <v xml:space="preserve"> 0, 0,</v>
          </cell>
          <cell r="X24" t="str">
            <v xml:space="preserve"> 0, 0,</v>
          </cell>
          <cell r="Y24" t="str">
            <v xml:space="preserve"> 0, 0,</v>
          </cell>
          <cell r="Z24" t="str">
            <v xml:space="preserve"> 0, 0,</v>
          </cell>
          <cell r="AA24" t="str">
            <v xml:space="preserve"> 0, 0,</v>
          </cell>
          <cell r="AB24" t="str">
            <v xml:space="preserve"> 0, 0,</v>
          </cell>
          <cell r="AC24" t="str">
            <v xml:space="preserve"> 0, 0,</v>
          </cell>
          <cell r="AD24" t="str">
            <v xml:space="preserve"> 0, 0,</v>
          </cell>
        </row>
        <row r="25">
          <cell r="F25" t="str">
            <v xml:space="preserve"> 0, 0,</v>
          </cell>
          <cell r="G25" t="str">
            <v xml:space="preserve"> 0, 0,</v>
          </cell>
          <cell r="H25" t="str">
            <v xml:space="preserve"> 0, 0,</v>
          </cell>
          <cell r="I25" t="str">
            <v xml:space="preserve"> 0, 0,</v>
          </cell>
          <cell r="J25" t="str">
            <v xml:space="preserve"> 0, 0,</v>
          </cell>
          <cell r="K25" t="str">
            <v xml:space="preserve"> 0, 0,</v>
          </cell>
          <cell r="L25" t="str">
            <v xml:space="preserve"> 0, 0,</v>
          </cell>
          <cell r="M25" t="str">
            <v xml:space="preserve"> 0, 0,</v>
          </cell>
          <cell r="N25" t="str">
            <v xml:space="preserve"> 0, 0,</v>
          </cell>
          <cell r="O25" t="str">
            <v xml:space="preserve"> 0, 0,</v>
          </cell>
          <cell r="P25" t="str">
            <v xml:space="preserve"> 0, 0,</v>
          </cell>
          <cell r="Q25" t="str">
            <v xml:space="preserve"> 0, 0,</v>
          </cell>
          <cell r="R25" t="str">
            <v xml:space="preserve"> 0, 0,</v>
          </cell>
          <cell r="S25" t="str">
            <v xml:space="preserve"> 0, 0,</v>
          </cell>
          <cell r="T25" t="str">
            <v xml:space="preserve"> 0, 0,</v>
          </cell>
          <cell r="U25" t="str">
            <v xml:space="preserve"> 0, 0,</v>
          </cell>
          <cell r="V25" t="str">
            <v xml:space="preserve"> 0, 0,</v>
          </cell>
          <cell r="W25" t="str">
            <v xml:space="preserve"> 0, 0,</v>
          </cell>
          <cell r="X25" t="str">
            <v xml:space="preserve"> 0, 0,</v>
          </cell>
          <cell r="Y25" t="str">
            <v xml:space="preserve"> 0, 0,</v>
          </cell>
          <cell r="Z25" t="str">
            <v xml:space="preserve"> 0, 0,</v>
          </cell>
          <cell r="AA25" t="str">
            <v xml:space="preserve"> 0, 0,</v>
          </cell>
          <cell r="AB25" t="str">
            <v xml:space="preserve"> 0, 0,</v>
          </cell>
          <cell r="AC25" t="str">
            <v xml:space="preserve"> 0, 0,</v>
          </cell>
          <cell r="AD25" t="str">
            <v xml:space="preserve"> 0, 0,</v>
          </cell>
        </row>
        <row r="26">
          <cell r="F26" t="str">
            <v>64,64,</v>
          </cell>
          <cell r="G26" t="str">
            <v>74,74,</v>
          </cell>
          <cell r="H26" t="str">
            <v>74,74,</v>
          </cell>
          <cell r="I26" t="str">
            <v>74,74,</v>
          </cell>
          <cell r="J26" t="str">
            <v>63,63,</v>
          </cell>
          <cell r="K26" t="str">
            <v>73,73,</v>
          </cell>
          <cell r="L26" t="str">
            <v>73,73,</v>
          </cell>
          <cell r="M26" t="str">
            <v xml:space="preserve"> 0, 0,</v>
          </cell>
          <cell r="N26" t="str">
            <v xml:space="preserve"> 1, 1,</v>
          </cell>
          <cell r="O26" t="str">
            <v xml:space="preserve"> 8, 8,</v>
          </cell>
          <cell r="P26" t="str">
            <v xml:space="preserve"> 1, 1,</v>
          </cell>
          <cell r="Q26" t="str">
            <v xml:space="preserve"> 9,10,</v>
          </cell>
          <cell r="R26" t="str">
            <v xml:space="preserve"> 0, 0,</v>
          </cell>
          <cell r="S26" t="str">
            <v xml:space="preserve"> 0, 0,</v>
          </cell>
          <cell r="T26" t="str">
            <v xml:space="preserve"> 0, 0,</v>
          </cell>
          <cell r="U26" t="str">
            <v xml:space="preserve"> 0, 0,</v>
          </cell>
          <cell r="V26" t="str">
            <v xml:space="preserve"> 0, 0,</v>
          </cell>
          <cell r="W26" t="str">
            <v xml:space="preserve"> 0, 0,</v>
          </cell>
          <cell r="X26" t="str">
            <v xml:space="preserve"> 0, 0,</v>
          </cell>
          <cell r="Y26" t="str">
            <v xml:space="preserve"> 0, 0,</v>
          </cell>
          <cell r="Z26" t="str">
            <v xml:space="preserve"> 0, 0,</v>
          </cell>
          <cell r="AA26" t="str">
            <v xml:space="preserve"> 0, 0,</v>
          </cell>
          <cell r="AB26" t="str">
            <v xml:space="preserve"> 0, 0,</v>
          </cell>
          <cell r="AC26" t="str">
            <v xml:space="preserve"> 0, 0,</v>
          </cell>
          <cell r="AD26" t="str">
            <v xml:space="preserve"> 0, 0,</v>
          </cell>
        </row>
        <row r="27">
          <cell r="F27" t="str">
            <v>64,64,</v>
          </cell>
          <cell r="G27" t="str">
            <v>74,74,</v>
          </cell>
          <cell r="H27" t="str">
            <v>74,74,</v>
          </cell>
          <cell r="I27" t="str">
            <v>74,74,</v>
          </cell>
          <cell r="J27" t="str">
            <v>63,63,</v>
          </cell>
          <cell r="K27" t="str">
            <v>73,73,</v>
          </cell>
          <cell r="L27" t="str">
            <v>73,73,</v>
          </cell>
          <cell r="M27" t="str">
            <v xml:space="preserve"> 0, 0,</v>
          </cell>
          <cell r="N27" t="str">
            <v xml:space="preserve"> 2, 2,</v>
          </cell>
          <cell r="O27" t="str">
            <v>12,12,</v>
          </cell>
          <cell r="P27" t="str">
            <v xml:space="preserve"> 2, 2,</v>
          </cell>
          <cell r="Q27" t="str">
            <v xml:space="preserve"> 2, 1,</v>
          </cell>
          <cell r="R27" t="str">
            <v xml:space="preserve"> 0, 0,</v>
          </cell>
          <cell r="S27" t="str">
            <v xml:space="preserve"> 0, 0,</v>
          </cell>
          <cell r="T27" t="str">
            <v xml:space="preserve"> 0, 0,</v>
          </cell>
          <cell r="U27" t="str">
            <v xml:space="preserve"> 0, 0,</v>
          </cell>
          <cell r="V27" t="str">
            <v xml:space="preserve"> 0, 0,</v>
          </cell>
          <cell r="W27" t="str">
            <v xml:space="preserve"> 0, 0,</v>
          </cell>
          <cell r="X27" t="str">
            <v xml:space="preserve"> 0, 0,</v>
          </cell>
          <cell r="Y27" t="str">
            <v xml:space="preserve"> 0, 0,</v>
          </cell>
          <cell r="Z27" t="str">
            <v xml:space="preserve"> 0, 0,</v>
          </cell>
          <cell r="AA27" t="str">
            <v xml:space="preserve"> 0, 0,</v>
          </cell>
          <cell r="AB27" t="str">
            <v xml:space="preserve"> 0, 0,</v>
          </cell>
          <cell r="AC27" t="str">
            <v xml:space="preserve"> 0, 0,</v>
          </cell>
          <cell r="AD27" t="str">
            <v xml:space="preserve"> 0, 0,</v>
          </cell>
        </row>
        <row r="28">
          <cell r="F28" t="str">
            <v xml:space="preserve"> 0, 0,</v>
          </cell>
          <cell r="G28" t="str">
            <v>33,33,</v>
          </cell>
          <cell r="H28" t="str">
            <v xml:space="preserve"> 1, 1,</v>
          </cell>
          <cell r="I28" t="str">
            <v>33,33,</v>
          </cell>
          <cell r="J28" t="str">
            <v xml:space="preserve"> 0, 0,</v>
          </cell>
          <cell r="K28" t="str">
            <v>33,33,</v>
          </cell>
          <cell r="L28" t="str">
            <v xml:space="preserve"> 0, 0,</v>
          </cell>
          <cell r="M28" t="str">
            <v xml:space="preserve"> 0, 0,</v>
          </cell>
          <cell r="N28" t="str">
            <v xml:space="preserve"> 0, 0,</v>
          </cell>
          <cell r="O28" t="str">
            <v>12,12,</v>
          </cell>
          <cell r="P28" t="str">
            <v xml:space="preserve"> 0, 0,</v>
          </cell>
          <cell r="Q28" t="str">
            <v>62,62,</v>
          </cell>
          <cell r="R28" t="str">
            <v>72,72,</v>
          </cell>
          <cell r="S28" t="str">
            <v xml:space="preserve"> 8, 8,</v>
          </cell>
          <cell r="T28" t="str">
            <v>63,63,</v>
          </cell>
          <cell r="U28" t="str">
            <v>73,73,</v>
          </cell>
          <cell r="V28" t="str">
            <v>73,73,</v>
          </cell>
          <cell r="W28" t="str">
            <v xml:space="preserve"> 0, 0,</v>
          </cell>
          <cell r="X28" t="str">
            <v xml:space="preserve"> 0, 0,</v>
          </cell>
          <cell r="Y28" t="str">
            <v xml:space="preserve"> 0, 0,</v>
          </cell>
          <cell r="Z28" t="str">
            <v xml:space="preserve"> 0, 0,</v>
          </cell>
          <cell r="AA28" t="str">
            <v xml:space="preserve"> 0, 0,</v>
          </cell>
          <cell r="AB28" t="str">
            <v>36,37,</v>
          </cell>
          <cell r="AC28" t="str">
            <v>34,35,</v>
          </cell>
          <cell r="AD28" t="str">
            <v xml:space="preserve"> 1, 1,</v>
          </cell>
        </row>
        <row r="29">
          <cell r="F29" t="str">
            <v xml:space="preserve"> 0, 0,</v>
          </cell>
          <cell r="G29" t="str">
            <v>31,31,</v>
          </cell>
          <cell r="H29" t="str">
            <v xml:space="preserve"> 2, 2,</v>
          </cell>
          <cell r="I29" t="str">
            <v>31,31,</v>
          </cell>
          <cell r="J29" t="str">
            <v xml:space="preserve"> 0, 0,</v>
          </cell>
          <cell r="K29" t="str">
            <v>31,31,</v>
          </cell>
          <cell r="L29" t="str">
            <v xml:space="preserve"> 0, 0,</v>
          </cell>
          <cell r="M29" t="str">
            <v xml:space="preserve"> 0, 0,</v>
          </cell>
          <cell r="N29" t="str">
            <v xml:space="preserve"> 0, 0,</v>
          </cell>
          <cell r="O29" t="str">
            <v>12,12,</v>
          </cell>
          <cell r="P29" t="str">
            <v xml:space="preserve"> 0, 0,</v>
          </cell>
          <cell r="Q29" t="str">
            <v>62,62,</v>
          </cell>
          <cell r="R29" t="str">
            <v>72,72,</v>
          </cell>
          <cell r="S29" t="str">
            <v>12,12,</v>
          </cell>
          <cell r="T29" t="str">
            <v>63,63,</v>
          </cell>
          <cell r="U29" t="str">
            <v>73,73,</v>
          </cell>
          <cell r="V29" t="str">
            <v>73,73,</v>
          </cell>
          <cell r="W29" t="str">
            <v xml:space="preserve"> 0, 0,</v>
          </cell>
          <cell r="X29" t="str">
            <v xml:space="preserve"> 0, 0,</v>
          </cell>
          <cell r="Y29" t="str">
            <v xml:space="preserve"> 0, 0,</v>
          </cell>
          <cell r="Z29" t="str">
            <v xml:space="preserve"> 0, 0,</v>
          </cell>
          <cell r="AA29" t="str">
            <v xml:space="preserve"> 0, 0,</v>
          </cell>
          <cell r="AB29" t="str">
            <v>36,37,</v>
          </cell>
          <cell r="AC29" t="str">
            <v>34,35,</v>
          </cell>
          <cell r="AD29" t="str">
            <v xml:space="preserve"> 2, 2,</v>
          </cell>
        </row>
        <row r="30">
          <cell r="F30" t="str">
            <v xml:space="preserve"> 1, 1,</v>
          </cell>
          <cell r="G30" t="str">
            <v>31,31,</v>
          </cell>
          <cell r="H30" t="str">
            <v xml:space="preserve"> 1, 1,</v>
          </cell>
          <cell r="I30" t="str">
            <v>31,31,</v>
          </cell>
          <cell r="J30" t="str">
            <v xml:space="preserve"> 1, 1,</v>
          </cell>
          <cell r="K30" t="str">
            <v>31,31,</v>
          </cell>
          <cell r="L30" t="str">
            <v xml:space="preserve"> 0, 0,</v>
          </cell>
          <cell r="M30" t="str">
            <v xml:space="preserve"> 0, 0,</v>
          </cell>
          <cell r="N30" t="str">
            <v xml:space="preserve"> 0, 0,</v>
          </cell>
          <cell r="O30" t="str">
            <v>12,12,</v>
          </cell>
          <cell r="P30" t="str">
            <v xml:space="preserve"> 0, 0,</v>
          </cell>
          <cell r="Q30" t="str">
            <v xml:space="preserve"> 0, 0,</v>
          </cell>
          <cell r="R30" t="str">
            <v xml:space="preserve"> 0, 0,</v>
          </cell>
          <cell r="S30" t="str">
            <v>12,12,</v>
          </cell>
          <cell r="T30" t="str">
            <v xml:space="preserve"> 0, 0,</v>
          </cell>
          <cell r="U30" t="str">
            <v xml:space="preserve"> 0, 0,</v>
          </cell>
          <cell r="V30" t="str">
            <v xml:space="preserve"> 0, 0,</v>
          </cell>
          <cell r="W30" t="str">
            <v xml:space="preserve"> 0, 0,</v>
          </cell>
          <cell r="X30" t="str">
            <v xml:space="preserve"> 0, 0,</v>
          </cell>
          <cell r="Y30" t="str">
            <v xml:space="preserve"> 0, 0,</v>
          </cell>
          <cell r="Z30" t="str">
            <v>63,63,</v>
          </cell>
          <cell r="AA30" t="str">
            <v>73,73,</v>
          </cell>
          <cell r="AB30" t="str">
            <v>73,73,</v>
          </cell>
          <cell r="AC30" t="str">
            <v xml:space="preserve"> 8, 8,</v>
          </cell>
          <cell r="AD30" t="str">
            <v xml:space="preserve"> 1, 1,</v>
          </cell>
        </row>
        <row r="31">
          <cell r="F31" t="str">
            <v xml:space="preserve"> 2, 2,</v>
          </cell>
          <cell r="G31" t="str">
            <v>31,31,</v>
          </cell>
          <cell r="H31" t="str">
            <v xml:space="preserve"> 2, 2,</v>
          </cell>
          <cell r="I31" t="str">
            <v>31,31,</v>
          </cell>
          <cell r="J31" t="str">
            <v xml:space="preserve"> 2, 2,</v>
          </cell>
          <cell r="K31" t="str">
            <v>31,31,</v>
          </cell>
          <cell r="L31" t="str">
            <v xml:space="preserve"> 0, 0,</v>
          </cell>
          <cell r="M31" t="str">
            <v xml:space="preserve"> 0, 0,</v>
          </cell>
          <cell r="N31" t="str">
            <v xml:space="preserve"> 0, 0,</v>
          </cell>
          <cell r="O31" t="str">
            <v xml:space="preserve"> 7, 7,</v>
          </cell>
          <cell r="P31" t="str">
            <v xml:space="preserve"> 0, 0,</v>
          </cell>
          <cell r="Q31" t="str">
            <v xml:space="preserve"> 0, 0,</v>
          </cell>
          <cell r="R31" t="str">
            <v xml:space="preserve"> 0, 0,</v>
          </cell>
          <cell r="S31" t="str">
            <v xml:space="preserve"> 7, 7,</v>
          </cell>
          <cell r="T31" t="str">
            <v xml:space="preserve"> 0, 0,</v>
          </cell>
          <cell r="U31" t="str">
            <v xml:space="preserve"> 0, 0,</v>
          </cell>
          <cell r="V31" t="str">
            <v xml:space="preserve"> 0, 0,</v>
          </cell>
          <cell r="W31" t="str">
            <v xml:space="preserve"> 0, 0,</v>
          </cell>
          <cell r="X31" t="str">
            <v xml:space="preserve"> 0, 0,</v>
          </cell>
          <cell r="Y31" t="str">
            <v xml:space="preserve"> 0, 0,</v>
          </cell>
          <cell r="Z31" t="str">
            <v>63,63,</v>
          </cell>
          <cell r="AA31" t="str">
            <v>73,73,</v>
          </cell>
          <cell r="AB31" t="str">
            <v>73,73,</v>
          </cell>
          <cell r="AC31" t="str">
            <v>12,12,</v>
          </cell>
          <cell r="AD31" t="str">
            <v xml:space="preserve"> 2, 2,</v>
          </cell>
        </row>
        <row r="32">
          <cell r="F32" t="str">
            <v xml:space="preserve"> 0, 0,</v>
          </cell>
          <cell r="G32" t="str">
            <v>31,31,</v>
          </cell>
          <cell r="H32" t="str">
            <v xml:space="preserve"> 0, 0,</v>
          </cell>
          <cell r="I32" t="str">
            <v>31,31,</v>
          </cell>
          <cell r="J32" t="str">
            <v xml:space="preserve"> 0, 0,</v>
          </cell>
          <cell r="K32" t="str">
            <v>31,31,</v>
          </cell>
          <cell r="L32" t="str">
            <v xml:space="preserve"> 0, 0,</v>
          </cell>
          <cell r="M32" t="str">
            <v xml:space="preserve"> 1, 1,</v>
          </cell>
          <cell r="N32" t="str">
            <v xml:space="preserve"> 8, 8,</v>
          </cell>
          <cell r="O32" t="str">
            <v>64,64,</v>
          </cell>
          <cell r="P32" t="str">
            <v>74,74,</v>
          </cell>
          <cell r="Q32" t="str">
            <v>74,74,</v>
          </cell>
          <cell r="R32" t="str">
            <v>74,74,</v>
          </cell>
          <cell r="S32" t="str">
            <v xml:space="preserve"> 1, 1,</v>
          </cell>
          <cell r="T32" t="str">
            <v xml:space="preserve"> 0, 0,</v>
          </cell>
          <cell r="U32" t="str">
            <v xml:space="preserve"> 0, 0,</v>
          </cell>
          <cell r="V32" t="str">
            <v xml:space="preserve"> 0, 0,</v>
          </cell>
          <cell r="W32" t="str">
            <v xml:space="preserve"> 0, 0,</v>
          </cell>
          <cell r="X32" t="str">
            <v xml:space="preserve"> 0, 0,</v>
          </cell>
          <cell r="Y32" t="str">
            <v xml:space="preserve"> 0, 0,</v>
          </cell>
          <cell r="Z32" t="str">
            <v xml:space="preserve"> 0, 0,</v>
          </cell>
          <cell r="AA32" t="str">
            <v xml:space="preserve"> 0, 0,</v>
          </cell>
          <cell r="AB32" t="str">
            <v xml:space="preserve"> 0, 0,</v>
          </cell>
          <cell r="AC32" t="str">
            <v>12,12,</v>
          </cell>
          <cell r="AD32" t="str">
            <v xml:space="preserve"> 1, 1,</v>
          </cell>
        </row>
        <row r="33">
          <cell r="F33" t="str">
            <v xml:space="preserve"> 0, 0,</v>
          </cell>
          <cell r="G33" t="str">
            <v>31,31,</v>
          </cell>
          <cell r="H33" t="str">
            <v xml:space="preserve"> 0, 0,</v>
          </cell>
          <cell r="I33" t="str">
            <v>31,31,</v>
          </cell>
          <cell r="J33" t="str">
            <v xml:space="preserve"> 0, 0,</v>
          </cell>
          <cell r="K33" t="str">
            <v>31,31,</v>
          </cell>
          <cell r="L33" t="str">
            <v xml:space="preserve"> 0, 0,</v>
          </cell>
          <cell r="M33" t="str">
            <v xml:space="preserve"> 2, 2,</v>
          </cell>
          <cell r="N33" t="str">
            <v>12,12,</v>
          </cell>
          <cell r="O33" t="str">
            <v>64,64,</v>
          </cell>
          <cell r="P33" t="str">
            <v>74,74,</v>
          </cell>
          <cell r="Q33" t="str">
            <v>74,74,</v>
          </cell>
          <cell r="R33" t="str">
            <v>74,74,</v>
          </cell>
          <cell r="S33" t="str">
            <v xml:space="preserve"> 2, 2,</v>
          </cell>
          <cell r="T33" t="str">
            <v xml:space="preserve"> 0, 0,</v>
          </cell>
          <cell r="U33" t="str">
            <v xml:space="preserve"> 0, 0,</v>
          </cell>
          <cell r="V33" t="str">
            <v xml:space="preserve"> 0, 0,</v>
          </cell>
          <cell r="W33" t="str">
            <v xml:space="preserve"> 0, 0,</v>
          </cell>
          <cell r="X33" t="str">
            <v xml:space="preserve"> 0, 0,</v>
          </cell>
          <cell r="Y33" t="str">
            <v xml:space="preserve"> 0, 0,</v>
          </cell>
          <cell r="Z33" t="str">
            <v xml:space="preserve"> 0, 0,</v>
          </cell>
          <cell r="AA33" t="str">
            <v xml:space="preserve"> 0, 0,</v>
          </cell>
          <cell r="AB33" t="str">
            <v xml:space="preserve"> 0, 0,</v>
          </cell>
          <cell r="AC33" t="str">
            <v>12,12,</v>
          </cell>
          <cell r="AD33" t="str">
            <v xml:space="preserve"> 2, 2,</v>
          </cell>
        </row>
        <row r="34">
          <cell r="F34" t="str">
            <v xml:space="preserve"> 0, 0,</v>
          </cell>
          <cell r="G34" t="str">
            <v>31,31,</v>
          </cell>
          <cell r="H34" t="str">
            <v xml:space="preserve"> 1, 1,</v>
          </cell>
          <cell r="I34" t="str">
            <v>31,31,</v>
          </cell>
          <cell r="J34" t="str">
            <v xml:space="preserve"> 0, 0,</v>
          </cell>
          <cell r="K34" t="str">
            <v>31,31,</v>
          </cell>
          <cell r="L34" t="str">
            <v xml:space="preserve"> 0, 0,</v>
          </cell>
          <cell r="M34" t="str">
            <v xml:space="preserve"> 0, 0,</v>
          </cell>
          <cell r="N34" t="str">
            <v>12,12,</v>
          </cell>
          <cell r="O34" t="str">
            <v xml:space="preserve"> 0, 0,</v>
          </cell>
          <cell r="P34" t="str">
            <v xml:space="preserve"> 0, 0,</v>
          </cell>
          <cell r="Q34" t="str">
            <v xml:space="preserve"> 0, 0,</v>
          </cell>
          <cell r="R34" t="str">
            <v>24,24,</v>
          </cell>
          <cell r="S34" t="str">
            <v xml:space="preserve"> 0, 0,</v>
          </cell>
          <cell r="T34" t="str">
            <v xml:space="preserve"> 0, 0,</v>
          </cell>
          <cell r="U34" t="str">
            <v xml:space="preserve"> 0, 0,</v>
          </cell>
          <cell r="V34" t="str">
            <v xml:space="preserve"> 0, 0,</v>
          </cell>
          <cell r="W34" t="str">
            <v xml:space="preserve"> 0, 0,</v>
          </cell>
          <cell r="X34" t="str">
            <v xml:space="preserve"> 0, 0,</v>
          </cell>
          <cell r="Y34" t="str">
            <v xml:space="preserve"> 0, 0,</v>
          </cell>
          <cell r="Z34" t="str">
            <v>63,63,</v>
          </cell>
          <cell r="AA34" t="str">
            <v>73,73,</v>
          </cell>
          <cell r="AB34" t="str">
            <v>73,73,</v>
          </cell>
          <cell r="AC34" t="str">
            <v>12,12,</v>
          </cell>
          <cell r="AD34" t="str">
            <v xml:space="preserve"> 1, 1,</v>
          </cell>
        </row>
        <row r="35">
          <cell r="F35" t="str">
            <v xml:space="preserve"> 0, 0,</v>
          </cell>
          <cell r="G35" t="str">
            <v>31,31,</v>
          </cell>
          <cell r="H35" t="str">
            <v xml:space="preserve"> 2, 2,</v>
          </cell>
          <cell r="I35" t="str">
            <v>31,31,</v>
          </cell>
          <cell r="J35" t="str">
            <v xml:space="preserve"> 0, 0,</v>
          </cell>
          <cell r="K35" t="str">
            <v>32,32,</v>
          </cell>
          <cell r="L35" t="str">
            <v xml:space="preserve"> 0, 0,</v>
          </cell>
          <cell r="M35" t="str">
            <v xml:space="preserve"> 0, 0,</v>
          </cell>
          <cell r="N35" t="str">
            <v>12,12,</v>
          </cell>
          <cell r="O35" t="str">
            <v xml:space="preserve"> 0, 0,</v>
          </cell>
          <cell r="P35" t="str">
            <v xml:space="preserve"> 0, 0,</v>
          </cell>
          <cell r="Q35" t="str">
            <v xml:space="preserve"> 0, 0,</v>
          </cell>
          <cell r="R35" t="str">
            <v>24,24,</v>
          </cell>
          <cell r="S35" t="str">
            <v xml:space="preserve"> 0, 0,</v>
          </cell>
          <cell r="T35" t="str">
            <v xml:space="preserve"> 0, 0,</v>
          </cell>
          <cell r="U35" t="str">
            <v xml:space="preserve"> 0, 0,</v>
          </cell>
          <cell r="V35" t="str">
            <v xml:space="preserve"> 0, 0,</v>
          </cell>
          <cell r="W35" t="str">
            <v xml:space="preserve"> 0, 0,</v>
          </cell>
          <cell r="X35" t="str">
            <v xml:space="preserve"> 0, 0,</v>
          </cell>
          <cell r="Y35" t="str">
            <v xml:space="preserve"> 0, 0,</v>
          </cell>
          <cell r="Z35" t="str">
            <v>63,63,</v>
          </cell>
          <cell r="AA35" t="str">
            <v>73,73,</v>
          </cell>
          <cell r="AB35" t="str">
            <v>73,73,</v>
          </cell>
          <cell r="AC35" t="str">
            <v>12,12,</v>
          </cell>
          <cell r="AD35" t="str">
            <v xml:space="preserve"> 2, 2,</v>
          </cell>
        </row>
        <row r="36">
          <cell r="F36" t="str">
            <v xml:space="preserve"> 0, 0,</v>
          </cell>
          <cell r="G36" t="str">
            <v>31,31,</v>
          </cell>
          <cell r="H36" t="str">
            <v xml:space="preserve"> 0, 0,</v>
          </cell>
          <cell r="I36" t="str">
            <v>31,31,</v>
          </cell>
          <cell r="J36" t="str">
            <v xml:space="preserve"> 0, 0,</v>
          </cell>
          <cell r="K36" t="str">
            <v xml:space="preserve"> 0, 0,</v>
          </cell>
          <cell r="L36" t="str">
            <v xml:space="preserve"> 0, 0,</v>
          </cell>
          <cell r="M36" t="str">
            <v xml:space="preserve"> 0, 0,</v>
          </cell>
          <cell r="N36" t="str">
            <v>12,12,</v>
          </cell>
          <cell r="O36" t="str">
            <v xml:space="preserve"> 0, 0,</v>
          </cell>
          <cell r="P36" t="str">
            <v xml:space="preserve"> 8, 8,</v>
          </cell>
          <cell r="Q36" t="str">
            <v>62,62,</v>
          </cell>
          <cell r="R36" t="str">
            <v>72,72,</v>
          </cell>
          <cell r="S36" t="str">
            <v xml:space="preserve"> 9,10,</v>
          </cell>
          <cell r="T36" t="str">
            <v xml:space="preserve"> 0, 0,</v>
          </cell>
          <cell r="U36" t="str">
            <v xml:space="preserve"> 0, 0,</v>
          </cell>
          <cell r="V36" t="str">
            <v xml:space="preserve"> 0, 0,</v>
          </cell>
          <cell r="W36" t="str">
            <v xml:space="preserve"> 0, 0,</v>
          </cell>
          <cell r="X36" t="str">
            <v xml:space="preserve"> 0, 0,</v>
          </cell>
          <cell r="Y36" t="str">
            <v xml:space="preserve"> 0, 0,</v>
          </cell>
          <cell r="Z36" t="str">
            <v xml:space="preserve"> 0, 0,</v>
          </cell>
          <cell r="AA36" t="str">
            <v>25,25,</v>
          </cell>
          <cell r="AB36" t="str">
            <v xml:space="preserve"> 0, 0,</v>
          </cell>
          <cell r="AC36" t="str">
            <v>12,12,</v>
          </cell>
          <cell r="AD36" t="str">
            <v xml:space="preserve"> 1, 1,</v>
          </cell>
        </row>
        <row r="37">
          <cell r="F37" t="str">
            <v xml:space="preserve"> 0, 0,</v>
          </cell>
          <cell r="G37" t="str">
            <v>32,32,</v>
          </cell>
          <cell r="H37" t="str">
            <v xml:space="preserve"> 0, 0,</v>
          </cell>
          <cell r="I37" t="str">
            <v>31,31,</v>
          </cell>
          <cell r="J37" t="str">
            <v xml:space="preserve"> 0, 0,</v>
          </cell>
          <cell r="K37" t="str">
            <v xml:space="preserve"> 0, 0,</v>
          </cell>
          <cell r="L37" t="str">
            <v xml:space="preserve"> 0, 0,</v>
          </cell>
          <cell r="M37" t="str">
            <v xml:space="preserve"> 0, 0,</v>
          </cell>
          <cell r="N37" t="str">
            <v>12,12,</v>
          </cell>
          <cell r="O37" t="str">
            <v xml:space="preserve"> 0, 0,</v>
          </cell>
          <cell r="P37" t="str">
            <v>12,12,</v>
          </cell>
          <cell r="Q37" t="str">
            <v>62,62,</v>
          </cell>
          <cell r="R37" t="str">
            <v>72,72,</v>
          </cell>
          <cell r="S37" t="str">
            <v xml:space="preserve"> 2, 1,</v>
          </cell>
          <cell r="T37" t="str">
            <v xml:space="preserve"> 0, 0,</v>
          </cell>
          <cell r="U37" t="str">
            <v xml:space="preserve"> 0, 0,</v>
          </cell>
          <cell r="V37" t="str">
            <v xml:space="preserve"> 0, 0,</v>
          </cell>
          <cell r="W37" t="str">
            <v xml:space="preserve"> 0, 0,</v>
          </cell>
          <cell r="X37" t="str">
            <v xml:space="preserve"> 0, 0,</v>
          </cell>
          <cell r="Y37" t="str">
            <v xml:space="preserve"> 0, 0,</v>
          </cell>
          <cell r="Z37" t="str">
            <v xml:space="preserve"> 0, 0,</v>
          </cell>
          <cell r="AA37" t="str">
            <v>25,25,</v>
          </cell>
          <cell r="AB37" t="str">
            <v xml:space="preserve"> 0, 0,</v>
          </cell>
          <cell r="AC37" t="str">
            <v xml:space="preserve"> 7, 7,</v>
          </cell>
          <cell r="AD37" t="str">
            <v xml:space="preserve"> 2, 2,</v>
          </cell>
        </row>
        <row r="38">
          <cell r="F38" t="str">
            <v xml:space="preserve"> 4, 5,</v>
          </cell>
          <cell r="G38" t="str">
            <v xml:space="preserve"> 1, 1,</v>
          </cell>
          <cell r="H38" t="str">
            <v>20, 0,</v>
          </cell>
          <cell r="I38" t="str">
            <v>31,31,</v>
          </cell>
          <cell r="J38" t="str">
            <v xml:space="preserve"> 0, 0,</v>
          </cell>
          <cell r="K38" t="str">
            <v>18,18,</v>
          </cell>
          <cell r="L38" t="str">
            <v xml:space="preserve"> 1,19,</v>
          </cell>
          <cell r="M38" t="str">
            <v xml:space="preserve"> 0, 0,</v>
          </cell>
          <cell r="N38" t="str">
            <v>12,12,</v>
          </cell>
          <cell r="O38" t="str">
            <v xml:space="preserve"> 0, 0,</v>
          </cell>
          <cell r="P38" t="str">
            <v>12,12,</v>
          </cell>
          <cell r="Q38" t="str">
            <v xml:space="preserve"> 0, 0,</v>
          </cell>
          <cell r="R38" t="str">
            <v xml:space="preserve"> 0, 0,</v>
          </cell>
          <cell r="S38" t="str">
            <v>62,62,</v>
          </cell>
          <cell r="T38" t="str">
            <v>72,72,</v>
          </cell>
          <cell r="U38" t="str">
            <v xml:space="preserve"> 0, 0,</v>
          </cell>
          <cell r="V38" t="str">
            <v xml:space="preserve"> 0, 0,</v>
          </cell>
          <cell r="W38" t="str">
            <v xml:space="preserve"> 0, 0,</v>
          </cell>
          <cell r="X38" t="str">
            <v>64,64,</v>
          </cell>
          <cell r="Y38" t="str">
            <v>74,74,</v>
          </cell>
          <cell r="Z38" t="str">
            <v>74,74,</v>
          </cell>
          <cell r="AA38" t="str">
            <v>74,74,</v>
          </cell>
          <cell r="AB38" t="str">
            <v>63,63,</v>
          </cell>
          <cell r="AC38" t="str">
            <v>73,73,</v>
          </cell>
          <cell r="AD38" t="str">
            <v>73,73,</v>
          </cell>
        </row>
        <row r="39">
          <cell r="F39" t="str">
            <v xml:space="preserve"> 1, 2,</v>
          </cell>
          <cell r="G39" t="str">
            <v xml:space="preserve"> 2, 2,</v>
          </cell>
          <cell r="H39" t="str">
            <v xml:space="preserve"> 2,20,</v>
          </cell>
          <cell r="I39" t="str">
            <v>32,32,</v>
          </cell>
          <cell r="J39" t="str">
            <v xml:space="preserve"> 0, 0,</v>
          </cell>
          <cell r="K39" t="str">
            <v>18,18,</v>
          </cell>
          <cell r="L39" t="str">
            <v xml:space="preserve"> 2, 2,</v>
          </cell>
          <cell r="M39" t="str">
            <v xml:space="preserve"> 0, 0,</v>
          </cell>
          <cell r="N39" t="str">
            <v xml:space="preserve"> 7, 7,</v>
          </cell>
          <cell r="O39" t="str">
            <v xml:space="preserve"> 0, 0,</v>
          </cell>
          <cell r="P39" t="str">
            <v xml:space="preserve"> 7, 7,</v>
          </cell>
          <cell r="Q39" t="str">
            <v xml:space="preserve"> 0, 0,</v>
          </cell>
          <cell r="R39" t="str">
            <v xml:space="preserve"> 0, 0,</v>
          </cell>
          <cell r="S39" t="str">
            <v>62,62,</v>
          </cell>
          <cell r="T39" t="str">
            <v>72,72,</v>
          </cell>
          <cell r="U39" t="str">
            <v>40,40,</v>
          </cell>
          <cell r="V39" t="str">
            <v>38,38,</v>
          </cell>
          <cell r="W39" t="str">
            <v>39,39,</v>
          </cell>
          <cell r="X39" t="str">
            <v>64,64,</v>
          </cell>
          <cell r="Y39" t="str">
            <v>74,74,</v>
          </cell>
          <cell r="Z39" t="str">
            <v>74,74,</v>
          </cell>
          <cell r="AA39" t="str">
            <v>74,74,</v>
          </cell>
          <cell r="AB39" t="str">
            <v>63,63,</v>
          </cell>
          <cell r="AC39" t="str">
            <v>73,73,</v>
          </cell>
          <cell r="AD39" t="str">
            <v>73,73,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J14" sqref="J14"/>
    </sheetView>
  </sheetViews>
  <sheetFormatPr baseColWidth="10" defaultColWidth="11.1640625" defaultRowHeight="39" customHeight="1" x14ac:dyDescent="0.2"/>
  <sheetData>
    <row r="1" spans="3:31" ht="39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39" customHeight="1" x14ac:dyDescent="0.2">
      <c r="E2" s="1">
        <v>0</v>
      </c>
      <c r="AE2" s="2"/>
    </row>
    <row r="3" spans="3:31" ht="39" customHeight="1" x14ac:dyDescent="0.2">
      <c r="E3" s="1">
        <v>1</v>
      </c>
      <c r="AE3" s="2"/>
    </row>
    <row r="4" spans="3:31" ht="39" customHeight="1" x14ac:dyDescent="0.2">
      <c r="E4" s="1">
        <v>2</v>
      </c>
      <c r="AE4" s="2"/>
    </row>
    <row r="5" spans="3:31" ht="39" customHeight="1" x14ac:dyDescent="0.2">
      <c r="E5" s="1">
        <v>3</v>
      </c>
      <c r="AE5" s="2"/>
    </row>
    <row r="6" spans="3:31" ht="39" customHeight="1" x14ac:dyDescent="0.2">
      <c r="E6" s="1">
        <v>4</v>
      </c>
      <c r="AE6" s="2"/>
    </row>
    <row r="7" spans="3:31" ht="39" customHeight="1" x14ac:dyDescent="0.2">
      <c r="E7" s="1">
        <v>5</v>
      </c>
      <c r="N7" s="3"/>
      <c r="AE7" s="2"/>
    </row>
    <row r="8" spans="3:31" ht="39" customHeight="1" x14ac:dyDescent="0.2">
      <c r="E8" s="1">
        <v>6</v>
      </c>
      <c r="AE8" s="2"/>
    </row>
    <row r="9" spans="3:31" ht="39" customHeight="1" x14ac:dyDescent="0.2">
      <c r="E9" s="1">
        <v>7</v>
      </c>
      <c r="AE9" s="2"/>
    </row>
    <row r="10" spans="3:31" ht="39" customHeight="1" x14ac:dyDescent="0.2"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2" spans="3:31" ht="39" customHeight="1" x14ac:dyDescent="0.2">
      <c r="E12" s="1"/>
      <c r="F12" s="1">
        <v>0</v>
      </c>
      <c r="G12" s="1">
        <v>1</v>
      </c>
      <c r="H12" s="1">
        <v>2</v>
      </c>
      <c r="I12" s="1">
        <v>3</v>
      </c>
      <c r="J12" s="1">
        <v>4</v>
      </c>
      <c r="K12" s="1">
        <v>5</v>
      </c>
      <c r="L12" s="1">
        <v>6</v>
      </c>
      <c r="M12" s="1">
        <v>7</v>
      </c>
      <c r="N12" s="1">
        <v>8</v>
      </c>
      <c r="O12" s="1">
        <v>9</v>
      </c>
      <c r="P12" s="1">
        <v>10</v>
      </c>
      <c r="Q12" s="1">
        <v>11</v>
      </c>
      <c r="R12" s="1">
        <v>12</v>
      </c>
      <c r="S12" s="1">
        <v>13</v>
      </c>
      <c r="T12" s="1">
        <v>14</v>
      </c>
      <c r="U12" s="1">
        <v>15</v>
      </c>
      <c r="V12" s="1">
        <v>16</v>
      </c>
      <c r="W12" s="1">
        <v>17</v>
      </c>
      <c r="X12" s="1">
        <v>18</v>
      </c>
      <c r="Y12" s="1">
        <v>19</v>
      </c>
      <c r="Z12" s="1">
        <v>20</v>
      </c>
      <c r="AA12" s="1">
        <v>21</v>
      </c>
      <c r="AB12" s="1">
        <v>22</v>
      </c>
      <c r="AC12" s="1">
        <v>23</v>
      </c>
      <c r="AD12" s="1">
        <v>24</v>
      </c>
      <c r="AE12" s="2"/>
    </row>
    <row r="13" spans="3:31" ht="39" customHeight="1" x14ac:dyDescent="0.2">
      <c r="E13" s="1">
        <v>0</v>
      </c>
      <c r="F13" s="6" t="s">
        <v>6</v>
      </c>
      <c r="G13" s="4" t="s">
        <v>6</v>
      </c>
      <c r="H13" s="4" t="s">
        <v>6</v>
      </c>
      <c r="I13" s="4" t="s">
        <v>6</v>
      </c>
      <c r="J13" s="6" t="s">
        <v>6</v>
      </c>
      <c r="K13" s="6" t="s">
        <v>6</v>
      </c>
      <c r="L13" s="6" t="s">
        <v>6</v>
      </c>
      <c r="M13" s="6" t="s">
        <v>6</v>
      </c>
      <c r="N13" s="6" t="s">
        <v>6</v>
      </c>
      <c r="O13" s="6" t="s">
        <v>6</v>
      </c>
      <c r="P13" s="6" t="s">
        <v>6</v>
      </c>
      <c r="Q13" s="6" t="s">
        <v>6</v>
      </c>
      <c r="R13" s="6" t="s">
        <v>6</v>
      </c>
      <c r="S13" s="6" t="s">
        <v>6</v>
      </c>
      <c r="T13" s="6" t="s">
        <v>6</v>
      </c>
      <c r="U13" s="6" t="s">
        <v>6</v>
      </c>
      <c r="V13" s="6" t="s">
        <v>6</v>
      </c>
      <c r="W13" s="6" t="s">
        <v>6</v>
      </c>
      <c r="X13" s="6" t="s">
        <v>6</v>
      </c>
      <c r="Y13" s="6" t="s">
        <v>6</v>
      </c>
      <c r="Z13" s="4" t="s">
        <v>6</v>
      </c>
      <c r="AA13" s="4" t="s">
        <v>6</v>
      </c>
      <c r="AB13" s="4" t="s">
        <v>6</v>
      </c>
      <c r="AC13" s="4" t="s">
        <v>6</v>
      </c>
      <c r="AD13" s="4" t="s">
        <v>6</v>
      </c>
      <c r="AE13" s="2"/>
    </row>
    <row r="14" spans="3:31" ht="39" customHeight="1" x14ac:dyDescent="0.2">
      <c r="E14" s="1">
        <v>1</v>
      </c>
      <c r="F14" s="4" t="s">
        <v>6</v>
      </c>
      <c r="G14" s="4" t="s">
        <v>6</v>
      </c>
      <c r="H14" s="4" t="s">
        <v>6</v>
      </c>
      <c r="I14" s="4" t="s">
        <v>6</v>
      </c>
      <c r="J14" s="6" t="s">
        <v>6</v>
      </c>
      <c r="K14" s="6" t="s">
        <v>6</v>
      </c>
      <c r="L14" s="6" t="s">
        <v>6</v>
      </c>
      <c r="M14" s="4" t="s">
        <v>6</v>
      </c>
      <c r="N14" s="4" t="s">
        <v>6</v>
      </c>
      <c r="O14" s="6" t="s">
        <v>138</v>
      </c>
      <c r="P14" s="6" t="s">
        <v>6</v>
      </c>
      <c r="Q14" s="6" t="s">
        <v>6</v>
      </c>
      <c r="R14" s="6" t="s">
        <v>6</v>
      </c>
      <c r="S14" s="4" t="s">
        <v>141</v>
      </c>
      <c r="T14" s="4" t="s">
        <v>6</v>
      </c>
      <c r="U14" s="4" t="s">
        <v>6</v>
      </c>
      <c r="V14" s="4" t="s">
        <v>6</v>
      </c>
      <c r="W14" s="6" t="s">
        <v>6</v>
      </c>
      <c r="X14" s="6" t="s">
        <v>6</v>
      </c>
      <c r="Y14" s="6" t="s">
        <v>6</v>
      </c>
      <c r="Z14" s="4" t="s">
        <v>6</v>
      </c>
      <c r="AA14" s="4" t="s">
        <v>6</v>
      </c>
      <c r="AB14" s="4" t="s">
        <v>6</v>
      </c>
      <c r="AC14" s="4" t="s">
        <v>6</v>
      </c>
      <c r="AD14" s="4" t="s">
        <v>6</v>
      </c>
      <c r="AE14" s="2"/>
    </row>
    <row r="15" spans="3:31" ht="39" customHeight="1" x14ac:dyDescent="0.2">
      <c r="E15" s="1">
        <v>2</v>
      </c>
      <c r="F15" s="4" t="s">
        <v>6</v>
      </c>
      <c r="G15" s="4" t="s">
        <v>6</v>
      </c>
      <c r="H15" s="4" t="s">
        <v>6</v>
      </c>
      <c r="I15" s="4" t="s">
        <v>6</v>
      </c>
      <c r="J15" s="6" t="s">
        <v>6</v>
      </c>
      <c r="K15" s="6" t="s">
        <v>6</v>
      </c>
      <c r="L15" s="4" t="s">
        <v>6</v>
      </c>
      <c r="M15" s="4" t="s">
        <v>6</v>
      </c>
      <c r="N15" s="4" t="s">
        <v>6</v>
      </c>
      <c r="O15" s="6" t="s">
        <v>140</v>
      </c>
      <c r="P15" s="6" t="s">
        <v>66</v>
      </c>
      <c r="Q15" s="6" t="s">
        <v>68</v>
      </c>
      <c r="R15" s="6" t="s">
        <v>68</v>
      </c>
      <c r="S15" s="6" t="s">
        <v>68</v>
      </c>
      <c r="T15" s="6" t="s">
        <v>82</v>
      </c>
      <c r="U15" s="6" t="s">
        <v>83</v>
      </c>
      <c r="V15" s="6" t="s">
        <v>6</v>
      </c>
      <c r="W15" s="6" t="s">
        <v>6</v>
      </c>
      <c r="X15" s="4" t="s">
        <v>6</v>
      </c>
      <c r="Y15" s="6" t="s">
        <v>6</v>
      </c>
      <c r="Z15" s="6" t="s">
        <v>6</v>
      </c>
      <c r="AA15" s="4" t="s">
        <v>6</v>
      </c>
      <c r="AB15" s="4" t="s">
        <v>6</v>
      </c>
      <c r="AC15" s="4" t="s">
        <v>6</v>
      </c>
      <c r="AD15" s="4" t="s">
        <v>6</v>
      </c>
      <c r="AE15" s="2"/>
    </row>
    <row r="16" spans="3:31" ht="39" customHeight="1" x14ac:dyDescent="0.2">
      <c r="E16" s="1">
        <v>3</v>
      </c>
      <c r="F16" s="4" t="s">
        <v>6</v>
      </c>
      <c r="G16" s="4" t="s">
        <v>6</v>
      </c>
      <c r="H16" s="4" t="s">
        <v>6</v>
      </c>
      <c r="I16" s="4" t="s">
        <v>6</v>
      </c>
      <c r="J16" s="4" t="s">
        <v>6</v>
      </c>
      <c r="K16" s="4" t="s">
        <v>6</v>
      </c>
      <c r="L16" s="4" t="s">
        <v>6</v>
      </c>
      <c r="M16" s="4" t="s">
        <v>6</v>
      </c>
      <c r="N16" s="4" t="s">
        <v>6</v>
      </c>
      <c r="O16" s="4" t="s">
        <v>139</v>
      </c>
      <c r="P16" s="4" t="s">
        <v>6</v>
      </c>
      <c r="Q16" s="4" t="s">
        <v>142</v>
      </c>
      <c r="R16" s="4" t="s">
        <v>6</v>
      </c>
      <c r="S16" s="4" t="s">
        <v>141</v>
      </c>
      <c r="T16" s="4" t="s">
        <v>6</v>
      </c>
      <c r="U16" s="4" t="s">
        <v>138</v>
      </c>
      <c r="V16" s="4" t="s">
        <v>6</v>
      </c>
      <c r="W16" s="4" t="s">
        <v>6</v>
      </c>
      <c r="X16" s="4" t="s">
        <v>6</v>
      </c>
      <c r="Y16" s="6" t="s">
        <v>6</v>
      </c>
      <c r="Z16" s="4" t="s">
        <v>6</v>
      </c>
      <c r="AA16" s="4" t="s">
        <v>6</v>
      </c>
      <c r="AB16" s="4" t="s">
        <v>6</v>
      </c>
      <c r="AC16" s="6" t="s">
        <v>6</v>
      </c>
      <c r="AD16" s="4" t="s">
        <v>6</v>
      </c>
      <c r="AE16" s="2"/>
    </row>
    <row r="17" spans="5:31" ht="39" customHeight="1" x14ac:dyDescent="0.2">
      <c r="E17" s="1">
        <v>4</v>
      </c>
      <c r="F17" s="4" t="s">
        <v>6</v>
      </c>
      <c r="G17" s="4" t="s">
        <v>6</v>
      </c>
      <c r="H17" s="4" t="s">
        <v>6</v>
      </c>
      <c r="I17" s="4" t="s">
        <v>6</v>
      </c>
      <c r="J17" s="4" t="s">
        <v>6</v>
      </c>
      <c r="K17" s="4" t="s">
        <v>6</v>
      </c>
      <c r="L17" s="4" t="s">
        <v>6</v>
      </c>
      <c r="M17" s="4" t="s">
        <v>6</v>
      </c>
      <c r="N17" s="4" t="s">
        <v>6</v>
      </c>
      <c r="O17" s="4" t="s">
        <v>66</v>
      </c>
      <c r="P17" s="4" t="s">
        <v>68</v>
      </c>
      <c r="Q17" s="4" t="s">
        <v>68</v>
      </c>
      <c r="R17" s="4" t="s">
        <v>68</v>
      </c>
      <c r="S17" s="4" t="s">
        <v>82</v>
      </c>
      <c r="T17" s="6" t="s">
        <v>83</v>
      </c>
      <c r="U17" s="6" t="s">
        <v>140</v>
      </c>
      <c r="V17" s="6" t="s">
        <v>6</v>
      </c>
      <c r="W17" s="6" t="s">
        <v>6</v>
      </c>
      <c r="X17" s="4" t="s">
        <v>6</v>
      </c>
      <c r="Y17" s="6" t="s">
        <v>6</v>
      </c>
      <c r="Z17" s="4" t="s">
        <v>6</v>
      </c>
      <c r="AA17" s="6" t="s">
        <v>6</v>
      </c>
      <c r="AB17" s="6" t="s">
        <v>6</v>
      </c>
      <c r="AC17" s="6" t="s">
        <v>6</v>
      </c>
      <c r="AD17" s="4" t="s">
        <v>6</v>
      </c>
      <c r="AE17" s="2"/>
    </row>
    <row r="18" spans="5:31" ht="39" customHeight="1" x14ac:dyDescent="0.2">
      <c r="E18" s="1">
        <v>5</v>
      </c>
      <c r="F18" s="4" t="s">
        <v>6</v>
      </c>
      <c r="G18" s="4" t="s">
        <v>6</v>
      </c>
      <c r="H18" s="4" t="s">
        <v>6</v>
      </c>
      <c r="I18" s="4" t="s">
        <v>6</v>
      </c>
      <c r="J18" s="6" t="s">
        <v>6</v>
      </c>
      <c r="K18" s="6" t="s">
        <v>6</v>
      </c>
      <c r="L18" s="4" t="s">
        <v>6</v>
      </c>
      <c r="M18" s="4" t="s">
        <v>6</v>
      </c>
      <c r="N18" s="6" t="s">
        <v>6</v>
      </c>
      <c r="O18" s="6" t="s">
        <v>138</v>
      </c>
      <c r="P18" s="6" t="s">
        <v>6</v>
      </c>
      <c r="Q18" s="6" t="s">
        <v>142</v>
      </c>
      <c r="R18" s="6" t="s">
        <v>6</v>
      </c>
      <c r="S18" s="6" t="s">
        <v>6</v>
      </c>
      <c r="T18" s="4" t="s">
        <v>6</v>
      </c>
      <c r="U18" s="4" t="s">
        <v>139</v>
      </c>
      <c r="V18" s="6" t="s">
        <v>6</v>
      </c>
      <c r="W18" s="4" t="s">
        <v>6</v>
      </c>
      <c r="X18" s="6" t="s">
        <v>6</v>
      </c>
      <c r="Y18" s="4" t="s">
        <v>6</v>
      </c>
      <c r="Z18" s="4" t="s">
        <v>6</v>
      </c>
      <c r="AA18" s="4" t="s">
        <v>6</v>
      </c>
      <c r="AB18" s="4" t="s">
        <v>6</v>
      </c>
      <c r="AC18" s="6" t="s">
        <v>6</v>
      </c>
      <c r="AD18" s="4" t="s">
        <v>6</v>
      </c>
      <c r="AE18" s="2"/>
    </row>
    <row r="19" spans="5:31" ht="39" customHeight="1" x14ac:dyDescent="0.2">
      <c r="E19" s="1">
        <v>6</v>
      </c>
      <c r="F19" s="4" t="s">
        <v>6</v>
      </c>
      <c r="G19" s="4" t="s">
        <v>6</v>
      </c>
      <c r="H19" s="6" t="s">
        <v>6</v>
      </c>
      <c r="I19" s="6" t="s">
        <v>6</v>
      </c>
      <c r="J19" s="6" t="s">
        <v>6</v>
      </c>
      <c r="K19" s="6" t="s">
        <v>6</v>
      </c>
      <c r="L19" s="6" t="s">
        <v>6</v>
      </c>
      <c r="M19" s="4" t="s">
        <v>6</v>
      </c>
      <c r="N19" s="4" t="s">
        <v>6</v>
      </c>
      <c r="O19" s="4" t="s">
        <v>140</v>
      </c>
      <c r="P19" s="4" t="s">
        <v>66</v>
      </c>
      <c r="Q19" s="6" t="s">
        <v>68</v>
      </c>
      <c r="R19" s="6" t="s">
        <v>68</v>
      </c>
      <c r="S19" s="6" t="s">
        <v>68</v>
      </c>
      <c r="T19" s="6" t="s">
        <v>82</v>
      </c>
      <c r="U19" s="4" t="s">
        <v>83</v>
      </c>
      <c r="V19" s="4" t="s">
        <v>6</v>
      </c>
      <c r="W19" s="4" t="s">
        <v>6</v>
      </c>
      <c r="X19" s="6" t="s">
        <v>6</v>
      </c>
      <c r="Y19" s="6" t="s">
        <v>6</v>
      </c>
      <c r="Z19" s="6" t="s">
        <v>6</v>
      </c>
      <c r="AA19" s="4" t="s">
        <v>6</v>
      </c>
      <c r="AB19" s="4" t="s">
        <v>6</v>
      </c>
      <c r="AC19" s="6" t="s">
        <v>6</v>
      </c>
      <c r="AD19" s="4" t="s">
        <v>6</v>
      </c>
      <c r="AE19" s="2"/>
    </row>
    <row r="20" spans="5:31" ht="39" customHeight="1" x14ac:dyDescent="0.2">
      <c r="E20" s="1">
        <v>7</v>
      </c>
      <c r="F20" s="4" t="s">
        <v>6</v>
      </c>
      <c r="G20" s="6" t="s">
        <v>6</v>
      </c>
      <c r="H20" s="6" t="s">
        <v>6</v>
      </c>
      <c r="I20" s="6" t="s">
        <v>6</v>
      </c>
      <c r="J20" s="6" t="s">
        <v>6</v>
      </c>
      <c r="K20" s="6" t="s">
        <v>6</v>
      </c>
      <c r="L20" s="6" t="s">
        <v>6</v>
      </c>
      <c r="M20" s="6" t="s">
        <v>6</v>
      </c>
      <c r="N20" s="6" t="s">
        <v>6</v>
      </c>
      <c r="O20" s="6" t="s">
        <v>139</v>
      </c>
      <c r="P20" s="6" t="s">
        <v>6</v>
      </c>
      <c r="Q20" s="6" t="s">
        <v>6</v>
      </c>
      <c r="R20" s="6" t="s">
        <v>6</v>
      </c>
      <c r="S20" s="6" t="s">
        <v>6</v>
      </c>
      <c r="T20" s="6" t="s">
        <v>6</v>
      </c>
      <c r="U20" s="6" t="s">
        <v>6</v>
      </c>
      <c r="V20" s="6" t="s">
        <v>6</v>
      </c>
      <c r="W20" s="6" t="s">
        <v>6</v>
      </c>
      <c r="X20" s="6" t="s">
        <v>6</v>
      </c>
      <c r="Y20" s="6" t="s">
        <v>6</v>
      </c>
      <c r="Z20" s="6" t="s">
        <v>6</v>
      </c>
      <c r="AA20" s="6" t="s">
        <v>6</v>
      </c>
      <c r="AB20" s="6" t="s">
        <v>6</v>
      </c>
      <c r="AC20" s="6" t="s">
        <v>6</v>
      </c>
      <c r="AD20" s="4" t="s">
        <v>6</v>
      </c>
      <c r="AE20" s="2"/>
    </row>
    <row r="21" spans="5:31" ht="39" customHeight="1" x14ac:dyDescent="0.2"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 t="s">
        <v>10</v>
      </c>
      <c r="X21" s="2"/>
      <c r="Y21" s="2" t="s">
        <v>11</v>
      </c>
      <c r="Z21" s="2"/>
      <c r="AA21" s="2"/>
      <c r="AB21" s="2"/>
      <c r="AC21" s="2"/>
      <c r="AD21" s="2"/>
      <c r="AE21" s="2"/>
    </row>
    <row r="23" spans="5:31" ht="39" customHeight="1" x14ac:dyDescent="0.2">
      <c r="E23" s="1"/>
      <c r="F23" s="1">
        <v>0</v>
      </c>
      <c r="G23" s="1">
        <v>1</v>
      </c>
      <c r="H23" s="1">
        <v>2</v>
      </c>
      <c r="I23" s="1">
        <v>3</v>
      </c>
      <c r="J23" s="1">
        <v>4</v>
      </c>
      <c r="K23" s="1" t="s">
        <v>4</v>
      </c>
      <c r="L23" s="1" t="s">
        <v>2</v>
      </c>
      <c r="M23" s="1" t="s">
        <v>3</v>
      </c>
      <c r="N23" s="1" t="s">
        <v>9</v>
      </c>
      <c r="O23" s="1" t="s">
        <v>7</v>
      </c>
      <c r="P23" s="1" t="s">
        <v>8</v>
      </c>
      <c r="Q23" s="1">
        <v>11</v>
      </c>
      <c r="R23" s="1">
        <v>12</v>
      </c>
      <c r="S23" s="1">
        <v>13</v>
      </c>
      <c r="T23" s="1">
        <v>14</v>
      </c>
      <c r="U23" s="1">
        <v>15</v>
      </c>
      <c r="V23" s="1">
        <v>16</v>
      </c>
      <c r="W23" s="1">
        <v>17</v>
      </c>
      <c r="X23" s="1">
        <v>18</v>
      </c>
      <c r="Y23" s="1">
        <v>19</v>
      </c>
      <c r="Z23" s="1">
        <v>20</v>
      </c>
      <c r="AA23" s="1" t="s">
        <v>10</v>
      </c>
      <c r="AB23" s="1">
        <v>22</v>
      </c>
      <c r="AC23" s="1" t="s">
        <v>11</v>
      </c>
      <c r="AD23" s="1">
        <v>24</v>
      </c>
      <c r="AE23" s="2"/>
    </row>
    <row r="24" spans="5:31" ht="39" customHeight="1" x14ac:dyDescent="0.2">
      <c r="E24" s="1">
        <v>0</v>
      </c>
      <c r="F24" t="s">
        <v>5</v>
      </c>
      <c r="G24" t="s">
        <v>5</v>
      </c>
      <c r="H24" t="s">
        <v>5</v>
      </c>
      <c r="I24" t="s">
        <v>5</v>
      </c>
      <c r="J24" t="s">
        <v>5</v>
      </c>
      <c r="K24" t="s">
        <v>5</v>
      </c>
      <c r="L24" t="s">
        <v>5</v>
      </c>
      <c r="M24" t="s">
        <v>5</v>
      </c>
      <c r="N24" t="s">
        <v>5</v>
      </c>
      <c r="O24" t="s">
        <v>5</v>
      </c>
      <c r="P24" t="s">
        <v>5</v>
      </c>
      <c r="Q24" t="s">
        <v>5</v>
      </c>
      <c r="R24" t="s">
        <v>5</v>
      </c>
      <c r="S24" t="s">
        <v>5</v>
      </c>
      <c r="T24" t="s">
        <v>5</v>
      </c>
      <c r="U24" t="s">
        <v>5</v>
      </c>
      <c r="V24" t="s">
        <v>5</v>
      </c>
      <c r="W24" t="s">
        <v>5</v>
      </c>
      <c r="X24" t="s">
        <v>5</v>
      </c>
      <c r="Y24" t="s">
        <v>5</v>
      </c>
      <c r="Z24" t="s">
        <v>5</v>
      </c>
      <c r="AA24" t="s">
        <v>5</v>
      </c>
      <c r="AB24" t="s">
        <v>5</v>
      </c>
      <c r="AC24" t="s">
        <v>5</v>
      </c>
      <c r="AD24" t="s">
        <v>5</v>
      </c>
      <c r="AE24" s="2"/>
    </row>
    <row r="25" spans="5:31" ht="39" customHeight="1" x14ac:dyDescent="0.2">
      <c r="E25" s="1">
        <v>1</v>
      </c>
      <c r="F25" t="s">
        <v>5</v>
      </c>
      <c r="G25" t="s">
        <v>5</v>
      </c>
      <c r="H25" t="s">
        <v>5</v>
      </c>
      <c r="I25" t="s">
        <v>5</v>
      </c>
      <c r="J25" t="s">
        <v>5</v>
      </c>
      <c r="K25" t="s">
        <v>5</v>
      </c>
      <c r="L25" t="s">
        <v>5</v>
      </c>
      <c r="M25" t="s">
        <v>5</v>
      </c>
      <c r="N25" t="s">
        <v>5</v>
      </c>
      <c r="O25" t="s">
        <v>5</v>
      </c>
      <c r="P25" t="s">
        <v>5</v>
      </c>
      <c r="Q25" t="s">
        <v>5</v>
      </c>
      <c r="R25" t="s">
        <v>5</v>
      </c>
      <c r="S25" t="s">
        <v>5</v>
      </c>
      <c r="T25" t="s">
        <v>5</v>
      </c>
      <c r="U25" t="s">
        <v>5</v>
      </c>
      <c r="V25" t="s">
        <v>5</v>
      </c>
      <c r="W25" t="s">
        <v>5</v>
      </c>
      <c r="X25" t="s">
        <v>5</v>
      </c>
      <c r="Y25" t="s">
        <v>5</v>
      </c>
      <c r="Z25" t="s">
        <v>5</v>
      </c>
      <c r="AA25" t="s">
        <v>5</v>
      </c>
      <c r="AB25" t="s">
        <v>5</v>
      </c>
      <c r="AC25" t="s">
        <v>5</v>
      </c>
      <c r="AD25" t="s">
        <v>5</v>
      </c>
      <c r="AE25" s="2"/>
    </row>
    <row r="26" spans="5:31" ht="39" customHeight="1" x14ac:dyDescent="0.2">
      <c r="E26" s="1">
        <v>2</v>
      </c>
      <c r="F26" t="s">
        <v>5</v>
      </c>
      <c r="G26" t="s">
        <v>5</v>
      </c>
      <c r="H26" t="s">
        <v>5</v>
      </c>
      <c r="I26" t="s">
        <v>5</v>
      </c>
      <c r="J26" t="s">
        <v>5</v>
      </c>
      <c r="K26" t="s">
        <v>5</v>
      </c>
      <c r="L26" t="s">
        <v>5</v>
      </c>
      <c r="M26" t="s">
        <v>5</v>
      </c>
      <c r="N26" t="s">
        <v>5</v>
      </c>
      <c r="O26" t="s">
        <v>152</v>
      </c>
      <c r="P26" t="s">
        <v>5</v>
      </c>
      <c r="Q26" t="s">
        <v>5</v>
      </c>
      <c r="R26" t="s">
        <v>5</v>
      </c>
      <c r="S26" t="s">
        <v>156</v>
      </c>
      <c r="T26" t="s">
        <v>5</v>
      </c>
      <c r="U26" t="s">
        <v>5</v>
      </c>
      <c r="V26" t="s">
        <v>5</v>
      </c>
      <c r="W26" t="s">
        <v>5</v>
      </c>
      <c r="X26" t="s">
        <v>5</v>
      </c>
      <c r="Y26" t="s">
        <v>5</v>
      </c>
      <c r="Z26" t="s">
        <v>5</v>
      </c>
      <c r="AA26" t="s">
        <v>5</v>
      </c>
      <c r="AB26" t="s">
        <v>5</v>
      </c>
      <c r="AC26" t="s">
        <v>5</v>
      </c>
      <c r="AD26" t="s">
        <v>5</v>
      </c>
      <c r="AE26" s="2"/>
    </row>
    <row r="27" spans="5:31" ht="39" customHeight="1" x14ac:dyDescent="0.2">
      <c r="E27" s="1">
        <v>3</v>
      </c>
      <c r="F27" t="s">
        <v>5</v>
      </c>
      <c r="G27" t="s">
        <v>5</v>
      </c>
      <c r="H27" t="s">
        <v>5</v>
      </c>
      <c r="I27" t="s">
        <v>5</v>
      </c>
      <c r="J27" t="s">
        <v>5</v>
      </c>
      <c r="K27" t="s">
        <v>5</v>
      </c>
      <c r="L27" t="s">
        <v>5</v>
      </c>
      <c r="M27" t="s">
        <v>5</v>
      </c>
      <c r="N27" t="s">
        <v>5</v>
      </c>
      <c r="O27" t="s">
        <v>153</v>
      </c>
      <c r="P27" t="s">
        <v>5</v>
      </c>
      <c r="Q27" t="s">
        <v>5</v>
      </c>
      <c r="R27" t="s">
        <v>5</v>
      </c>
      <c r="S27" t="s">
        <v>156</v>
      </c>
      <c r="T27" t="s">
        <v>5</v>
      </c>
      <c r="U27" t="s">
        <v>5</v>
      </c>
      <c r="V27" t="s">
        <v>5</v>
      </c>
      <c r="W27" t="s">
        <v>5</v>
      </c>
      <c r="X27" t="s">
        <v>5</v>
      </c>
      <c r="Y27" t="s">
        <v>5</v>
      </c>
      <c r="Z27" t="s">
        <v>5</v>
      </c>
      <c r="AA27" t="s">
        <v>5</v>
      </c>
      <c r="AB27" t="s">
        <v>5</v>
      </c>
      <c r="AC27" t="s">
        <v>5</v>
      </c>
      <c r="AD27" t="s">
        <v>5</v>
      </c>
      <c r="AE27" s="2"/>
    </row>
    <row r="28" spans="5:31" ht="39" customHeight="1" x14ac:dyDescent="0.2">
      <c r="E28" s="1">
        <v>4</v>
      </c>
      <c r="F28" t="s">
        <v>5</v>
      </c>
      <c r="G28" t="s">
        <v>5</v>
      </c>
      <c r="H28" t="s">
        <v>5</v>
      </c>
      <c r="I28" t="s">
        <v>5</v>
      </c>
      <c r="J28" t="s">
        <v>5</v>
      </c>
      <c r="K28" t="s">
        <v>5</v>
      </c>
      <c r="L28" t="s">
        <v>5</v>
      </c>
      <c r="M28" t="s">
        <v>5</v>
      </c>
      <c r="N28" t="s">
        <v>5</v>
      </c>
      <c r="O28" t="s">
        <v>154</v>
      </c>
      <c r="P28" t="s">
        <v>67</v>
      </c>
      <c r="Q28" t="s">
        <v>69</v>
      </c>
      <c r="R28" t="s">
        <v>69</v>
      </c>
      <c r="S28" t="s">
        <v>69</v>
      </c>
      <c r="T28" t="s">
        <v>84</v>
      </c>
      <c r="U28" t="s">
        <v>85</v>
      </c>
      <c r="V28" t="s">
        <v>5</v>
      </c>
      <c r="W28" t="s">
        <v>5</v>
      </c>
      <c r="X28" t="s">
        <v>5</v>
      </c>
      <c r="Y28" t="s">
        <v>5</v>
      </c>
      <c r="Z28" t="s">
        <v>5</v>
      </c>
      <c r="AA28" t="s">
        <v>5</v>
      </c>
      <c r="AB28" t="s">
        <v>5</v>
      </c>
      <c r="AC28" t="s">
        <v>5</v>
      </c>
      <c r="AD28" t="s">
        <v>5</v>
      </c>
      <c r="AE28" s="2"/>
    </row>
    <row r="29" spans="5:31" ht="39" customHeight="1" x14ac:dyDescent="0.2">
      <c r="E29" s="1">
        <v>5</v>
      </c>
      <c r="F29" t="s">
        <v>5</v>
      </c>
      <c r="G29" t="s">
        <v>5</v>
      </c>
      <c r="H29" t="s">
        <v>5</v>
      </c>
      <c r="I29" t="s">
        <v>5</v>
      </c>
      <c r="J29" t="s">
        <v>5</v>
      </c>
      <c r="K29" t="s">
        <v>5</v>
      </c>
      <c r="L29" t="s">
        <v>5</v>
      </c>
      <c r="M29" t="s">
        <v>5</v>
      </c>
      <c r="N29" t="s">
        <v>5</v>
      </c>
      <c r="O29" t="s">
        <v>154</v>
      </c>
      <c r="P29" t="s">
        <v>67</v>
      </c>
      <c r="Q29" t="s">
        <v>69</v>
      </c>
      <c r="R29" t="s">
        <v>69</v>
      </c>
      <c r="S29" t="s">
        <v>69</v>
      </c>
      <c r="T29" t="s">
        <v>84</v>
      </c>
      <c r="U29" t="s">
        <v>85</v>
      </c>
      <c r="V29" t="s">
        <v>5</v>
      </c>
      <c r="W29" t="s">
        <v>5</v>
      </c>
      <c r="X29" t="s">
        <v>5</v>
      </c>
      <c r="Y29" t="s">
        <v>5</v>
      </c>
      <c r="Z29" t="s">
        <v>5</v>
      </c>
      <c r="AA29" t="s">
        <v>5</v>
      </c>
      <c r="AB29" t="s">
        <v>5</v>
      </c>
      <c r="AC29" t="s">
        <v>5</v>
      </c>
      <c r="AD29" t="s">
        <v>5</v>
      </c>
      <c r="AE29" s="2"/>
    </row>
    <row r="30" spans="5:31" ht="39" customHeight="1" x14ac:dyDescent="0.2">
      <c r="E30" s="1">
        <v>6</v>
      </c>
      <c r="F30" t="s">
        <v>5</v>
      </c>
      <c r="G30" t="s">
        <v>5</v>
      </c>
      <c r="H30" t="s">
        <v>5</v>
      </c>
      <c r="I30" t="s">
        <v>5</v>
      </c>
      <c r="J30" t="s">
        <v>5</v>
      </c>
      <c r="K30" t="s">
        <v>5</v>
      </c>
      <c r="L30" t="s">
        <v>5</v>
      </c>
      <c r="M30" t="s">
        <v>5</v>
      </c>
      <c r="N30" t="s">
        <v>5</v>
      </c>
      <c r="O30" t="s">
        <v>154</v>
      </c>
      <c r="P30" t="s">
        <v>5</v>
      </c>
      <c r="Q30" t="s">
        <v>155</v>
      </c>
      <c r="R30" t="s">
        <v>5</v>
      </c>
      <c r="S30" t="s">
        <v>156</v>
      </c>
      <c r="T30" t="s">
        <v>5</v>
      </c>
      <c r="U30" t="s">
        <v>152</v>
      </c>
      <c r="V30" t="s">
        <v>5</v>
      </c>
      <c r="W30" t="s">
        <v>5</v>
      </c>
      <c r="X30" t="s">
        <v>5</v>
      </c>
      <c r="Y30" t="s">
        <v>5</v>
      </c>
      <c r="Z30" t="s">
        <v>5</v>
      </c>
      <c r="AA30" t="s">
        <v>5</v>
      </c>
      <c r="AB30" t="s">
        <v>5</v>
      </c>
      <c r="AC30" t="s">
        <v>5</v>
      </c>
      <c r="AD30" t="s">
        <v>5</v>
      </c>
      <c r="AE30" s="2"/>
    </row>
    <row r="31" spans="5:31" ht="39" customHeight="1" x14ac:dyDescent="0.2">
      <c r="E31" s="1">
        <v>7</v>
      </c>
      <c r="F31" t="s">
        <v>5</v>
      </c>
      <c r="G31" t="s">
        <v>5</v>
      </c>
      <c r="H31" t="s">
        <v>5</v>
      </c>
      <c r="I31" t="s">
        <v>5</v>
      </c>
      <c r="J31" t="s">
        <v>5</v>
      </c>
      <c r="K31" t="s">
        <v>5</v>
      </c>
      <c r="L31" t="s">
        <v>5</v>
      </c>
      <c r="M31" t="s">
        <v>5</v>
      </c>
      <c r="N31" t="s">
        <v>5</v>
      </c>
      <c r="O31" t="s">
        <v>153</v>
      </c>
      <c r="P31" t="s">
        <v>5</v>
      </c>
      <c r="Q31" t="s">
        <v>155</v>
      </c>
      <c r="R31" t="s">
        <v>5</v>
      </c>
      <c r="S31" t="s">
        <v>156</v>
      </c>
      <c r="T31" t="s">
        <v>5</v>
      </c>
      <c r="U31" t="s">
        <v>153</v>
      </c>
      <c r="V31" t="s">
        <v>5</v>
      </c>
      <c r="W31" t="s">
        <v>5</v>
      </c>
      <c r="X31" t="s">
        <v>5</v>
      </c>
      <c r="Y31" t="s">
        <v>5</v>
      </c>
      <c r="Z31" t="s">
        <v>5</v>
      </c>
      <c r="AA31" t="s">
        <v>5</v>
      </c>
      <c r="AB31" t="s">
        <v>5</v>
      </c>
      <c r="AC31" t="s">
        <v>5</v>
      </c>
      <c r="AD31" t="s">
        <v>5</v>
      </c>
      <c r="AE31" s="2"/>
    </row>
    <row r="32" spans="5:31" ht="39" customHeight="1" x14ac:dyDescent="0.2">
      <c r="E32" s="1">
        <v>8</v>
      </c>
      <c r="F32" t="s">
        <v>5</v>
      </c>
      <c r="G32" t="s">
        <v>5</v>
      </c>
      <c r="H32" t="s">
        <v>5</v>
      </c>
      <c r="I32" t="s">
        <v>5</v>
      </c>
      <c r="J32" t="s">
        <v>5</v>
      </c>
      <c r="K32" t="s">
        <v>5</v>
      </c>
      <c r="L32" t="s">
        <v>5</v>
      </c>
      <c r="M32" t="s">
        <v>5</v>
      </c>
      <c r="N32" t="s">
        <v>5</v>
      </c>
      <c r="O32" t="s">
        <v>67</v>
      </c>
      <c r="P32" t="s">
        <v>69</v>
      </c>
      <c r="Q32" t="s">
        <v>69</v>
      </c>
      <c r="R32" t="s">
        <v>69</v>
      </c>
      <c r="S32" t="s">
        <v>84</v>
      </c>
      <c r="T32" t="s">
        <v>85</v>
      </c>
      <c r="U32" t="s">
        <v>154</v>
      </c>
      <c r="V32" t="s">
        <v>5</v>
      </c>
      <c r="W32" t="s">
        <v>5</v>
      </c>
      <c r="X32" t="s">
        <v>5</v>
      </c>
      <c r="Y32" t="s">
        <v>5</v>
      </c>
      <c r="Z32" t="s">
        <v>5</v>
      </c>
      <c r="AA32" t="s">
        <v>5</v>
      </c>
      <c r="AB32" t="s">
        <v>5</v>
      </c>
      <c r="AC32" t="s">
        <v>5</v>
      </c>
      <c r="AD32" t="s">
        <v>5</v>
      </c>
      <c r="AE32" s="2"/>
    </row>
    <row r="33" spans="5:31" ht="39" customHeight="1" x14ac:dyDescent="0.2">
      <c r="E33" s="1">
        <v>9</v>
      </c>
      <c r="F33" t="s">
        <v>5</v>
      </c>
      <c r="G33" t="s">
        <v>5</v>
      </c>
      <c r="H33" t="s">
        <v>5</v>
      </c>
      <c r="I33" t="s">
        <v>5</v>
      </c>
      <c r="J33" t="s">
        <v>5</v>
      </c>
      <c r="K33" t="s">
        <v>5</v>
      </c>
      <c r="L33" t="s">
        <v>5</v>
      </c>
      <c r="M33" t="s">
        <v>5</v>
      </c>
      <c r="N33" t="s">
        <v>5</v>
      </c>
      <c r="O33" t="s">
        <v>67</v>
      </c>
      <c r="P33" t="s">
        <v>69</v>
      </c>
      <c r="Q33" t="s">
        <v>69</v>
      </c>
      <c r="R33" t="s">
        <v>69</v>
      </c>
      <c r="S33" t="s">
        <v>84</v>
      </c>
      <c r="T33" t="s">
        <v>85</v>
      </c>
      <c r="U33" t="s">
        <v>154</v>
      </c>
      <c r="V33" t="s">
        <v>5</v>
      </c>
      <c r="W33" t="s">
        <v>5</v>
      </c>
      <c r="X33" t="s">
        <v>5</v>
      </c>
      <c r="Y33" t="s">
        <v>5</v>
      </c>
      <c r="Z33" t="s">
        <v>5</v>
      </c>
      <c r="AA33" t="s">
        <v>5</v>
      </c>
      <c r="AB33" t="s">
        <v>5</v>
      </c>
      <c r="AC33" t="s">
        <v>5</v>
      </c>
      <c r="AD33" t="s">
        <v>5</v>
      </c>
      <c r="AE33" s="2"/>
    </row>
    <row r="34" spans="5:31" ht="39" customHeight="1" x14ac:dyDescent="0.2">
      <c r="E34" s="1">
        <v>10</v>
      </c>
      <c r="F34" t="s">
        <v>5</v>
      </c>
      <c r="G34" t="s">
        <v>5</v>
      </c>
      <c r="H34" t="s">
        <v>5</v>
      </c>
      <c r="I34" t="s">
        <v>5</v>
      </c>
      <c r="J34" t="s">
        <v>5</v>
      </c>
      <c r="K34" t="s">
        <v>5</v>
      </c>
      <c r="L34" t="s">
        <v>5</v>
      </c>
      <c r="M34" t="s">
        <v>5</v>
      </c>
      <c r="N34" t="s">
        <v>5</v>
      </c>
      <c r="O34" t="s">
        <v>152</v>
      </c>
      <c r="P34" t="s">
        <v>5</v>
      </c>
      <c r="Q34" t="s">
        <v>155</v>
      </c>
      <c r="R34" t="s">
        <v>5</v>
      </c>
      <c r="S34" t="s">
        <v>5</v>
      </c>
      <c r="T34" t="s">
        <v>5</v>
      </c>
      <c r="U34" t="s">
        <v>154</v>
      </c>
      <c r="V34" t="s">
        <v>5</v>
      </c>
      <c r="W34" t="s">
        <v>5</v>
      </c>
      <c r="X34" t="s">
        <v>5</v>
      </c>
      <c r="Y34" t="s">
        <v>5</v>
      </c>
      <c r="Z34" t="s">
        <v>5</v>
      </c>
      <c r="AA34" t="s">
        <v>5</v>
      </c>
      <c r="AB34" t="s">
        <v>5</v>
      </c>
      <c r="AC34" t="s">
        <v>5</v>
      </c>
      <c r="AD34" t="s">
        <v>5</v>
      </c>
      <c r="AE34" s="2"/>
    </row>
    <row r="35" spans="5:31" ht="39" customHeight="1" x14ac:dyDescent="0.2">
      <c r="E35" s="1">
        <v>11</v>
      </c>
      <c r="F35" t="s">
        <v>5</v>
      </c>
      <c r="G35" t="s">
        <v>5</v>
      </c>
      <c r="H35" t="s">
        <v>5</v>
      </c>
      <c r="I35" t="s">
        <v>5</v>
      </c>
      <c r="J35" t="s">
        <v>5</v>
      </c>
      <c r="K35" t="s">
        <v>5</v>
      </c>
      <c r="L35" t="s">
        <v>5</v>
      </c>
      <c r="M35" t="s">
        <v>5</v>
      </c>
      <c r="N35" t="s">
        <v>5</v>
      </c>
      <c r="O35" t="s">
        <v>153</v>
      </c>
      <c r="P35" t="s">
        <v>5</v>
      </c>
      <c r="Q35" t="s">
        <v>155</v>
      </c>
      <c r="R35" t="s">
        <v>5</v>
      </c>
      <c r="S35" t="s">
        <v>5</v>
      </c>
      <c r="T35" t="s">
        <v>5</v>
      </c>
      <c r="U35" t="s">
        <v>153</v>
      </c>
      <c r="V35" t="s">
        <v>5</v>
      </c>
      <c r="W35" t="s">
        <v>5</v>
      </c>
      <c r="X35" t="s">
        <v>5</v>
      </c>
      <c r="Y35" t="s">
        <v>5</v>
      </c>
      <c r="Z35" t="s">
        <v>5</v>
      </c>
      <c r="AA35" t="s">
        <v>5</v>
      </c>
      <c r="AB35" t="s">
        <v>5</v>
      </c>
      <c r="AC35" t="s">
        <v>5</v>
      </c>
      <c r="AD35" t="s">
        <v>5</v>
      </c>
      <c r="AE35" s="2"/>
    </row>
    <row r="36" spans="5:31" ht="39" customHeight="1" x14ac:dyDescent="0.2">
      <c r="E36" s="1">
        <v>12</v>
      </c>
      <c r="F36" t="s">
        <v>5</v>
      </c>
      <c r="G36" t="s">
        <v>5</v>
      </c>
      <c r="H36" t="s">
        <v>5</v>
      </c>
      <c r="I36" t="s">
        <v>5</v>
      </c>
      <c r="J36" t="s">
        <v>5</v>
      </c>
      <c r="K36" t="s">
        <v>5</v>
      </c>
      <c r="L36" t="s">
        <v>5</v>
      </c>
      <c r="M36" t="s">
        <v>5</v>
      </c>
      <c r="N36" t="s">
        <v>5</v>
      </c>
      <c r="O36" t="s">
        <v>154</v>
      </c>
      <c r="P36" t="s">
        <v>67</v>
      </c>
      <c r="Q36" t="s">
        <v>69</v>
      </c>
      <c r="R36" t="s">
        <v>69</v>
      </c>
      <c r="S36" t="s">
        <v>69</v>
      </c>
      <c r="T36" t="s">
        <v>84</v>
      </c>
      <c r="U36" t="s">
        <v>85</v>
      </c>
      <c r="V36" t="s">
        <v>5</v>
      </c>
      <c r="W36" t="s">
        <v>5</v>
      </c>
      <c r="X36" t="s">
        <v>5</v>
      </c>
      <c r="Y36" t="s">
        <v>5</v>
      </c>
      <c r="Z36" t="s">
        <v>5</v>
      </c>
      <c r="AA36" t="s">
        <v>5</v>
      </c>
      <c r="AB36" t="s">
        <v>5</v>
      </c>
      <c r="AC36" t="s">
        <v>5</v>
      </c>
      <c r="AD36" t="s">
        <v>5</v>
      </c>
      <c r="AE36" s="2"/>
    </row>
    <row r="37" spans="5:31" ht="39" customHeight="1" x14ac:dyDescent="0.2">
      <c r="E37" s="1">
        <v>13</v>
      </c>
      <c r="F37" t="s">
        <v>5</v>
      </c>
      <c r="G37" t="s">
        <v>5</v>
      </c>
      <c r="H37" t="s">
        <v>5</v>
      </c>
      <c r="I37" t="s">
        <v>5</v>
      </c>
      <c r="J37" t="s">
        <v>5</v>
      </c>
      <c r="K37" t="s">
        <v>5</v>
      </c>
      <c r="L37" t="s">
        <v>5</v>
      </c>
      <c r="M37" t="s">
        <v>5</v>
      </c>
      <c r="N37" t="s">
        <v>5</v>
      </c>
      <c r="O37" t="s">
        <v>154</v>
      </c>
      <c r="P37" t="s">
        <v>67</v>
      </c>
      <c r="Q37" t="s">
        <v>69</v>
      </c>
      <c r="R37" t="s">
        <v>69</v>
      </c>
      <c r="S37" t="s">
        <v>69</v>
      </c>
      <c r="T37" t="s">
        <v>84</v>
      </c>
      <c r="U37" t="s">
        <v>85</v>
      </c>
      <c r="V37" t="s">
        <v>5</v>
      </c>
      <c r="W37" t="s">
        <v>5</v>
      </c>
      <c r="X37" t="s">
        <v>5</v>
      </c>
      <c r="Y37" t="s">
        <v>5</v>
      </c>
      <c r="Z37" t="s">
        <v>5</v>
      </c>
      <c r="AA37" t="s">
        <v>5</v>
      </c>
      <c r="AB37" t="s">
        <v>5</v>
      </c>
      <c r="AC37" t="s">
        <v>5</v>
      </c>
      <c r="AD37" t="s">
        <v>5</v>
      </c>
      <c r="AE37" s="2"/>
    </row>
    <row r="38" spans="5:31" ht="39" customHeight="1" x14ac:dyDescent="0.2">
      <c r="E38" s="1">
        <v>14</v>
      </c>
      <c r="F38" t="s">
        <v>5</v>
      </c>
      <c r="G38" t="s">
        <v>5</v>
      </c>
      <c r="H38" t="s">
        <v>5</v>
      </c>
      <c r="I38" t="s">
        <v>5</v>
      </c>
      <c r="J38" t="s">
        <v>5</v>
      </c>
      <c r="K38" t="s">
        <v>5</v>
      </c>
      <c r="L38" t="s">
        <v>5</v>
      </c>
      <c r="M38" t="s">
        <v>5</v>
      </c>
      <c r="N38" t="s">
        <v>5</v>
      </c>
      <c r="O38" t="s">
        <v>154</v>
      </c>
      <c r="P38" t="s">
        <v>5</v>
      </c>
      <c r="Q38" t="s">
        <v>5</v>
      </c>
      <c r="R38" t="s">
        <v>5</v>
      </c>
      <c r="S38" t="s">
        <v>5</v>
      </c>
      <c r="T38" t="s">
        <v>5</v>
      </c>
      <c r="U38" t="s">
        <v>5</v>
      </c>
      <c r="V38" t="s">
        <v>5</v>
      </c>
      <c r="W38" t="s">
        <v>5</v>
      </c>
      <c r="X38" t="s">
        <v>5</v>
      </c>
      <c r="Y38" t="s">
        <v>5</v>
      </c>
      <c r="Z38" t="s">
        <v>5</v>
      </c>
      <c r="AA38" t="s">
        <v>5</v>
      </c>
      <c r="AB38" t="s">
        <v>5</v>
      </c>
      <c r="AC38" t="s">
        <v>5</v>
      </c>
      <c r="AD38" t="s">
        <v>5</v>
      </c>
      <c r="AE38" s="2"/>
    </row>
    <row r="39" spans="5:31" ht="39" customHeight="1" x14ac:dyDescent="0.2">
      <c r="E39" s="1">
        <v>15</v>
      </c>
      <c r="F39" t="s">
        <v>5</v>
      </c>
      <c r="G39" t="s">
        <v>5</v>
      </c>
      <c r="H39" t="s">
        <v>5</v>
      </c>
      <c r="I39" t="s">
        <v>5</v>
      </c>
      <c r="J39" t="s">
        <v>5</v>
      </c>
      <c r="K39" t="s">
        <v>5</v>
      </c>
      <c r="L39" t="s">
        <v>5</v>
      </c>
      <c r="M39" t="s">
        <v>5</v>
      </c>
      <c r="N39" t="s">
        <v>5</v>
      </c>
      <c r="O39" t="s">
        <v>153</v>
      </c>
      <c r="P39" t="s">
        <v>5</v>
      </c>
      <c r="Q39" t="s">
        <v>5</v>
      </c>
      <c r="R39" t="s">
        <v>5</v>
      </c>
      <c r="S39" t="s">
        <v>5</v>
      </c>
      <c r="T39" t="s">
        <v>5</v>
      </c>
      <c r="U39" t="s">
        <v>5</v>
      </c>
      <c r="V39" t="s">
        <v>5</v>
      </c>
      <c r="W39" t="s">
        <v>5</v>
      </c>
      <c r="X39" t="s">
        <v>5</v>
      </c>
      <c r="Y39" t="s">
        <v>5</v>
      </c>
      <c r="Z39" t="s">
        <v>5</v>
      </c>
      <c r="AA39" t="s">
        <v>5</v>
      </c>
      <c r="AB39" t="s">
        <v>5</v>
      </c>
      <c r="AC39" t="s">
        <v>5</v>
      </c>
      <c r="AD39" t="s">
        <v>5</v>
      </c>
      <c r="AE39" s="2"/>
    </row>
    <row r="40" spans="5:31" ht="39" customHeight="1" x14ac:dyDescent="0.2"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259"/>
  <sheetViews>
    <sheetView topLeftCell="B4" zoomScale="80" zoomScaleNormal="80" workbookViewId="0">
      <selection activeCell="F16" sqref="F16:F10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Level_00[]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8, 8,  0, 0,  0, 0,  0, 0, 36,37,  0, 0,  0, 0,  0, 0,  0, 0,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7, 7,  0, 0,  0, 0,  0, 0, 36,37,  0, 0,  0, 0,  0, 0,  0, 0,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12,12, 64,64, 74,74, 74,74, 74,74, 62,62, 72,72,  0, 0,  0, 0,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12,12, 64,64, 74,74, 74,74, 74,74, 62,62, 72,72,  0, 0,  0, 0,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12,12,  0, 0, 34,35,  0, 0, 36,37,  0, 0,  8, 8,  0, 0,  0, 0,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7, 7,  0, 0, 34,35,  0, 0, 36,37,  0, 0,  7, 7,  0, 0,  0, 0,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64,64, 74,74, 74,74, 74,74, 62,62, 72,72, 12,12,  0,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64,64, 74,74, 74,74, 74,74, 62,62, 72,72, 12,12,  0, 0,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8, 8,  0, 0, 34,35,  0, 0,  0, 0,  0, 0, 12,12,  0, 0,  0, 0,  0, 0,  0, 0,  0, 0,  0, 0,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7, 7,  0, 0, 34,35,  0, 0,  0, 0,  0, 0,  7, 7,  0, 0,  0, 0,  0, 0,  0, 0,  0, 0,  0, 0,  0, 0,  0, 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 0, 0, 12,12, 64,64, 74,74, 74,74, 74,74, 62,62, 72,72,  0, 0,  0, 0,  0, 0,  0, 0,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0, 0,  0, 0, 12,12, 64,64, 74,74, 74,74, 74,74, 62,62, 72,72,  0, 0,  0, 0,  0, 0,  0, 0,  0, 0,  0, 0,  0, 0,  0, 0,  0, 0,},</v>
      </c>
    </row>
    <row r="31" spans="6:6" ht="18" customHeight="1" x14ac:dyDescent="0.25">
      <c r="F31" s="7" t="str">
        <f>_xlfn.CONCAT("{",_xlfn.TEXTJOIN(" ",FALSE,Hidden!F38:AD38),"},")</f>
        <v>{ 0, 0,  0, 0,  0, 0,  0, 0,  0, 0,  0, 0,  0, 0,  0, 0,  0, 0, 12,12,  0, 0,  0, 0,  0, 0,  0, 0,  0, 0,  0, 0,  0, 0,  0, 0,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0, 0,  0, 0,  0, 0,  0, 0,  0, 0,  0, 0,  0, 0,  0, 0,  0, 0,  7, 7,  0, 0,  0, 0,  0, 0,  0, 0,  0, 0,  0, 0,  0, 0,  0, 0,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Level_10_Items[]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79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81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127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95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100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87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97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133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134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65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16</v>
      </c>
    </row>
    <row r="74" spans="6:15" ht="18" customHeight="1" x14ac:dyDescent="0.25">
      <c r="F74" s="7" t="s">
        <v>17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 t="s">
        <v>12</v>
      </c>
    </row>
    <row r="78" spans="6:15" ht="18" customHeight="1" x14ac:dyDescent="0.25">
      <c r="F78" s="7"/>
    </row>
    <row r="79" spans="6:15" ht="18" customHeight="1" x14ac:dyDescent="0.25">
      <c r="F79" s="7" t="str">
        <f ca="1">_xlfn.CONCAT("uint16_t ", _xlfn.TEXTAFTER(CELL("filename"),"]"), "_Enemies[] = {")</f>
        <v>uint16_t Level_10_Enemies[] = {</v>
      </c>
    </row>
    <row r="80" spans="6:15" ht="18" customHeight="1" x14ac:dyDescent="0.25">
      <c r="F80" s="7" t="s">
        <v>18</v>
      </c>
    </row>
    <row r="81" spans="6:6" ht="18" customHeight="1" x14ac:dyDescent="0.25">
      <c r="F81" s="7" t="s">
        <v>15</v>
      </c>
    </row>
    <row r="82" spans="6:6" ht="18" customHeight="1" x14ac:dyDescent="0.25">
      <c r="F82" s="7" t="s">
        <v>16</v>
      </c>
    </row>
    <row r="83" spans="6:6" ht="18" customHeight="1" x14ac:dyDescent="0.25">
      <c r="F83" s="7" t="s">
        <v>19</v>
      </c>
    </row>
    <row r="84" spans="6:6" ht="18" customHeight="1" x14ac:dyDescent="0.25">
      <c r="F84" s="7" t="s">
        <v>20</v>
      </c>
    </row>
    <row r="85" spans="6:6" ht="18" customHeight="1" x14ac:dyDescent="0.25">
      <c r="F85" s="7"/>
    </row>
    <row r="86" spans="6:6" ht="18" customHeight="1" x14ac:dyDescent="0.25">
      <c r="F86" s="7" t="s">
        <v>18</v>
      </c>
    </row>
    <row r="87" spans="6:6" ht="18" customHeight="1" x14ac:dyDescent="0.25">
      <c r="F87" s="7" t="s">
        <v>15</v>
      </c>
    </row>
    <row r="88" spans="6:6" ht="18" customHeight="1" x14ac:dyDescent="0.25">
      <c r="F88" s="7" t="s">
        <v>16</v>
      </c>
    </row>
    <row r="89" spans="6:6" ht="18" customHeight="1" x14ac:dyDescent="0.25">
      <c r="F89" s="7" t="s">
        <v>19</v>
      </c>
    </row>
    <row r="90" spans="6:6" ht="18" customHeight="1" x14ac:dyDescent="0.25">
      <c r="F90" s="7" t="s">
        <v>20</v>
      </c>
    </row>
    <row r="91" spans="6:6" ht="18" customHeight="1" x14ac:dyDescent="0.25">
      <c r="F91" s="7"/>
    </row>
    <row r="92" spans="6:6" ht="18" customHeight="1" x14ac:dyDescent="0.25">
      <c r="F92" s="7" t="s">
        <v>18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19</v>
      </c>
    </row>
    <row r="96" spans="6:6" ht="18" customHeight="1" x14ac:dyDescent="0.25">
      <c r="F96" s="7" t="s">
        <v>20</v>
      </c>
    </row>
    <row r="97" spans="6:6" ht="18" customHeight="1" x14ac:dyDescent="0.25">
      <c r="F97" s="7"/>
    </row>
    <row r="98" spans="6:6" ht="18" customHeight="1" x14ac:dyDescent="0.25">
      <c r="F98" s="7" t="s">
        <v>18</v>
      </c>
    </row>
    <row r="99" spans="6:6" ht="18" customHeight="1" x14ac:dyDescent="0.25">
      <c r="F99" s="7" t="s">
        <v>15</v>
      </c>
    </row>
    <row r="100" spans="6:6" ht="18" customHeight="1" x14ac:dyDescent="0.25">
      <c r="F100" s="7" t="s">
        <v>16</v>
      </c>
    </row>
    <row r="101" spans="6:6" ht="18" customHeight="1" x14ac:dyDescent="0.25">
      <c r="F101" s="7" t="s">
        <v>19</v>
      </c>
    </row>
    <row r="102" spans="6:6" ht="18" customHeight="1" x14ac:dyDescent="0.25">
      <c r="F102" s="7" t="s">
        <v>20</v>
      </c>
    </row>
    <row r="103" spans="6:6" ht="18" customHeight="1" x14ac:dyDescent="0.25">
      <c r="F103" s="7" t="s">
        <v>12</v>
      </c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473D8-3B06-B341-9953-4B15FACC3AA9}">
  <sheetPr codeName="Sheet14"/>
  <dimension ref="C1:AE259"/>
  <sheetViews>
    <sheetView topLeftCell="A4" zoomScale="80" zoomScaleNormal="80" workbookViewId="0">
      <selection activeCell="F16" sqref="F16:F13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Level_01[] = {</v>
      </c>
    </row>
    <row r="17" spans="6:6" ht="18" customHeight="1" x14ac:dyDescent="0.25">
      <c r="F17" s="7" t="str">
        <f>_xlfn.CONCAT("{",_xlfn.TEXTJOIN(" ",FALSE,[1]Hidden!F24:AD24),"},")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7" t="str">
        <f>_xlfn.CONCAT("{",_xlfn.TEXTJOIN(" ",FALSE,[1]Hidden!F25:AD25),"},")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7" t="str">
        <f>_xlfn.CONCAT("{",_xlfn.TEXTJOIN(" ",FALSE,[1]Hidden!F26:AD26),"},")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7" t="str">
        <f>_xlfn.CONCAT("{",_xlfn.TEXTJOIN(" ",FALSE,[1]Hidden!F27:AD27),"},")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7" t="str">
        <f>_xlfn.CONCAT("{",_xlfn.TEXTJOIN(" ",FALSE,[1]Hidden!F28:AD28),"},")</f>
        <v>{ 0, 0, 33,33,  1, 1, 33,33,  0, 0, 33,33,  0, 0,  0, 0,  0, 0, 12,12,  0, 0, 62,62, 72,72,  8, 8, 63,63, 73,73, 73,73,  0, 0,  0, 0,  0, 0,  0, 0,  0, 0, 36,37, 34,35,  1, 1,},</v>
      </c>
    </row>
    <row r="22" spans="6:6" ht="18" customHeight="1" x14ac:dyDescent="0.25">
      <c r="F22" s="7" t="str">
        <f>_xlfn.CONCAT("{",_xlfn.TEXTJOIN(" ",FALSE,[1]Hidden!F29:AD29),"},")</f>
        <v>{ 0, 0, 31,31,  2, 2, 31,31,  0, 0, 31,31,  0, 0,  0, 0,  0, 0, 12,12,  0, 0, 62,62, 72,72, 12,12, 63,63, 73,73, 73,73,  0, 0,  0, 0,  0, 0,  0, 0,  0, 0, 36,37, 34,35,  2, 2,},</v>
      </c>
    </row>
    <row r="23" spans="6:6" ht="18" customHeight="1" x14ac:dyDescent="0.25">
      <c r="F23" s="7" t="str">
        <f>_xlfn.CONCAT("{",_xlfn.TEXTJOIN(" ",FALSE,[1]Hidden!F30:AD30),"},")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7" t="str">
        <f>_xlfn.CONCAT("{",_xlfn.TEXTJOIN(" ",FALSE,[1]Hidden!F31:AD31),"},")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7" t="str">
        <f>_xlfn.CONCAT("{",_xlfn.TEXTJOIN(" ",FALSE,[1]Hidden!F32:AD32),"},")</f>
        <v>{ 0, 0, 31,31,  0, 0, 31,31,  0, 0, 31,31,  0, 0,  1, 1,  8, 8, 64,64, 74,74, 74,74, 74,74,  1, 1,  0, 0,  0, 0,  0, 0,  0, 0,  0, 0,  0, 0,  0, 0,  0, 0,  0, 0, 12,12,  1, 1,},</v>
      </c>
    </row>
    <row r="26" spans="6:6" ht="18" customHeight="1" x14ac:dyDescent="0.25">
      <c r="F26" s="7" t="str">
        <f>_xlfn.CONCAT("{",_xlfn.TEXTJOIN(" ",FALSE,[1]Hidden!F33:AD33),"},")</f>
        <v>{ 0, 0, 31,31,  0, 0, 31,31,  0, 0, 31,31,  0, 0,  2, 2, 12,12, 64,64, 74,74, 74,74, 74,74,  2, 2,  0, 0,  0, 0,  0, 0,  0, 0,  0, 0,  0, 0,  0, 0,  0, 0,  0, 0, 12,12,  2, 2,},</v>
      </c>
    </row>
    <row r="27" spans="6:6" ht="18" customHeight="1" x14ac:dyDescent="0.25">
      <c r="F27" s="7" t="str">
        <f>_xlfn.CONCAT("{",_xlfn.TEXTJOIN(" ",FALSE,[1]Hidden!F34:AD34),"},")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7" t="str">
        <f>_xlfn.CONCAT("{",_xlfn.TEXTJOIN(" ",FALSE,[1]Hidden!F35:AD35),"},")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7" t="str">
        <f>_xlfn.CONCAT("{",_xlfn.TEXTJOIN(" ",FALSE,[1]Hidden!F36:AD36),"},")</f>
        <v>{ 0, 0, 31,31,  0, 0, 31,31,  0, 0,  0, 0,  0, 0,  0, 0, 12,12,  0, 0,  8, 8, 62,62, 72,72,  9,10,  0, 0,  0, 0,  0, 0,  0, 0,  0, 0,  0, 0,  0, 0, 25,25,  0, 0, 12,12,  1, 1,},</v>
      </c>
    </row>
    <row r="30" spans="6:6" ht="18" customHeight="1" x14ac:dyDescent="0.25">
      <c r="F30" s="7" t="str">
        <f>_xlfn.CONCAT("{",_xlfn.TEXTJOIN(" ",FALSE,[1]Hidden!F37:AD37),"},")</f>
        <v>{ 0, 0, 32,32,  0, 0, 31,31,  0, 0,  0, 0,  0, 0,  0, 0, 12,12,  0, 0, 12,12, 62,62, 72,72,  2, 1,  0, 0,  0, 0,  0, 0,  0, 0,  0, 0,  0, 0,  0, 0, 25,25,  0, 0,  7, 7,  2, 2,},</v>
      </c>
    </row>
    <row r="31" spans="6:6" ht="18" customHeight="1" x14ac:dyDescent="0.25">
      <c r="F31" s="7" t="str">
        <f>_xlfn.CONCAT("{",_xlfn.TEXTJOIN(" ",FALSE,[1]Hidden!F38:AD38),"},")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7" t="str">
        <f>_xlfn.CONCAT("{",_xlfn.TEXTJOIN(" ",FALSE,[1]Hidden!F39:AD39),"},")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Level_01_Items[]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120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105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108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105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110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95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97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112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71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72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99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71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72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88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109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72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119</v>
      </c>
    </row>
    <row r="79" spans="6:15" ht="18" customHeight="1" x14ac:dyDescent="0.25">
      <c r="F79" s="7" t="s">
        <v>104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133</v>
      </c>
    </row>
    <row r="86" spans="6:6" ht="18" customHeight="1" x14ac:dyDescent="0.25">
      <c r="F86" s="7" t="s">
        <v>126</v>
      </c>
    </row>
    <row r="87" spans="6:6" ht="18" customHeight="1" x14ac:dyDescent="0.25">
      <c r="F87" s="7" t="s">
        <v>97</v>
      </c>
    </row>
    <row r="88" spans="6:6" ht="18" customHeight="1" x14ac:dyDescent="0.25">
      <c r="F88" s="7" t="s">
        <v>21</v>
      </c>
    </row>
    <row r="89" spans="6:6" ht="18" customHeight="1" x14ac:dyDescent="0.25">
      <c r="F89" s="7" t="s">
        <v>134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133</v>
      </c>
    </row>
    <row r="93" spans="6:6" ht="18" customHeight="1" x14ac:dyDescent="0.25">
      <c r="F93" s="7" t="s">
        <v>111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21</v>
      </c>
    </row>
    <row r="96" spans="6:6" ht="18" customHeight="1" x14ac:dyDescent="0.25">
      <c r="F96" s="7" t="s">
        <v>134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65</v>
      </c>
    </row>
    <row r="100" spans="6:6" ht="18" customHeight="1" x14ac:dyDescent="0.25">
      <c r="F100" s="7" t="s">
        <v>15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17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 t="s">
        <v>12</v>
      </c>
    </row>
    <row r="106" spans="6:6" ht="18" customHeight="1" x14ac:dyDescent="0.25">
      <c r="F106" s="7"/>
    </row>
    <row r="107" spans="6:6" ht="18" customHeight="1" x14ac:dyDescent="0.25">
      <c r="F107" s="7" t="str">
        <f ca="1">_xlfn.CONCAT("uint16_t ", _xlfn.TEXTAFTER(CELL("filename"),"]"), "_Enemies[] = {")</f>
        <v>uint16_t Level_10_Enemies[] = {</v>
      </c>
    </row>
    <row r="108" spans="6:6" ht="18" customHeight="1" x14ac:dyDescent="0.25">
      <c r="F108" s="7" t="s">
        <v>18</v>
      </c>
    </row>
    <row r="109" spans="6:6" ht="18" customHeight="1" x14ac:dyDescent="0.25">
      <c r="F109" s="7" t="s">
        <v>15</v>
      </c>
    </row>
    <row r="110" spans="6:6" ht="18" customHeight="1" x14ac:dyDescent="0.25">
      <c r="F110" s="7" t="s">
        <v>16</v>
      </c>
    </row>
    <row r="111" spans="6:6" ht="18" customHeight="1" x14ac:dyDescent="0.25">
      <c r="F111" s="7" t="s">
        <v>19</v>
      </c>
    </row>
    <row r="112" spans="6:6" ht="18" customHeight="1" x14ac:dyDescent="0.25">
      <c r="F112" s="7" t="s">
        <v>20</v>
      </c>
    </row>
    <row r="113" spans="6:6" ht="18" customHeight="1" x14ac:dyDescent="0.25">
      <c r="F113" s="7"/>
    </row>
    <row r="114" spans="6:6" ht="18" customHeight="1" x14ac:dyDescent="0.25">
      <c r="F114" s="7" t="s">
        <v>18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19</v>
      </c>
    </row>
    <row r="118" spans="6:6" ht="18" customHeight="1" x14ac:dyDescent="0.25">
      <c r="F118" s="7" t="s">
        <v>20</v>
      </c>
    </row>
    <row r="119" spans="6:6" ht="18" customHeight="1" x14ac:dyDescent="0.25">
      <c r="F119" s="7"/>
    </row>
    <row r="120" spans="6:6" ht="18" customHeight="1" x14ac:dyDescent="0.25">
      <c r="F120" s="7" t="s">
        <v>18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19</v>
      </c>
    </row>
    <row r="124" spans="6:6" ht="18" customHeight="1" x14ac:dyDescent="0.25">
      <c r="F124" s="7" t="s">
        <v>20</v>
      </c>
    </row>
    <row r="125" spans="6:6" ht="18" customHeight="1" x14ac:dyDescent="0.25">
      <c r="F125" s="7"/>
    </row>
    <row r="126" spans="6:6" ht="18" customHeight="1" x14ac:dyDescent="0.25">
      <c r="F126" s="7" t="s">
        <v>18</v>
      </c>
    </row>
    <row r="127" spans="6:6" ht="18" customHeight="1" x14ac:dyDescent="0.25">
      <c r="F127" s="7" t="s">
        <v>15</v>
      </c>
    </row>
    <row r="128" spans="6:6" ht="18" customHeight="1" x14ac:dyDescent="0.25">
      <c r="F128" s="7" t="s">
        <v>16</v>
      </c>
    </row>
    <row r="129" spans="6:6" ht="18" customHeight="1" x14ac:dyDescent="0.25">
      <c r="F129" s="7" t="s">
        <v>19</v>
      </c>
    </row>
    <row r="130" spans="6:6" ht="18" customHeight="1" x14ac:dyDescent="0.25">
      <c r="F130" s="7" t="s">
        <v>20</v>
      </c>
    </row>
    <row r="131" spans="6:6" ht="18" customHeight="1" x14ac:dyDescent="0.25">
      <c r="F131" s="7" t="s">
        <v>12</v>
      </c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F236C5-90F6-4646-ABEA-78DE7FCC352A}">
  <sheetPr codeName="Sheet15"/>
  <dimension ref="C1:AE259"/>
  <sheetViews>
    <sheetView topLeftCell="A4" zoomScale="80" zoomScaleNormal="80" workbookViewId="0">
      <selection activeCell="F16" sqref="F16:F14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Level_02[] = {</v>
      </c>
    </row>
    <row r="17" spans="6:6" ht="18" customHeight="1" x14ac:dyDescent="0.25">
      <c r="F17" s="7" t="str">
        <f>_xlfn.CONCAT("{",_xlfn.TEXTJOIN(" ",FALSE,[1]Hidden!F24:AD24),"},")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7" t="str">
        <f>_xlfn.CONCAT("{",_xlfn.TEXTJOIN(" ",FALSE,[1]Hidden!F25:AD25),"},")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7" t="str">
        <f>_xlfn.CONCAT("{",_xlfn.TEXTJOIN(" ",FALSE,[1]Hidden!F26:AD26),"},")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7" t="str">
        <f>_xlfn.CONCAT("{",_xlfn.TEXTJOIN(" ",FALSE,[1]Hidden!F27:AD27),"},")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7" t="str">
        <f>_xlfn.CONCAT("{",_xlfn.TEXTJOIN(" ",FALSE,[1]Hidden!F28:AD28),"},")</f>
        <v>{ 0, 0, 33,33,  1, 1, 33,33,  0, 0, 33,33,  0, 0,  0, 0,  0, 0, 12,12,  0, 0, 62,62, 72,72,  8, 8, 63,63, 73,73, 73,73,  0, 0,  0, 0,  0, 0,  0, 0,  0, 0, 36,37, 34,35,  1, 1,},</v>
      </c>
    </row>
    <row r="22" spans="6:6" ht="18" customHeight="1" x14ac:dyDescent="0.25">
      <c r="F22" s="7" t="str">
        <f>_xlfn.CONCAT("{",_xlfn.TEXTJOIN(" ",FALSE,[1]Hidden!F29:AD29),"},")</f>
        <v>{ 0, 0, 31,31,  2, 2, 31,31,  0, 0, 31,31,  0, 0,  0, 0,  0, 0, 12,12,  0, 0, 62,62, 72,72, 12,12, 63,63, 73,73, 73,73,  0, 0,  0, 0,  0, 0,  0, 0,  0, 0, 36,37, 34,35,  2, 2,},</v>
      </c>
    </row>
    <row r="23" spans="6:6" ht="18" customHeight="1" x14ac:dyDescent="0.25">
      <c r="F23" s="7" t="str">
        <f>_xlfn.CONCAT("{",_xlfn.TEXTJOIN(" ",FALSE,[1]Hidden!F30:AD30),"},")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7" t="str">
        <f>_xlfn.CONCAT("{",_xlfn.TEXTJOIN(" ",FALSE,[1]Hidden!F31:AD31),"},")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7" t="str">
        <f>_xlfn.CONCAT("{",_xlfn.TEXTJOIN(" ",FALSE,[1]Hidden!F32:AD32),"},")</f>
        <v>{ 0, 0, 31,31,  0, 0, 31,31,  0, 0, 31,31,  0, 0,  1, 1,  8, 8, 64,64, 74,74, 74,74, 74,74,  1, 1,  0, 0,  0, 0,  0, 0,  0, 0,  0, 0,  0, 0,  0, 0,  0, 0,  0, 0, 12,12,  1, 1,},</v>
      </c>
    </row>
    <row r="26" spans="6:6" ht="18" customHeight="1" x14ac:dyDescent="0.25">
      <c r="F26" s="7" t="str">
        <f>_xlfn.CONCAT("{",_xlfn.TEXTJOIN(" ",FALSE,[1]Hidden!F33:AD33),"},")</f>
        <v>{ 0, 0, 31,31,  0, 0, 31,31,  0, 0, 31,31,  0, 0,  2, 2, 12,12, 64,64, 74,74, 74,74, 74,74,  2, 2,  0, 0,  0, 0,  0, 0,  0, 0,  0, 0,  0, 0,  0, 0,  0, 0,  0, 0, 12,12,  2, 2,},</v>
      </c>
    </row>
    <row r="27" spans="6:6" ht="18" customHeight="1" x14ac:dyDescent="0.25">
      <c r="F27" s="7" t="str">
        <f>_xlfn.CONCAT("{",_xlfn.TEXTJOIN(" ",FALSE,[1]Hidden!F34:AD34),"},")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7" t="str">
        <f>_xlfn.CONCAT("{",_xlfn.TEXTJOIN(" ",FALSE,[1]Hidden!F35:AD35),"},")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7" t="str">
        <f>_xlfn.CONCAT("{",_xlfn.TEXTJOIN(" ",FALSE,[1]Hidden!F36:AD36),"},")</f>
        <v>{ 0, 0, 31,31,  0, 0, 31,31,  0, 0,  0, 0,  0, 0,  0, 0, 12,12,  0, 0,  8, 8, 62,62, 72,72,  9,10,  0, 0,  0, 0,  0, 0,  0, 0,  0, 0,  0, 0,  0, 0, 25,25,  0, 0, 12,12,  1, 1,},</v>
      </c>
    </row>
    <row r="30" spans="6:6" ht="18" customHeight="1" x14ac:dyDescent="0.25">
      <c r="F30" s="7" t="str">
        <f>_xlfn.CONCAT("{",_xlfn.TEXTJOIN(" ",FALSE,[1]Hidden!F37:AD37),"},")</f>
        <v>{ 0, 0, 32,32,  0, 0, 31,31,  0, 0,  0, 0,  0, 0,  0, 0, 12,12,  0, 0, 12,12, 62,62, 72,72,  2, 1,  0, 0,  0, 0,  0, 0,  0, 0,  0, 0,  0, 0,  0, 0, 25,25,  0, 0,  7, 7,  2, 2,},</v>
      </c>
    </row>
    <row r="31" spans="6:6" ht="18" customHeight="1" x14ac:dyDescent="0.25">
      <c r="F31" s="7" t="str">
        <f>_xlfn.CONCAT("{",_xlfn.TEXTJOIN(" ",FALSE,[1]Hidden!F38:AD38),"},")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7" t="str">
        <f>_xlfn.CONCAT("{",_xlfn.TEXTJOIN(" ",FALSE,[1]Hidden!F39:AD39),"},")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Level_02_Items[]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73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73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73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117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143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71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78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144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71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106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97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91</v>
      </c>
    </row>
    <row r="79" spans="6:15" ht="18" customHeight="1" x14ac:dyDescent="0.25">
      <c r="F79" s="7" t="s">
        <v>95</v>
      </c>
    </row>
    <row r="80" spans="6:15" ht="18" customHeight="1" x14ac:dyDescent="0.25">
      <c r="F80" s="7" t="s">
        <v>102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128</v>
      </c>
    </row>
    <row r="86" spans="6:6" ht="18" customHeight="1" x14ac:dyDescent="0.25">
      <c r="F86" s="7" t="s">
        <v>103</v>
      </c>
    </row>
    <row r="87" spans="6:6" ht="18" customHeight="1" x14ac:dyDescent="0.25">
      <c r="F87" s="7" t="s">
        <v>102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113</v>
      </c>
    </row>
    <row r="93" spans="6:6" ht="18" customHeight="1" x14ac:dyDescent="0.25">
      <c r="F93" s="7" t="s">
        <v>103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115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110</v>
      </c>
    </row>
    <row r="100" spans="6:6" ht="18" customHeight="1" x14ac:dyDescent="0.25">
      <c r="F100" s="7" t="s">
        <v>114</v>
      </c>
    </row>
    <row r="101" spans="6:6" ht="18" customHeight="1" x14ac:dyDescent="0.25">
      <c r="F101" s="7" t="s">
        <v>102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112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119</v>
      </c>
    </row>
    <row r="107" spans="6:6" ht="18" customHeight="1" x14ac:dyDescent="0.25">
      <c r="F107" s="7" t="s">
        <v>114</v>
      </c>
    </row>
    <row r="108" spans="6:6" ht="18" customHeight="1" x14ac:dyDescent="0.25">
      <c r="F108" s="7" t="s">
        <v>80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65</v>
      </c>
    </row>
    <row r="114" spans="6:6" ht="18" customHeight="1" x14ac:dyDescent="0.25">
      <c r="F114" s="7" t="s">
        <v>15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17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_xlfn.CONCAT("uint16_t ", _xlfn.TEXTAFTER(CELL("filename"),"]"), "_Enemies[] = {")</f>
        <v>uint16_t Level_10_Enemies[] = {</v>
      </c>
    </row>
    <row r="122" spans="6:6" ht="18" customHeight="1" x14ac:dyDescent="0.25">
      <c r="F122" s="7" t="s">
        <v>74</v>
      </c>
    </row>
    <row r="123" spans="6:6" ht="18" customHeight="1" x14ac:dyDescent="0.25">
      <c r="F123" s="7" t="s">
        <v>145</v>
      </c>
    </row>
    <row r="124" spans="6:6" ht="18" customHeight="1" x14ac:dyDescent="0.25">
      <c r="F124" s="7" t="s">
        <v>16</v>
      </c>
    </row>
    <row r="125" spans="6:6" ht="18" customHeight="1" x14ac:dyDescent="0.25">
      <c r="F125" s="7" t="s">
        <v>76</v>
      </c>
    </row>
    <row r="126" spans="6:6" ht="18" customHeight="1" x14ac:dyDescent="0.25">
      <c r="F126" s="7" t="s">
        <v>75</v>
      </c>
    </row>
    <row r="127" spans="6:6" ht="18" customHeight="1" x14ac:dyDescent="0.25">
      <c r="F127" s="7"/>
    </row>
    <row r="128" spans="6:6" ht="18" customHeight="1" x14ac:dyDescent="0.25">
      <c r="F128" s="7" t="s">
        <v>146</v>
      </c>
    </row>
    <row r="129" spans="6:6" ht="18" customHeight="1" x14ac:dyDescent="0.25">
      <c r="F129" s="7" t="s">
        <v>147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148</v>
      </c>
    </row>
    <row r="132" spans="6:6" ht="18" customHeight="1" x14ac:dyDescent="0.25">
      <c r="F132" s="7" t="s">
        <v>149</v>
      </c>
    </row>
    <row r="133" spans="6:6" ht="18" customHeight="1" x14ac:dyDescent="0.25">
      <c r="F133" s="7"/>
    </row>
    <row r="134" spans="6:6" ht="18" customHeight="1" x14ac:dyDescent="0.25">
      <c r="F134" s="7" t="s">
        <v>122</v>
      </c>
    </row>
    <row r="135" spans="6:6" ht="18" customHeight="1" x14ac:dyDescent="0.25">
      <c r="F135" s="7" t="s">
        <v>150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123</v>
      </c>
    </row>
    <row r="138" spans="6:6" ht="18" customHeight="1" x14ac:dyDescent="0.25">
      <c r="F138" s="7" t="s">
        <v>124</v>
      </c>
    </row>
    <row r="139" spans="6:6" ht="18" customHeight="1" x14ac:dyDescent="0.25">
      <c r="F139" s="7"/>
    </row>
    <row r="140" spans="6:6" ht="18" customHeight="1" x14ac:dyDescent="0.25">
      <c r="F140" s="7" t="s">
        <v>74</v>
      </c>
    </row>
    <row r="141" spans="6:6" ht="18" customHeight="1" x14ac:dyDescent="0.25">
      <c r="F141" s="7" t="s">
        <v>151</v>
      </c>
    </row>
    <row r="142" spans="6:6" ht="18" customHeight="1" x14ac:dyDescent="0.25">
      <c r="F142" s="7" t="s">
        <v>16</v>
      </c>
    </row>
    <row r="143" spans="6:6" ht="18" customHeight="1" x14ac:dyDescent="0.25">
      <c r="F143" s="7" t="s">
        <v>76</v>
      </c>
    </row>
    <row r="144" spans="6:6" ht="18" customHeight="1" x14ac:dyDescent="0.25">
      <c r="F144" s="7" t="s">
        <v>75</v>
      </c>
    </row>
    <row r="145" spans="6:6" ht="18" customHeight="1" x14ac:dyDescent="0.25">
      <c r="F145" s="7" t="s">
        <v>12</v>
      </c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CC8E2-1B1A-B342-B9FC-42F55ABA4B62}">
  <sheetPr codeName="Sheet11"/>
  <dimension ref="C1:AE259"/>
  <sheetViews>
    <sheetView zoomScale="80" zoomScaleNormal="8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Level_03[]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8, 8,  0, 0,  0, 0,  0, 0, 36,37,  0, 0,  0, 0,  0, 0,  0, 0,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7, 7,  0, 0,  0, 0,  0, 0, 36,37,  0, 0,  0, 0,  0, 0,  0, 0,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12,12, 64,64, 74,74, 74,74, 74,74, 62,62, 72,72,  0, 0,  0, 0,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12,12, 64,64, 74,74, 74,74, 74,74, 62,62, 72,72,  0, 0,  0, 0,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12,12,  0, 0, 34,35,  0, 0, 36,37,  0, 0,  8, 8,  0, 0,  0, 0,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7, 7,  0, 0, 34,35,  0, 0, 36,37,  0, 0,  7, 7,  0, 0,  0, 0,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64,64, 74,74, 74,74, 74,74, 62,62, 72,72, 12,12,  0,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64,64, 74,74, 74,74, 74,74, 62,62, 72,72, 12,12,  0, 0,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8, 8,  0, 0, 34,35,  0, 0,  0, 0,  0, 0, 12,12,  0, 0,  0, 0,  0, 0,  0, 0,  0, 0,  0, 0,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7, 7,  0, 0, 34,35,  0, 0,  0, 0,  0, 0,  7, 7,  0, 0,  0, 0,  0, 0,  0, 0,  0, 0,  0, 0,  0, 0,  0, 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 0, 0, 12,12, 64,64, 74,74, 74,74, 74,74, 62,62, 72,72,  0, 0,  0, 0,  0, 0,  0, 0,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0, 0,  0, 0, 12,12, 64,64, 74,74, 74,74, 74,74, 62,62, 72,72,  0, 0,  0, 0,  0, 0,  0, 0,  0, 0,  0, 0,  0, 0,  0, 0,  0, 0,},</v>
      </c>
    </row>
    <row r="31" spans="6:6" ht="18" customHeight="1" x14ac:dyDescent="0.25">
      <c r="F31" s="7" t="str">
        <f>_xlfn.CONCAT("{",_xlfn.TEXTJOIN(" ",FALSE,Hidden!F38:AD38),"},")</f>
        <v>{ 0, 0,  0, 0,  0, 0,  0, 0,  0, 0,  0, 0,  0, 0,  0, 0,  0, 0, 12,12,  0, 0,  0, 0,  0, 0,  0, 0,  0, 0,  0, 0,  0, 0,  0, 0,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0, 0,  0, 0,  0, 0,  0, 0,  0, 0,  0, 0,  0, 0,  0, 0,  0, 0,  7, 7,  0, 0,  0, 0,  0, 0,  0, 0,  0, 0,  0, 0,  0, 0,  0, 0,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Level_10_Items[]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71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80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88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70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90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92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80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72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121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97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129</v>
      </c>
    </row>
    <row r="79" spans="6:15" ht="18" customHeight="1" x14ac:dyDescent="0.25">
      <c r="F79" s="7" t="s">
        <v>95</v>
      </c>
    </row>
    <row r="80" spans="6:15" ht="18" customHeight="1" x14ac:dyDescent="0.25">
      <c r="F80" s="7" t="s">
        <v>78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128</v>
      </c>
    </row>
    <row r="86" spans="6:6" ht="18" customHeight="1" x14ac:dyDescent="0.25">
      <c r="F86" s="7" t="s">
        <v>71</v>
      </c>
    </row>
    <row r="87" spans="6:6" ht="18" customHeight="1" x14ac:dyDescent="0.25">
      <c r="F87" s="7" t="s">
        <v>102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116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128</v>
      </c>
    </row>
    <row r="93" spans="6:6" ht="18" customHeight="1" x14ac:dyDescent="0.25">
      <c r="F93" s="7" t="s">
        <v>127</v>
      </c>
    </row>
    <row r="94" spans="6:6" ht="18" customHeight="1" x14ac:dyDescent="0.25">
      <c r="F94" s="7" t="s">
        <v>78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131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130</v>
      </c>
    </row>
    <row r="100" spans="6:6" ht="18" customHeight="1" x14ac:dyDescent="0.25">
      <c r="F100" s="7" t="s">
        <v>118</v>
      </c>
    </row>
    <row r="101" spans="6:6" ht="18" customHeight="1" x14ac:dyDescent="0.25">
      <c r="F101" s="7" t="s">
        <v>80</v>
      </c>
    </row>
    <row r="102" spans="6:6" ht="18" customHeight="1" x14ac:dyDescent="0.25">
      <c r="F102" s="7" t="s">
        <v>21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113</v>
      </c>
    </row>
    <row r="107" spans="6:6" ht="18" customHeight="1" x14ac:dyDescent="0.25">
      <c r="F107" s="7" t="s">
        <v>117</v>
      </c>
    </row>
    <row r="108" spans="6:6" ht="18" customHeight="1" x14ac:dyDescent="0.25">
      <c r="F108" s="7" t="s">
        <v>80</v>
      </c>
    </row>
    <row r="109" spans="6:6" ht="18" customHeight="1" x14ac:dyDescent="0.25">
      <c r="F109" s="7" t="s">
        <v>63</v>
      </c>
    </row>
    <row r="110" spans="6:6" ht="18" customHeight="1" x14ac:dyDescent="0.25">
      <c r="F110" s="7" t="s">
        <v>132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65</v>
      </c>
    </row>
    <row r="114" spans="6:6" ht="18" customHeight="1" x14ac:dyDescent="0.25">
      <c r="F114" s="7" t="s">
        <v>15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17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 t="s">
        <v>12</v>
      </c>
    </row>
    <row r="120" spans="6:6" ht="18" customHeight="1" x14ac:dyDescent="0.25">
      <c r="F120" s="7"/>
    </row>
    <row r="121" spans="6:6" ht="18" customHeight="1" x14ac:dyDescent="0.25">
      <c r="F121" s="7" t="str">
        <f ca="1">_xlfn.CONCAT("uint16_t ", _xlfn.TEXTAFTER(CELL("filename"),"]"), "_Enemies[] = {")</f>
        <v>uint16_t Level_10_Enemies[] = {</v>
      </c>
    </row>
    <row r="122" spans="6:6" ht="18" customHeight="1" x14ac:dyDescent="0.25">
      <c r="F122" s="7" t="s">
        <v>18</v>
      </c>
    </row>
    <row r="123" spans="6:6" ht="18" customHeight="1" x14ac:dyDescent="0.25">
      <c r="F123" s="7" t="s">
        <v>15</v>
      </c>
    </row>
    <row r="124" spans="6:6" ht="18" customHeight="1" x14ac:dyDescent="0.25">
      <c r="F124" s="7" t="s">
        <v>16</v>
      </c>
    </row>
    <row r="125" spans="6:6" ht="18" customHeight="1" x14ac:dyDescent="0.25">
      <c r="F125" s="7" t="s">
        <v>19</v>
      </c>
    </row>
    <row r="126" spans="6:6" ht="18" customHeight="1" x14ac:dyDescent="0.25">
      <c r="F126" s="7" t="s">
        <v>20</v>
      </c>
    </row>
    <row r="127" spans="6:6" ht="18" customHeight="1" x14ac:dyDescent="0.25">
      <c r="F127" s="7"/>
    </row>
    <row r="128" spans="6:6" ht="18" customHeight="1" x14ac:dyDescent="0.25">
      <c r="F128" s="7" t="s">
        <v>18</v>
      </c>
    </row>
    <row r="129" spans="6:6" ht="18" customHeight="1" x14ac:dyDescent="0.25">
      <c r="F129" s="7" t="s">
        <v>15</v>
      </c>
    </row>
    <row r="130" spans="6:6" ht="18" customHeight="1" x14ac:dyDescent="0.25">
      <c r="F130" s="7" t="s">
        <v>16</v>
      </c>
    </row>
    <row r="131" spans="6:6" ht="18" customHeight="1" x14ac:dyDescent="0.25">
      <c r="F131" s="7" t="s">
        <v>19</v>
      </c>
    </row>
    <row r="132" spans="6:6" ht="18" customHeight="1" x14ac:dyDescent="0.25">
      <c r="F132" s="7" t="s">
        <v>20</v>
      </c>
    </row>
    <row r="133" spans="6:6" ht="18" customHeight="1" x14ac:dyDescent="0.25">
      <c r="F133" s="7"/>
    </row>
    <row r="134" spans="6:6" ht="18" customHeight="1" x14ac:dyDescent="0.25">
      <c r="F134" s="7" t="s">
        <v>18</v>
      </c>
    </row>
    <row r="135" spans="6:6" ht="18" customHeight="1" x14ac:dyDescent="0.25">
      <c r="F135" s="7" t="s">
        <v>15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19</v>
      </c>
    </row>
    <row r="138" spans="6:6" ht="18" customHeight="1" x14ac:dyDescent="0.25">
      <c r="F138" s="7" t="s">
        <v>20</v>
      </c>
    </row>
    <row r="139" spans="6:6" ht="18" customHeight="1" x14ac:dyDescent="0.25">
      <c r="F139" s="7"/>
    </row>
    <row r="140" spans="6:6" ht="18" customHeight="1" x14ac:dyDescent="0.25">
      <c r="F140" s="7" t="s">
        <v>18</v>
      </c>
    </row>
    <row r="141" spans="6:6" ht="18" customHeight="1" x14ac:dyDescent="0.25">
      <c r="F141" s="7" t="s">
        <v>15</v>
      </c>
    </row>
    <row r="142" spans="6:6" ht="18" customHeight="1" x14ac:dyDescent="0.25">
      <c r="F142" s="7" t="s">
        <v>16</v>
      </c>
    </row>
    <row r="143" spans="6:6" ht="18" customHeight="1" x14ac:dyDescent="0.25">
      <c r="F143" s="7" t="s">
        <v>19</v>
      </c>
    </row>
    <row r="144" spans="6:6" ht="18" customHeight="1" x14ac:dyDescent="0.25">
      <c r="F144" s="7" t="s">
        <v>20</v>
      </c>
    </row>
    <row r="145" spans="6:6" ht="18" customHeight="1" x14ac:dyDescent="0.25">
      <c r="F145" s="7" t="s">
        <v>12</v>
      </c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9D9780-FB0F-A74D-9943-27B63A2DDE7A}">
  <sheetPr codeName="Sheet8"/>
  <dimension ref="C1:AE259"/>
  <sheetViews>
    <sheetView zoomScale="80" zoomScaleNormal="80" workbookViewId="0">
      <selection activeCell="AF30" sqref="AF30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Level_04[]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8, 8,  0, 0,  0, 0,  0, 0, 36,37,  0, 0,  0, 0,  0, 0,  0, 0,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7, 7,  0, 0,  0, 0,  0, 0, 36,37,  0, 0,  0, 0,  0, 0,  0, 0,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12,12, 64,64, 74,74, 74,74, 74,74, 62,62, 72,72,  0, 0,  0, 0,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12,12, 64,64, 74,74, 74,74, 74,74, 62,62, 72,72,  0, 0,  0, 0,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12,12,  0, 0, 34,35,  0, 0, 36,37,  0, 0,  8, 8,  0, 0,  0, 0,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7, 7,  0, 0, 34,35,  0, 0, 36,37,  0, 0,  7, 7,  0, 0,  0, 0,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64,64, 74,74, 74,74, 74,74, 62,62, 72,72, 12,12,  0,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64,64, 74,74, 74,74, 74,74, 62,62, 72,72, 12,12,  0, 0,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8, 8,  0, 0, 34,35,  0, 0,  0, 0,  0, 0, 12,12,  0, 0,  0, 0,  0, 0,  0, 0,  0, 0,  0, 0,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7, 7,  0, 0, 34,35,  0, 0,  0, 0,  0, 0,  7, 7,  0, 0,  0, 0,  0, 0,  0, 0,  0, 0,  0, 0,  0, 0,  0, 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 0, 0, 12,12, 64,64, 74,74, 74,74, 74,74, 62,62, 72,72,  0, 0,  0, 0,  0, 0,  0, 0,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0, 0,  0, 0, 12,12, 64,64, 74,74, 74,74, 74,74, 62,62, 72,72,  0, 0,  0, 0,  0, 0,  0, 0,  0, 0,  0, 0,  0, 0,  0, 0,  0, 0,},</v>
      </c>
    </row>
    <row r="31" spans="6:6" ht="18" customHeight="1" x14ac:dyDescent="0.25">
      <c r="F31" s="7" t="str">
        <f>_xlfn.CONCAT("{",_xlfn.TEXTJOIN(" ",FALSE,Hidden!F38:AD38),"},")</f>
        <v>{ 0, 0,  0, 0,  0, 0,  0, 0,  0, 0,  0, 0,  0, 0,  0, 0,  0, 0, 12,12,  0, 0,  0, 0,  0, 0,  0, 0,  0, 0,  0, 0,  0, 0,  0, 0,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0, 0,  0, 0,  0, 0,  0, 0,  0, 0,  0, 0,  0, 0,  0, 0,  0, 0,  7, 7,  0, 0,  0, 0,  0, 0,  0, 0,  0, 0,  0, 0,  0, 0,  0, 0,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Level_10_Items[]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71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78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87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80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81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86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65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15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17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 t="s">
        <v>12</v>
      </c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/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tr">
        <f ca="1">_xlfn.CONCAT("uint16_t ", _xlfn.TEXTAFTER(CELL("filename"),"]"), "_Enemies[] = {")</f>
        <v>uint16_t Level_10_Enemies[] = {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15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16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19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 t="s">
        <v>20</v>
      </c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/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18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15</v>
      </c>
    </row>
    <row r="74" spans="6:15" ht="18" customHeight="1" x14ac:dyDescent="0.25">
      <c r="F74" s="7" t="s">
        <v>16</v>
      </c>
    </row>
    <row r="75" spans="6:15" ht="18" customHeight="1" x14ac:dyDescent="0.25">
      <c r="F75" s="8" t="s">
        <v>19</v>
      </c>
    </row>
    <row r="76" spans="6:15" ht="18" customHeight="1" x14ac:dyDescent="0.25">
      <c r="F76" s="8" t="s">
        <v>20</v>
      </c>
    </row>
    <row r="77" spans="6:15" ht="18" customHeight="1" x14ac:dyDescent="0.25">
      <c r="F77" s="7"/>
    </row>
    <row r="78" spans="6:15" ht="18" customHeight="1" x14ac:dyDescent="0.25">
      <c r="F78" s="7" t="s">
        <v>18</v>
      </c>
    </row>
    <row r="79" spans="6:15" ht="18" customHeight="1" x14ac:dyDescent="0.25">
      <c r="F79" s="7" t="s">
        <v>15</v>
      </c>
    </row>
    <row r="80" spans="6:15" ht="18" customHeight="1" x14ac:dyDescent="0.25">
      <c r="F80" s="7" t="s">
        <v>16</v>
      </c>
    </row>
    <row r="81" spans="6:6" ht="18" customHeight="1" x14ac:dyDescent="0.25">
      <c r="F81" s="7" t="s">
        <v>19</v>
      </c>
    </row>
    <row r="82" spans="6:6" ht="18" customHeight="1" x14ac:dyDescent="0.25">
      <c r="F82" s="7" t="s">
        <v>20</v>
      </c>
    </row>
    <row r="83" spans="6:6" ht="18" customHeight="1" x14ac:dyDescent="0.25">
      <c r="F83" s="7"/>
    </row>
    <row r="84" spans="6:6" ht="18" customHeight="1" x14ac:dyDescent="0.25">
      <c r="F84" s="7" t="s">
        <v>18</v>
      </c>
    </row>
    <row r="85" spans="6:6" ht="18" customHeight="1" x14ac:dyDescent="0.25">
      <c r="F85" s="7" t="s">
        <v>15</v>
      </c>
    </row>
    <row r="86" spans="6:6" ht="18" customHeight="1" x14ac:dyDescent="0.25">
      <c r="F86" s="7" t="s">
        <v>16</v>
      </c>
    </row>
    <row r="87" spans="6:6" ht="18" customHeight="1" x14ac:dyDescent="0.25">
      <c r="F87" s="7" t="s">
        <v>19</v>
      </c>
    </row>
    <row r="88" spans="6:6" ht="18" customHeight="1" x14ac:dyDescent="0.25">
      <c r="F88" s="7" t="s">
        <v>20</v>
      </c>
    </row>
    <row r="89" spans="6:6" ht="18" customHeight="1" x14ac:dyDescent="0.25">
      <c r="F89" s="7" t="s">
        <v>12</v>
      </c>
    </row>
    <row r="90" spans="6:6" ht="18" customHeight="1" x14ac:dyDescent="0.25">
      <c r="F90" s="7"/>
    </row>
    <row r="91" spans="6:6" ht="18" customHeight="1" x14ac:dyDescent="0.25">
      <c r="F91" s="7" t="str">
        <f ca="1">_xlfn.CONCAT("uint16_t ", _xlfn.TEXTAFTER(CELL("filename"),"]"), "_PlayerStart[] = {")</f>
        <v>uint16_t Level_10_PlayerStart[] = {</v>
      </c>
    </row>
    <row r="92" spans="6:6" ht="18" customHeight="1" x14ac:dyDescent="0.25">
      <c r="F92" s="7" t="str">
        <f>_xlfn.CONCAT($F$11, ",")</f>
        <v>,</v>
      </c>
    </row>
    <row r="93" spans="6:6" ht="18" customHeight="1" x14ac:dyDescent="0.25">
      <c r="F93" s="7" t="str">
        <f>_xlfn.CONCAT($H$11, ",")</f>
        <v>,</v>
      </c>
    </row>
    <row r="94" spans="6:6" ht="18" customHeight="1" x14ac:dyDescent="0.25">
      <c r="F94" s="7" t="str">
        <f>_xlfn.CONCAT($J$11, ",")</f>
        <v>,</v>
      </c>
    </row>
    <row r="95" spans="6:6" ht="18" customHeight="1" x14ac:dyDescent="0.25">
      <c r="F95" s="7" t="s">
        <v>12</v>
      </c>
    </row>
    <row r="96" spans="6:6" ht="18" customHeight="1" x14ac:dyDescent="0.25">
      <c r="F96" s="7"/>
    </row>
    <row r="97" spans="6:6" ht="18" customHeight="1" x14ac:dyDescent="0.25">
      <c r="F97" s="7"/>
    </row>
    <row r="98" spans="6:6" ht="18" customHeight="1" x14ac:dyDescent="0.25">
      <c r="F98" s="7"/>
    </row>
    <row r="99" spans="6:6" ht="18" customHeight="1" x14ac:dyDescent="0.25">
      <c r="F99" s="7"/>
    </row>
    <row r="100" spans="6:6" ht="18" customHeight="1" x14ac:dyDescent="0.25">
      <c r="F100" s="7"/>
    </row>
    <row r="101" spans="6:6" ht="18" customHeight="1" x14ac:dyDescent="0.25">
      <c r="F101" s="7"/>
    </row>
    <row r="102" spans="6:6" ht="18" customHeight="1" x14ac:dyDescent="0.25">
      <c r="F102" s="7"/>
    </row>
    <row r="103" spans="6:6" ht="18" customHeight="1" x14ac:dyDescent="0.25">
      <c r="F103" s="7"/>
    </row>
    <row r="104" spans="6:6" ht="18" customHeight="1" x14ac:dyDescent="0.25">
      <c r="F104" s="7"/>
    </row>
    <row r="105" spans="6:6" ht="18" customHeight="1" x14ac:dyDescent="0.25">
      <c r="F105" s="7"/>
    </row>
    <row r="106" spans="6:6" ht="18" customHeight="1" x14ac:dyDescent="0.25">
      <c r="F106" s="7"/>
    </row>
    <row r="107" spans="6:6" ht="18" customHeight="1" x14ac:dyDescent="0.25">
      <c r="F107" s="7"/>
    </row>
    <row r="108" spans="6:6" ht="18" customHeight="1" x14ac:dyDescent="0.25">
      <c r="F108" s="7"/>
    </row>
    <row r="109" spans="6:6" ht="18" customHeight="1" x14ac:dyDescent="0.25">
      <c r="F109" s="7"/>
    </row>
    <row r="110" spans="6:6" ht="18" customHeight="1" x14ac:dyDescent="0.25">
      <c r="F110" s="7"/>
    </row>
    <row r="111" spans="6:6" ht="18" customHeight="1" x14ac:dyDescent="0.25">
      <c r="F111" s="7"/>
    </row>
    <row r="112" spans="6:6" ht="18" customHeight="1" x14ac:dyDescent="0.25">
      <c r="F112" s="7"/>
    </row>
    <row r="113" spans="6:6" ht="18" customHeight="1" x14ac:dyDescent="0.25">
      <c r="F113" s="7"/>
    </row>
    <row r="114" spans="6:6" ht="18" customHeight="1" x14ac:dyDescent="0.25">
      <c r="F114" s="7"/>
    </row>
    <row r="115" spans="6:6" ht="18" customHeight="1" x14ac:dyDescent="0.25">
      <c r="F115" s="7"/>
    </row>
    <row r="116" spans="6:6" ht="18" customHeight="1" x14ac:dyDescent="0.25">
      <c r="F116" s="7"/>
    </row>
    <row r="117" spans="6:6" ht="18" customHeight="1" x14ac:dyDescent="0.25">
      <c r="F117" s="7"/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1BED4-E0A6-E440-B82A-096391B5A61E}">
  <sheetPr codeName="Sheet9"/>
  <dimension ref="C1:AE259"/>
  <sheetViews>
    <sheetView zoomScale="80" zoomScaleNormal="80" workbookViewId="0">
      <selection activeCell="AB33" sqref="AB33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Level_05[] = {</v>
      </c>
    </row>
    <row r="17" spans="6:6" ht="18" customHeight="1" x14ac:dyDescent="0.25">
      <c r="F17" s="7" t="str">
        <f>_xlfn.CONCAT("{",_xlfn.TEXTJOIN(" ",FALSE,Hidden!F24:AD24),"},")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7" t="str">
        <f>_xlfn.CONCAT("{",_xlfn.TEXTJOIN(" ",FALSE,Hidden!F25:AD25),"},")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7" t="str">
        <f>_xlfn.CONCAT("{",_xlfn.TEXTJOIN(" ",FALSE,Hidden!F26:AD26),"},")</f>
        <v>{ 0, 0,  0, 0,  0, 0,  0, 0,  0, 0,  0, 0,  0, 0,  0, 0,  0, 0,  8, 8,  0, 0,  0, 0,  0, 0, 36,37,  0, 0,  0, 0,  0, 0,  0, 0,  0, 0,  0, 0,  0, 0,  0, 0,  0, 0,  0, 0,  0, 0,},</v>
      </c>
    </row>
    <row r="20" spans="6:6" ht="18" customHeight="1" x14ac:dyDescent="0.25">
      <c r="F20" s="7" t="str">
        <f>_xlfn.CONCAT("{",_xlfn.TEXTJOIN(" ",FALSE,Hidden!F27:AD27),"},")</f>
        <v>{ 0, 0,  0, 0,  0, 0,  0, 0,  0, 0,  0, 0,  0, 0,  0, 0,  0, 0,  7, 7,  0, 0,  0, 0,  0, 0, 36,37,  0, 0,  0, 0,  0, 0,  0, 0,  0, 0,  0, 0,  0, 0,  0, 0,  0, 0,  0, 0,  0, 0,},</v>
      </c>
    </row>
    <row r="21" spans="6:6" ht="18" customHeight="1" x14ac:dyDescent="0.25">
      <c r="F21" s="7" t="str">
        <f>_xlfn.CONCAT("{",_xlfn.TEXTJOIN(" ",FALSE,Hidden!F28:AD28),"},")</f>
        <v>{ 0, 0,  0, 0,  0, 0,  0, 0,  0, 0,  0, 0,  0, 0,  0, 0,  0, 0, 12,12, 64,64, 74,74, 74,74, 74,74, 62,62, 72,72,  0, 0,  0, 0,  0, 0,  0, 0,  0, 0,  0, 0,  0, 0,  0, 0,  0, 0,},</v>
      </c>
    </row>
    <row r="22" spans="6:6" ht="18" customHeight="1" x14ac:dyDescent="0.25">
      <c r="F22" s="7" t="str">
        <f>_xlfn.CONCAT("{",_xlfn.TEXTJOIN(" ",FALSE,Hidden!F29:AD29),"},")</f>
        <v>{ 0, 0,  0, 0,  0, 0,  0, 0,  0, 0,  0, 0,  0, 0,  0, 0,  0, 0, 12,12, 64,64, 74,74, 74,74, 74,74, 62,62, 72,72,  0, 0,  0, 0,  0, 0,  0, 0,  0, 0,  0, 0,  0, 0,  0, 0,  0, 0,},</v>
      </c>
    </row>
    <row r="23" spans="6:6" ht="18" customHeight="1" x14ac:dyDescent="0.25">
      <c r="F23" s="7" t="str">
        <f>_xlfn.CONCAT("{",_xlfn.TEXTJOIN(" ",FALSE,Hidden!F30:AD30),"},")</f>
        <v>{ 0, 0,  0, 0,  0, 0,  0, 0,  0, 0,  0, 0,  0, 0,  0, 0,  0, 0, 12,12,  0, 0, 34,35,  0, 0, 36,37,  0, 0,  8, 8,  0, 0,  0, 0,  0, 0,  0, 0,  0, 0,  0, 0,  0, 0,  0, 0,  0, 0,},</v>
      </c>
    </row>
    <row r="24" spans="6:6" ht="18" customHeight="1" x14ac:dyDescent="0.25">
      <c r="F24" s="7" t="str">
        <f>_xlfn.CONCAT("{",_xlfn.TEXTJOIN(" ",FALSE,Hidden!F31:AD31),"},")</f>
        <v>{ 0, 0,  0, 0,  0, 0,  0, 0,  0, 0,  0, 0,  0, 0,  0, 0,  0, 0,  7, 7,  0, 0, 34,35,  0, 0, 36,37,  0, 0,  7, 7,  0, 0,  0, 0,  0, 0,  0, 0,  0, 0,  0, 0,  0, 0,  0, 0,  0, 0,},</v>
      </c>
    </row>
    <row r="25" spans="6:6" ht="18" customHeight="1" x14ac:dyDescent="0.25">
      <c r="F25" s="7" t="str">
        <f>_xlfn.CONCAT("{",_xlfn.TEXTJOIN(" ",FALSE,Hidden!F32:AD32),"},")</f>
        <v>{ 0, 0,  0, 0,  0, 0,  0, 0,  0, 0,  0, 0,  0, 0,  0, 0,  0, 0, 64,64, 74,74, 74,74, 74,74, 62,62, 72,72, 12,12,  0, 0,  0, 0,  0, 0,  0, 0,  0, 0,  0, 0,  0, 0,  0, 0,  0, 0,},</v>
      </c>
    </row>
    <row r="26" spans="6:6" ht="18" customHeight="1" x14ac:dyDescent="0.25">
      <c r="F26" s="7" t="str">
        <f>_xlfn.CONCAT("{",_xlfn.TEXTJOIN(" ",FALSE,Hidden!F33:AD33),"},")</f>
        <v>{ 0, 0,  0, 0,  0, 0,  0, 0,  0, 0,  0, 0,  0, 0,  0, 0,  0, 0, 64,64, 74,74, 74,74, 74,74, 62,62, 72,72, 12,12,  0, 0,  0, 0,  0, 0,  0, 0,  0, 0,  0, 0,  0, 0,  0, 0,  0, 0,},</v>
      </c>
    </row>
    <row r="27" spans="6:6" ht="18" customHeight="1" x14ac:dyDescent="0.25">
      <c r="F27" s="7" t="str">
        <f>_xlfn.CONCAT("{",_xlfn.TEXTJOIN(" ",FALSE,Hidden!F34:AD34),"},")</f>
        <v>{ 0, 0,  0, 0,  0, 0,  0, 0,  0, 0,  0, 0,  0, 0,  0, 0,  0, 0,  8, 8,  0, 0, 34,35,  0, 0,  0, 0,  0, 0, 12,12,  0, 0,  0, 0,  0, 0,  0, 0,  0, 0,  0, 0,  0, 0,  0, 0,  0, 0,},</v>
      </c>
    </row>
    <row r="28" spans="6:6" ht="18" customHeight="1" x14ac:dyDescent="0.25">
      <c r="F28" s="7" t="str">
        <f>_xlfn.CONCAT("{",_xlfn.TEXTJOIN(" ",FALSE,Hidden!F35:AD35),"},")</f>
        <v>{ 0, 0,  0, 0,  0, 0,  0, 0,  0, 0,  0, 0,  0, 0,  0, 0,  0, 0,  7, 7,  0, 0, 34,35,  0, 0,  0, 0,  0, 0,  7, 7,  0, 0,  0, 0,  0, 0,  0, 0,  0, 0,  0, 0,  0, 0,  0, 0,  0, 0,},</v>
      </c>
    </row>
    <row r="29" spans="6:6" ht="18" customHeight="1" x14ac:dyDescent="0.25">
      <c r="F29" s="7" t="str">
        <f>_xlfn.CONCAT("{",_xlfn.TEXTJOIN(" ",FALSE,Hidden!F36:AD36),"},")</f>
        <v>{ 0, 0,  0, 0,  0, 0,  0, 0,  0, 0,  0, 0,  0, 0,  0, 0,  0, 0, 12,12, 64,64, 74,74, 74,74, 74,74, 62,62, 72,72,  0, 0,  0, 0,  0, 0,  0, 0,  0, 0,  0, 0,  0, 0,  0, 0,  0, 0,},</v>
      </c>
    </row>
    <row r="30" spans="6:6" ht="18" customHeight="1" x14ac:dyDescent="0.25">
      <c r="F30" s="7" t="str">
        <f>_xlfn.CONCAT("{",_xlfn.TEXTJOIN(" ",FALSE,Hidden!F37:AD37),"},")</f>
        <v>{ 0, 0,  0, 0,  0, 0,  0, 0,  0, 0,  0, 0,  0, 0,  0, 0,  0, 0, 12,12, 64,64, 74,74, 74,74, 74,74, 62,62, 72,72,  0, 0,  0, 0,  0, 0,  0, 0,  0, 0,  0, 0,  0, 0,  0, 0,  0, 0,},</v>
      </c>
    </row>
    <row r="31" spans="6:6" ht="18" customHeight="1" x14ac:dyDescent="0.25">
      <c r="F31" s="7" t="str">
        <f>_xlfn.CONCAT("{",_xlfn.TEXTJOIN(" ",FALSE,Hidden!F38:AD38),"},")</f>
        <v>{ 0, 0,  0, 0,  0, 0,  0, 0,  0, 0,  0, 0,  0, 0,  0, 0,  0, 0, 12,12,  0, 0,  0, 0,  0, 0,  0, 0,  0, 0,  0, 0,  0, 0,  0, 0,  0, 0,  0, 0,  0, 0,  0, 0,  0, 0,  0, 0,  0, 0,},</v>
      </c>
    </row>
    <row r="32" spans="6:6" ht="18" customHeight="1" x14ac:dyDescent="0.25">
      <c r="F32" s="7" t="str">
        <f>_xlfn.CONCAT("{",_xlfn.TEXTJOIN(" ",FALSE,Hidden!F39:AD39),"},")</f>
        <v>{ 0, 0,  0, 0,  0, 0,  0, 0,  0, 0,  0, 0,  0, 0,  0, 0,  0, 0,  7, 7,  0, 0,  0, 0,  0, 0,  0, 0,  0, 0,  0, 0,  0, 0,  0, 0,  0, 0,  0, 0,  0, 0,  0, 0,  0, 0,  0, 0,  0, 0,},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_xlfn.TEXTAFTER(CELL("filename"),"]"), "_Items[] = {")</f>
        <v>uint16_t Level_10_Items[]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100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70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72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61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101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102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21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64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103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72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73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104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105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106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89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72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21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108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109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80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110</v>
      </c>
    </row>
    <row r="79" spans="6:15" ht="18" customHeight="1" x14ac:dyDescent="0.25">
      <c r="F79" s="7" t="s">
        <v>111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116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110</v>
      </c>
    </row>
    <row r="86" spans="6:6" ht="18" customHeight="1" x14ac:dyDescent="0.25">
      <c r="F86" s="7" t="s">
        <v>89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112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113</v>
      </c>
    </row>
    <row r="93" spans="6:6" ht="18" customHeight="1" x14ac:dyDescent="0.25">
      <c r="F93" s="7" t="s">
        <v>114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115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65</v>
      </c>
    </row>
    <row r="100" spans="6:6" ht="18" customHeight="1" x14ac:dyDescent="0.25">
      <c r="F100" s="7" t="s">
        <v>15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17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 t="s">
        <v>12</v>
      </c>
    </row>
    <row r="106" spans="6:6" ht="18" customHeight="1" x14ac:dyDescent="0.25">
      <c r="F106" s="7"/>
    </row>
    <row r="107" spans="6:6" ht="18" customHeight="1" x14ac:dyDescent="0.25">
      <c r="F107" s="7" t="str">
        <f ca="1">_xlfn.CONCAT("uint16_t ", _xlfn.TEXTAFTER(CELL("filename"),"]"), "_Enemies[] = {")</f>
        <v>uint16_t Level_10_Enemies[] = {</v>
      </c>
    </row>
    <row r="108" spans="6:6" ht="18" customHeight="1" x14ac:dyDescent="0.25">
      <c r="F108" s="7" t="s">
        <v>74</v>
      </c>
    </row>
    <row r="109" spans="6:6" ht="18" customHeight="1" x14ac:dyDescent="0.25">
      <c r="F109" s="7" t="s">
        <v>107</v>
      </c>
    </row>
    <row r="110" spans="6:6" ht="18" customHeight="1" x14ac:dyDescent="0.25">
      <c r="F110" s="7" t="s">
        <v>16</v>
      </c>
    </row>
    <row r="111" spans="6:6" ht="18" customHeight="1" x14ac:dyDescent="0.25">
      <c r="F111" s="7" t="s">
        <v>76</v>
      </c>
    </row>
    <row r="112" spans="6:6" ht="18" customHeight="1" x14ac:dyDescent="0.25">
      <c r="F112" s="7" t="s">
        <v>75</v>
      </c>
    </row>
    <row r="113" spans="6:6" ht="18" customHeight="1" x14ac:dyDescent="0.25">
      <c r="F113" s="7"/>
    </row>
    <row r="114" spans="6:6" ht="18" customHeight="1" x14ac:dyDescent="0.25">
      <c r="F114" s="7" t="s">
        <v>18</v>
      </c>
    </row>
    <row r="115" spans="6:6" ht="18" customHeight="1" x14ac:dyDescent="0.25">
      <c r="F115" s="7" t="s">
        <v>15</v>
      </c>
    </row>
    <row r="116" spans="6:6" ht="18" customHeight="1" x14ac:dyDescent="0.25">
      <c r="F116" s="7" t="s">
        <v>16</v>
      </c>
    </row>
    <row r="117" spans="6:6" ht="18" customHeight="1" x14ac:dyDescent="0.25">
      <c r="F117" s="7" t="s">
        <v>19</v>
      </c>
    </row>
    <row r="118" spans="6:6" ht="18" customHeight="1" x14ac:dyDescent="0.25">
      <c r="F118" s="7" t="s">
        <v>20</v>
      </c>
    </row>
    <row r="119" spans="6:6" ht="18" customHeight="1" x14ac:dyDescent="0.25">
      <c r="F119" s="7"/>
    </row>
    <row r="120" spans="6:6" ht="18" customHeight="1" x14ac:dyDescent="0.25">
      <c r="F120" s="7" t="s">
        <v>18</v>
      </c>
    </row>
    <row r="121" spans="6:6" ht="18" customHeight="1" x14ac:dyDescent="0.25">
      <c r="F121" s="7" t="s">
        <v>15</v>
      </c>
    </row>
    <row r="122" spans="6:6" ht="18" customHeight="1" x14ac:dyDescent="0.25">
      <c r="F122" s="7" t="s">
        <v>16</v>
      </c>
    </row>
    <row r="123" spans="6:6" ht="18" customHeight="1" x14ac:dyDescent="0.25">
      <c r="F123" s="7" t="s">
        <v>19</v>
      </c>
    </row>
    <row r="124" spans="6:6" ht="18" customHeight="1" x14ac:dyDescent="0.25">
      <c r="F124" s="7" t="s">
        <v>20</v>
      </c>
    </row>
    <row r="125" spans="6:6" ht="18" customHeight="1" x14ac:dyDescent="0.25">
      <c r="F125" s="7"/>
    </row>
    <row r="126" spans="6:6" ht="18" customHeight="1" x14ac:dyDescent="0.25">
      <c r="F126" s="7" t="s">
        <v>18</v>
      </c>
    </row>
    <row r="127" spans="6:6" ht="18" customHeight="1" x14ac:dyDescent="0.25">
      <c r="F127" s="7" t="s">
        <v>15</v>
      </c>
    </row>
    <row r="128" spans="6:6" ht="18" customHeight="1" x14ac:dyDescent="0.25">
      <c r="F128" s="7" t="s">
        <v>16</v>
      </c>
    </row>
    <row r="129" spans="6:6" ht="18" customHeight="1" x14ac:dyDescent="0.25">
      <c r="F129" s="7" t="s">
        <v>19</v>
      </c>
    </row>
    <row r="130" spans="6:6" ht="18" customHeight="1" x14ac:dyDescent="0.25">
      <c r="F130" s="7" t="s">
        <v>20</v>
      </c>
    </row>
    <row r="131" spans="6:6" ht="18" customHeight="1" x14ac:dyDescent="0.25">
      <c r="F131" s="7" t="s">
        <v>12</v>
      </c>
    </row>
    <row r="132" spans="6:6" ht="18" customHeight="1" x14ac:dyDescent="0.25">
      <c r="F132" s="7"/>
    </row>
    <row r="133" spans="6:6" ht="18" customHeight="1" x14ac:dyDescent="0.25">
      <c r="F133" s="7" t="str">
        <f ca="1">_xlfn.CONCAT("uint16_t ", _xlfn.TEXTAFTER(CELL("filename"),"]"), "_PlayerStart[] = {")</f>
        <v>uint16_t Level_10_PlayerStart[] = {</v>
      </c>
    </row>
    <row r="134" spans="6:6" ht="18" customHeight="1" x14ac:dyDescent="0.25">
      <c r="F134" s="7" t="str">
        <f>_xlfn.CONCAT($F$11, ",")</f>
        <v>,</v>
      </c>
    </row>
    <row r="135" spans="6:6" ht="18" customHeight="1" x14ac:dyDescent="0.25">
      <c r="F135" s="7" t="str">
        <f>_xlfn.CONCAT($H$11, ",")</f>
        <v>,</v>
      </c>
    </row>
    <row r="136" spans="6:6" ht="18" customHeight="1" x14ac:dyDescent="0.25">
      <c r="F136" s="7" t="str">
        <f>_xlfn.CONCAT($J$11, ",")</f>
        <v>,</v>
      </c>
    </row>
    <row r="137" spans="6:6" ht="18" customHeight="1" x14ac:dyDescent="0.25">
      <c r="F137" s="7" t="s">
        <v>12</v>
      </c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70584-C287-6843-A2C9-B4602197CC45}">
  <sheetPr codeName="Sheet17"/>
  <dimension ref="C1:AE259"/>
  <sheetViews>
    <sheetView topLeftCell="A4" zoomScale="80" zoomScaleNormal="80" workbookViewId="0">
      <selection activeCell="F16" sqref="F16:F138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Level_06[] = {</v>
      </c>
    </row>
    <row r="17" spans="6:6" ht="18" customHeight="1" x14ac:dyDescent="0.25">
      <c r="F17" s="7" t="str">
        <f>_xlfn.CONCAT("{",_xlfn.TEXTJOIN(" ",FALSE,[1]Hidden!F24:AD24),"},")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7" t="str">
        <f>_xlfn.CONCAT("{",_xlfn.TEXTJOIN(" ",FALSE,[1]Hidden!F25:AD25),"},")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7" t="str">
        <f>_xlfn.CONCAT("{",_xlfn.TEXTJOIN(" ",FALSE,[1]Hidden!F26:AD26),"},")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7" t="str">
        <f>_xlfn.CONCAT("{",_xlfn.TEXTJOIN(" ",FALSE,[1]Hidden!F27:AD27),"},")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7" t="str">
        <f>_xlfn.CONCAT("{",_xlfn.TEXTJOIN(" ",FALSE,[1]Hidden!F28:AD28),"},")</f>
        <v>{ 0, 0, 33,33,  1, 1, 33,33,  0, 0, 33,33,  0, 0,  0, 0,  0, 0, 12,12,  0, 0, 62,62, 72,72,  8, 8, 63,63, 73,73, 73,73,  0, 0,  0, 0,  0, 0,  0, 0,  0, 0, 36,37, 34,35,  1, 1,},</v>
      </c>
    </row>
    <row r="22" spans="6:6" ht="18" customHeight="1" x14ac:dyDescent="0.25">
      <c r="F22" s="7" t="str">
        <f>_xlfn.CONCAT("{",_xlfn.TEXTJOIN(" ",FALSE,[1]Hidden!F29:AD29),"},")</f>
        <v>{ 0, 0, 31,31,  2, 2, 31,31,  0, 0, 31,31,  0, 0,  0, 0,  0, 0, 12,12,  0, 0, 62,62, 72,72, 12,12, 63,63, 73,73, 73,73,  0, 0,  0, 0,  0, 0,  0, 0,  0, 0, 36,37, 34,35,  2, 2,},</v>
      </c>
    </row>
    <row r="23" spans="6:6" ht="18" customHeight="1" x14ac:dyDescent="0.25">
      <c r="F23" s="7" t="str">
        <f>_xlfn.CONCAT("{",_xlfn.TEXTJOIN(" ",FALSE,[1]Hidden!F30:AD30),"},")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7" t="str">
        <f>_xlfn.CONCAT("{",_xlfn.TEXTJOIN(" ",FALSE,[1]Hidden!F31:AD31),"},")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7" t="str">
        <f>_xlfn.CONCAT("{",_xlfn.TEXTJOIN(" ",FALSE,[1]Hidden!F32:AD32),"},")</f>
        <v>{ 0, 0, 31,31,  0, 0, 31,31,  0, 0, 31,31,  0, 0,  1, 1,  8, 8, 64,64, 74,74, 74,74, 74,74,  1, 1,  0, 0,  0, 0,  0, 0,  0, 0,  0, 0,  0, 0,  0, 0,  0, 0,  0, 0, 12,12,  1, 1,},</v>
      </c>
    </row>
    <row r="26" spans="6:6" ht="18" customHeight="1" x14ac:dyDescent="0.25">
      <c r="F26" s="7" t="str">
        <f>_xlfn.CONCAT("{",_xlfn.TEXTJOIN(" ",FALSE,[1]Hidden!F33:AD33),"},")</f>
        <v>{ 0, 0, 31,31,  0, 0, 31,31,  0, 0, 31,31,  0, 0,  2, 2, 12,12, 64,64, 74,74, 74,74, 74,74,  2, 2,  0, 0,  0, 0,  0, 0,  0, 0,  0, 0,  0, 0,  0, 0,  0, 0,  0, 0, 12,12,  2, 2,},</v>
      </c>
    </row>
    <row r="27" spans="6:6" ht="18" customHeight="1" x14ac:dyDescent="0.25">
      <c r="F27" s="7" t="str">
        <f>_xlfn.CONCAT("{",_xlfn.TEXTJOIN(" ",FALSE,[1]Hidden!F34:AD34),"},")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7" t="str">
        <f>_xlfn.CONCAT("{",_xlfn.TEXTJOIN(" ",FALSE,[1]Hidden!F35:AD35),"},")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7" t="str">
        <f>_xlfn.CONCAT("{",_xlfn.TEXTJOIN(" ",FALSE,[1]Hidden!F36:AD36),"},")</f>
        <v>{ 0, 0, 31,31,  0, 0, 31,31,  0, 0,  0, 0,  0, 0,  0, 0, 12,12,  0, 0,  8, 8, 62,62, 72,72,  9,10,  0, 0,  0, 0,  0, 0,  0, 0,  0, 0,  0, 0,  0, 0, 25,25,  0, 0, 12,12,  1, 1,},</v>
      </c>
    </row>
    <row r="30" spans="6:6" ht="18" customHeight="1" x14ac:dyDescent="0.25">
      <c r="F30" s="7" t="str">
        <f>_xlfn.CONCAT("{",_xlfn.TEXTJOIN(" ",FALSE,[1]Hidden!F37:AD37),"},")</f>
        <v>{ 0, 0, 32,32,  0, 0, 31,31,  0, 0,  0, 0,  0, 0,  0, 0, 12,12,  0, 0, 12,12, 62,62, 72,72,  2, 1,  0, 0,  0, 0,  0, 0,  0, 0,  0, 0,  0, 0,  0, 0, 25,25,  0, 0,  7, 7,  2, 2,},</v>
      </c>
    </row>
    <row r="31" spans="6:6" ht="18" customHeight="1" x14ac:dyDescent="0.25">
      <c r="F31" s="7" t="str">
        <f>_xlfn.CONCAT("{",_xlfn.TEXTJOIN(" ",FALSE,[1]Hidden!F38:AD38),"},")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7" t="str">
        <f>_xlfn.CONCAT("{",_xlfn.TEXTJOIN(" ",FALSE,[1]Hidden!F39:AD39),"},")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Level_06_Items[]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77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72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110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118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112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119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80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117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80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112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113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136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80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115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128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111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112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157</v>
      </c>
    </row>
    <row r="79" spans="6:15" ht="18" customHeight="1" x14ac:dyDescent="0.25">
      <c r="F79" s="7" t="s">
        <v>137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21</v>
      </c>
    </row>
    <row r="82" spans="6:6" ht="18" customHeight="1" x14ac:dyDescent="0.25">
      <c r="F82" s="7" t="s">
        <v>115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98</v>
      </c>
    </row>
    <row r="86" spans="6:6" ht="18" customHeight="1" x14ac:dyDescent="0.25">
      <c r="F86" s="7" t="s">
        <v>87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99</v>
      </c>
    </row>
    <row r="93" spans="6:6" ht="18" customHeight="1" x14ac:dyDescent="0.25">
      <c r="F93" s="7" t="s">
        <v>87</v>
      </c>
    </row>
    <row r="94" spans="6:6" ht="18" customHeight="1" x14ac:dyDescent="0.25">
      <c r="F94" s="7" t="s">
        <v>80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88</v>
      </c>
    </row>
    <row r="100" spans="6:6" ht="18" customHeight="1" x14ac:dyDescent="0.25">
      <c r="F100" s="7" t="s">
        <v>120</v>
      </c>
    </row>
    <row r="101" spans="6:6" ht="18" customHeight="1" x14ac:dyDescent="0.25">
      <c r="F101" s="7" t="s">
        <v>102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65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17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 t="s">
        <v>12</v>
      </c>
    </row>
    <row r="113" spans="6:6" ht="18" customHeight="1" x14ac:dyDescent="0.25">
      <c r="F113" s="7"/>
    </row>
    <row r="114" spans="6:6" ht="18" customHeight="1" x14ac:dyDescent="0.25">
      <c r="F114" s="7" t="str">
        <f ca="1">_xlfn.CONCAT("uint16_t ", _xlfn.TEXTAFTER(CELL("filename"),"]"), "_Enemies[] = {")</f>
        <v>uint16_t Level_10_Enemies[] = {</v>
      </c>
    </row>
    <row r="115" spans="6:6" ht="18" customHeight="1" x14ac:dyDescent="0.25">
      <c r="F115" s="7" t="s">
        <v>18</v>
      </c>
    </row>
    <row r="116" spans="6:6" ht="18" customHeight="1" x14ac:dyDescent="0.25">
      <c r="F116" s="7" t="s">
        <v>15</v>
      </c>
    </row>
    <row r="117" spans="6:6" ht="18" customHeight="1" x14ac:dyDescent="0.25">
      <c r="F117" s="7" t="s">
        <v>16</v>
      </c>
    </row>
    <row r="118" spans="6:6" ht="18" customHeight="1" x14ac:dyDescent="0.25">
      <c r="F118" s="7" t="s">
        <v>19</v>
      </c>
    </row>
    <row r="119" spans="6:6" ht="18" customHeight="1" x14ac:dyDescent="0.25">
      <c r="F119" s="7" t="s">
        <v>20</v>
      </c>
    </row>
    <row r="120" spans="6:6" ht="18" customHeight="1" x14ac:dyDescent="0.25">
      <c r="F120" s="7"/>
    </row>
    <row r="121" spans="6:6" ht="18" customHeight="1" x14ac:dyDescent="0.25">
      <c r="F121" s="7" t="s">
        <v>18</v>
      </c>
    </row>
    <row r="122" spans="6:6" ht="18" customHeight="1" x14ac:dyDescent="0.25">
      <c r="F122" s="7" t="s">
        <v>15</v>
      </c>
    </row>
    <row r="123" spans="6:6" ht="18" customHeight="1" x14ac:dyDescent="0.25">
      <c r="F123" s="7" t="s">
        <v>16</v>
      </c>
    </row>
    <row r="124" spans="6:6" ht="18" customHeight="1" x14ac:dyDescent="0.25">
      <c r="F124" s="7" t="s">
        <v>19</v>
      </c>
    </row>
    <row r="125" spans="6:6" ht="18" customHeight="1" x14ac:dyDescent="0.25">
      <c r="F125" s="7" t="s">
        <v>20</v>
      </c>
    </row>
    <row r="126" spans="6:6" ht="18" customHeight="1" x14ac:dyDescent="0.25">
      <c r="F126" s="7"/>
    </row>
    <row r="127" spans="6:6" ht="18" customHeight="1" x14ac:dyDescent="0.25">
      <c r="F127" s="7" t="s">
        <v>18</v>
      </c>
    </row>
    <row r="128" spans="6:6" ht="18" customHeight="1" x14ac:dyDescent="0.25">
      <c r="F128" s="7" t="s">
        <v>15</v>
      </c>
    </row>
    <row r="129" spans="6:6" ht="18" customHeight="1" x14ac:dyDescent="0.25">
      <c r="F129" s="7" t="s">
        <v>16</v>
      </c>
    </row>
    <row r="130" spans="6:6" ht="18" customHeight="1" x14ac:dyDescent="0.25">
      <c r="F130" s="7" t="s">
        <v>19</v>
      </c>
    </row>
    <row r="131" spans="6:6" ht="18" customHeight="1" x14ac:dyDescent="0.25">
      <c r="F131" s="7" t="s">
        <v>20</v>
      </c>
    </row>
    <row r="132" spans="6:6" ht="18" customHeight="1" x14ac:dyDescent="0.25">
      <c r="F132" s="7"/>
    </row>
    <row r="133" spans="6:6" ht="18" customHeight="1" x14ac:dyDescent="0.25">
      <c r="F133" s="7" t="s">
        <v>18</v>
      </c>
    </row>
    <row r="134" spans="6:6" ht="18" customHeight="1" x14ac:dyDescent="0.25">
      <c r="F134" s="7" t="s">
        <v>15</v>
      </c>
    </row>
    <row r="135" spans="6:6" ht="18" customHeight="1" x14ac:dyDescent="0.25">
      <c r="F135" s="7" t="s">
        <v>16</v>
      </c>
    </row>
    <row r="136" spans="6:6" ht="18" customHeight="1" x14ac:dyDescent="0.25">
      <c r="F136" s="7" t="s">
        <v>19</v>
      </c>
    </row>
    <row r="137" spans="6:6" ht="18" customHeight="1" x14ac:dyDescent="0.25">
      <c r="F137" s="7" t="s">
        <v>20</v>
      </c>
    </row>
    <row r="138" spans="6:6" ht="18" customHeight="1" x14ac:dyDescent="0.25">
      <c r="F138" s="7" t="s">
        <v>12</v>
      </c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FF238-FF5C-C24B-8E60-FD80D7DB4099}">
  <sheetPr codeName="Sheet18"/>
  <dimension ref="C1:AE259"/>
  <sheetViews>
    <sheetView topLeftCell="A4" zoomScale="80" zoomScaleNormal="80" workbookViewId="0">
      <selection activeCell="F16" sqref="F16:F124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Level_07[] = {</v>
      </c>
    </row>
    <row r="17" spans="6:6" ht="18" customHeight="1" x14ac:dyDescent="0.25">
      <c r="F17" s="7" t="str">
        <f>_xlfn.CONCAT("{",_xlfn.TEXTJOIN(" ",FALSE,[1]Hidden!F24:AD24),"},")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7" t="str">
        <f>_xlfn.CONCAT("{",_xlfn.TEXTJOIN(" ",FALSE,[1]Hidden!F25:AD25),"},")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7" t="str">
        <f>_xlfn.CONCAT("{",_xlfn.TEXTJOIN(" ",FALSE,[1]Hidden!F26:AD26),"},")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7" t="str">
        <f>_xlfn.CONCAT("{",_xlfn.TEXTJOIN(" ",FALSE,[1]Hidden!F27:AD27),"},")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7" t="str">
        <f>_xlfn.CONCAT("{",_xlfn.TEXTJOIN(" ",FALSE,[1]Hidden!F28:AD28),"},")</f>
        <v>{ 0, 0, 33,33,  1, 1, 33,33,  0, 0, 33,33,  0, 0,  0, 0,  0, 0, 12,12,  0, 0, 62,62, 72,72,  8, 8, 63,63, 73,73, 73,73,  0, 0,  0, 0,  0, 0,  0, 0,  0, 0, 36,37, 34,35,  1, 1,},</v>
      </c>
    </row>
    <row r="22" spans="6:6" ht="18" customHeight="1" x14ac:dyDescent="0.25">
      <c r="F22" s="7" t="str">
        <f>_xlfn.CONCAT("{",_xlfn.TEXTJOIN(" ",FALSE,[1]Hidden!F29:AD29),"},")</f>
        <v>{ 0, 0, 31,31,  2, 2, 31,31,  0, 0, 31,31,  0, 0,  0, 0,  0, 0, 12,12,  0, 0, 62,62, 72,72, 12,12, 63,63, 73,73, 73,73,  0, 0,  0, 0,  0, 0,  0, 0,  0, 0, 36,37, 34,35,  2, 2,},</v>
      </c>
    </row>
    <row r="23" spans="6:6" ht="18" customHeight="1" x14ac:dyDescent="0.25">
      <c r="F23" s="7" t="str">
        <f>_xlfn.CONCAT("{",_xlfn.TEXTJOIN(" ",FALSE,[1]Hidden!F30:AD30),"},")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7" t="str">
        <f>_xlfn.CONCAT("{",_xlfn.TEXTJOIN(" ",FALSE,[1]Hidden!F31:AD31),"},")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7" t="str">
        <f>_xlfn.CONCAT("{",_xlfn.TEXTJOIN(" ",FALSE,[1]Hidden!F32:AD32),"},")</f>
        <v>{ 0, 0, 31,31,  0, 0, 31,31,  0, 0, 31,31,  0, 0,  1, 1,  8, 8, 64,64, 74,74, 74,74, 74,74,  1, 1,  0, 0,  0, 0,  0, 0,  0, 0,  0, 0,  0, 0,  0, 0,  0, 0,  0, 0, 12,12,  1, 1,},</v>
      </c>
    </row>
    <row r="26" spans="6:6" ht="18" customHeight="1" x14ac:dyDescent="0.25">
      <c r="F26" s="7" t="str">
        <f>_xlfn.CONCAT("{",_xlfn.TEXTJOIN(" ",FALSE,[1]Hidden!F33:AD33),"},")</f>
        <v>{ 0, 0, 31,31,  0, 0, 31,31,  0, 0, 31,31,  0, 0,  2, 2, 12,12, 64,64, 74,74, 74,74, 74,74,  2, 2,  0, 0,  0, 0,  0, 0,  0, 0,  0, 0,  0, 0,  0, 0,  0, 0,  0, 0, 12,12,  2, 2,},</v>
      </c>
    </row>
    <row r="27" spans="6:6" ht="18" customHeight="1" x14ac:dyDescent="0.25">
      <c r="F27" s="7" t="str">
        <f>_xlfn.CONCAT("{",_xlfn.TEXTJOIN(" ",FALSE,[1]Hidden!F34:AD34),"},")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7" t="str">
        <f>_xlfn.CONCAT("{",_xlfn.TEXTJOIN(" ",FALSE,[1]Hidden!F35:AD35),"},")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7" t="str">
        <f>_xlfn.CONCAT("{",_xlfn.TEXTJOIN(" ",FALSE,[1]Hidden!F36:AD36),"},")</f>
        <v>{ 0, 0, 31,31,  0, 0, 31,31,  0, 0,  0, 0,  0, 0,  0, 0, 12,12,  0, 0,  8, 8, 62,62, 72,72,  9,10,  0, 0,  0, 0,  0, 0,  0, 0,  0, 0,  0, 0,  0, 0, 25,25,  0, 0, 12,12,  1, 1,},</v>
      </c>
    </row>
    <row r="30" spans="6:6" ht="18" customHeight="1" x14ac:dyDescent="0.25">
      <c r="F30" s="7" t="str">
        <f>_xlfn.CONCAT("{",_xlfn.TEXTJOIN(" ",FALSE,[1]Hidden!F37:AD37),"},")</f>
        <v>{ 0, 0, 32,32,  0, 0, 31,31,  0, 0,  0, 0,  0, 0,  0, 0, 12,12,  0, 0, 12,12, 62,62, 72,72,  2, 1,  0, 0,  0, 0,  0, 0,  0, 0,  0, 0,  0, 0,  0, 0, 25,25,  0, 0,  7, 7,  2, 2,},</v>
      </c>
    </row>
    <row r="31" spans="6:6" ht="18" customHeight="1" x14ac:dyDescent="0.25">
      <c r="F31" s="7" t="str">
        <f>_xlfn.CONCAT("{",_xlfn.TEXTJOIN(" ",FALSE,[1]Hidden!F38:AD38),"},")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7" t="str">
        <f>_xlfn.CONCAT("{",_xlfn.TEXTJOIN(" ",FALSE,[1]Hidden!F39:AD39),"},")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Level_07_Items[]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61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118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105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21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73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16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73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71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108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158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96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77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80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159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137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105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98</v>
      </c>
    </row>
    <row r="79" spans="6:15" ht="18" customHeight="1" x14ac:dyDescent="0.25">
      <c r="F79" s="7" t="s">
        <v>121</v>
      </c>
    </row>
    <row r="80" spans="6:15" ht="18" customHeight="1" x14ac:dyDescent="0.25">
      <c r="F80" s="7" t="s">
        <v>80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99</v>
      </c>
    </row>
    <row r="86" spans="6:6" ht="18" customHeight="1" x14ac:dyDescent="0.25">
      <c r="F86" s="7" t="s">
        <v>121</v>
      </c>
    </row>
    <row r="87" spans="6:6" ht="18" customHeight="1" x14ac:dyDescent="0.25">
      <c r="F87" s="7" t="s">
        <v>80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65</v>
      </c>
    </row>
    <row r="93" spans="6:6" ht="18" customHeight="1" x14ac:dyDescent="0.25">
      <c r="F93" s="7" t="s">
        <v>15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17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 t="s">
        <v>12</v>
      </c>
    </row>
    <row r="99" spans="6:6" ht="18" customHeight="1" x14ac:dyDescent="0.25">
      <c r="F99" s="7"/>
    </row>
    <row r="100" spans="6:6" ht="18" customHeight="1" x14ac:dyDescent="0.25">
      <c r="F100" s="7" t="str">
        <f ca="1">_xlfn.CONCAT("uint16_t ", _xlfn.TEXTAFTER(CELL("filename"),"]"), "_Enemies[] = {")</f>
        <v>uint16_t Level_10_Enemies[] = {</v>
      </c>
    </row>
    <row r="101" spans="6:6" ht="18" customHeight="1" x14ac:dyDescent="0.25">
      <c r="F101" s="7" t="s">
        <v>122</v>
      </c>
    </row>
    <row r="102" spans="6:6" ht="18" customHeight="1" x14ac:dyDescent="0.25">
      <c r="F102" s="7" t="s">
        <v>160</v>
      </c>
    </row>
    <row r="103" spans="6:6" ht="18" customHeight="1" x14ac:dyDescent="0.25">
      <c r="F103" s="7" t="s">
        <v>105</v>
      </c>
    </row>
    <row r="104" spans="6:6" ht="18" customHeight="1" x14ac:dyDescent="0.25">
      <c r="F104" s="7" t="s">
        <v>123</v>
      </c>
    </row>
    <row r="105" spans="6:6" ht="18" customHeight="1" x14ac:dyDescent="0.25">
      <c r="F105" s="7" t="s">
        <v>124</v>
      </c>
    </row>
    <row r="106" spans="6:6" ht="18" customHeight="1" x14ac:dyDescent="0.25">
      <c r="F106" s="7"/>
    </row>
    <row r="107" spans="6:6" ht="18" customHeight="1" x14ac:dyDescent="0.25">
      <c r="F107" s="7" t="s">
        <v>74</v>
      </c>
    </row>
    <row r="108" spans="6:6" ht="18" customHeight="1" x14ac:dyDescent="0.25">
      <c r="F108" s="7" t="s">
        <v>161</v>
      </c>
    </row>
    <row r="109" spans="6:6" ht="18" customHeight="1" x14ac:dyDescent="0.25">
      <c r="F109" s="7" t="s">
        <v>16</v>
      </c>
    </row>
    <row r="110" spans="6:6" ht="18" customHeight="1" x14ac:dyDescent="0.25">
      <c r="F110" s="7" t="s">
        <v>76</v>
      </c>
    </row>
    <row r="111" spans="6:6" ht="18" customHeight="1" x14ac:dyDescent="0.25">
      <c r="F111" s="7" t="s">
        <v>75</v>
      </c>
    </row>
    <row r="112" spans="6:6" ht="18" customHeight="1" x14ac:dyDescent="0.25">
      <c r="F112" s="7"/>
    </row>
    <row r="113" spans="6:6" ht="18" customHeight="1" x14ac:dyDescent="0.25">
      <c r="F113" s="7" t="s">
        <v>74</v>
      </c>
    </row>
    <row r="114" spans="6:6" ht="18" customHeight="1" x14ac:dyDescent="0.25">
      <c r="F114" s="7" t="s">
        <v>150</v>
      </c>
    </row>
    <row r="115" spans="6:6" ht="18" customHeight="1" x14ac:dyDescent="0.25">
      <c r="F115" s="7" t="s">
        <v>105</v>
      </c>
    </row>
    <row r="116" spans="6:6" ht="18" customHeight="1" x14ac:dyDescent="0.25">
      <c r="F116" s="7" t="s">
        <v>162</v>
      </c>
    </row>
    <row r="117" spans="6:6" ht="18" customHeight="1" x14ac:dyDescent="0.25">
      <c r="F117" s="7" t="s">
        <v>163</v>
      </c>
    </row>
    <row r="118" spans="6:6" ht="18" customHeight="1" x14ac:dyDescent="0.25">
      <c r="F118" s="7"/>
    </row>
    <row r="119" spans="6:6" ht="18" customHeight="1" x14ac:dyDescent="0.25">
      <c r="F119" s="7" t="s">
        <v>18</v>
      </c>
    </row>
    <row r="120" spans="6:6" ht="18" customHeight="1" x14ac:dyDescent="0.25">
      <c r="F120" s="7" t="s">
        <v>15</v>
      </c>
    </row>
    <row r="121" spans="6:6" ht="18" customHeight="1" x14ac:dyDescent="0.25">
      <c r="F121" s="7" t="s">
        <v>16</v>
      </c>
    </row>
    <row r="122" spans="6:6" ht="18" customHeight="1" x14ac:dyDescent="0.25">
      <c r="F122" s="7" t="s">
        <v>19</v>
      </c>
    </row>
    <row r="123" spans="6:6" ht="18" customHeight="1" x14ac:dyDescent="0.25">
      <c r="F123" s="7" t="s">
        <v>20</v>
      </c>
    </row>
    <row r="124" spans="6:6" ht="18" customHeight="1" x14ac:dyDescent="0.25">
      <c r="F124" s="7" t="s">
        <v>12</v>
      </c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3C156-0387-CC4A-BA90-4E1009A81AB6}">
  <sheetPr codeName="Sheet19"/>
  <dimension ref="C1:AE259"/>
  <sheetViews>
    <sheetView topLeftCell="A4" zoomScale="80" zoomScaleNormal="80" workbookViewId="0">
      <selection activeCell="F16" sqref="F16:F166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Level_08[] = {</v>
      </c>
    </row>
    <row r="17" spans="6:6" ht="18" customHeight="1" x14ac:dyDescent="0.25">
      <c r="F17" s="7" t="str">
        <f>_xlfn.CONCAT("{",_xlfn.TEXTJOIN(" ",FALSE,[1]Hidden!F24:AD24),"},")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7" t="str">
        <f>_xlfn.CONCAT("{",_xlfn.TEXTJOIN(" ",FALSE,[1]Hidden!F25:AD25),"},")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7" t="str">
        <f>_xlfn.CONCAT("{",_xlfn.TEXTJOIN(" ",FALSE,[1]Hidden!F26:AD26),"},")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7" t="str">
        <f>_xlfn.CONCAT("{",_xlfn.TEXTJOIN(" ",FALSE,[1]Hidden!F27:AD27),"},")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7" t="str">
        <f>_xlfn.CONCAT("{",_xlfn.TEXTJOIN(" ",FALSE,[1]Hidden!F28:AD28),"},")</f>
        <v>{ 0, 0, 33,33,  1, 1, 33,33,  0, 0, 33,33,  0, 0,  0, 0,  0, 0, 12,12,  0, 0, 62,62, 72,72,  8, 8, 63,63, 73,73, 73,73,  0, 0,  0, 0,  0, 0,  0, 0,  0, 0, 36,37, 34,35,  1, 1,},</v>
      </c>
    </row>
    <row r="22" spans="6:6" ht="18" customHeight="1" x14ac:dyDescent="0.25">
      <c r="F22" s="7" t="str">
        <f>_xlfn.CONCAT("{",_xlfn.TEXTJOIN(" ",FALSE,[1]Hidden!F29:AD29),"},")</f>
        <v>{ 0, 0, 31,31,  2, 2, 31,31,  0, 0, 31,31,  0, 0,  0, 0,  0, 0, 12,12,  0, 0, 62,62, 72,72, 12,12, 63,63, 73,73, 73,73,  0, 0,  0, 0,  0, 0,  0, 0,  0, 0, 36,37, 34,35,  2, 2,},</v>
      </c>
    </row>
    <row r="23" spans="6:6" ht="18" customHeight="1" x14ac:dyDescent="0.25">
      <c r="F23" s="7" t="str">
        <f>_xlfn.CONCAT("{",_xlfn.TEXTJOIN(" ",FALSE,[1]Hidden!F30:AD30),"},")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7" t="str">
        <f>_xlfn.CONCAT("{",_xlfn.TEXTJOIN(" ",FALSE,[1]Hidden!F31:AD31),"},")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7" t="str">
        <f>_xlfn.CONCAT("{",_xlfn.TEXTJOIN(" ",FALSE,[1]Hidden!F32:AD32),"},")</f>
        <v>{ 0, 0, 31,31,  0, 0, 31,31,  0, 0, 31,31,  0, 0,  1, 1,  8, 8, 64,64, 74,74, 74,74, 74,74,  1, 1,  0, 0,  0, 0,  0, 0,  0, 0,  0, 0,  0, 0,  0, 0,  0, 0,  0, 0, 12,12,  1, 1,},</v>
      </c>
    </row>
    <row r="26" spans="6:6" ht="18" customHeight="1" x14ac:dyDescent="0.25">
      <c r="F26" s="7" t="str">
        <f>_xlfn.CONCAT("{",_xlfn.TEXTJOIN(" ",FALSE,[1]Hidden!F33:AD33),"},")</f>
        <v>{ 0, 0, 31,31,  0, 0, 31,31,  0, 0, 31,31,  0, 0,  2, 2, 12,12, 64,64, 74,74, 74,74, 74,74,  2, 2,  0, 0,  0, 0,  0, 0,  0, 0,  0, 0,  0, 0,  0, 0,  0, 0,  0, 0, 12,12,  2, 2,},</v>
      </c>
    </row>
    <row r="27" spans="6:6" ht="18" customHeight="1" x14ac:dyDescent="0.25">
      <c r="F27" s="7" t="str">
        <f>_xlfn.CONCAT("{",_xlfn.TEXTJOIN(" ",FALSE,[1]Hidden!F34:AD34),"},")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7" t="str">
        <f>_xlfn.CONCAT("{",_xlfn.TEXTJOIN(" ",FALSE,[1]Hidden!F35:AD35),"},")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7" t="str">
        <f>_xlfn.CONCAT("{",_xlfn.TEXTJOIN(" ",FALSE,[1]Hidden!F36:AD36),"},")</f>
        <v>{ 0, 0, 31,31,  0, 0, 31,31,  0, 0,  0, 0,  0, 0,  0, 0, 12,12,  0, 0,  8, 8, 62,62, 72,72,  9,10,  0, 0,  0, 0,  0, 0,  0, 0,  0, 0,  0, 0,  0, 0, 25,25,  0, 0, 12,12,  1, 1,},</v>
      </c>
    </row>
    <row r="30" spans="6:6" ht="18" customHeight="1" x14ac:dyDescent="0.25">
      <c r="F30" s="7" t="str">
        <f>_xlfn.CONCAT("{",_xlfn.TEXTJOIN(" ",FALSE,[1]Hidden!F37:AD37),"},")</f>
        <v>{ 0, 0, 32,32,  0, 0, 31,31,  0, 0,  0, 0,  0, 0,  0, 0, 12,12,  0, 0, 12,12, 62,62, 72,72,  2, 1,  0, 0,  0, 0,  0, 0,  0, 0,  0, 0,  0, 0,  0, 0, 25,25,  0, 0,  7, 7,  2, 2,},</v>
      </c>
    </row>
    <row r="31" spans="6:6" ht="18" customHeight="1" x14ac:dyDescent="0.25">
      <c r="F31" s="7" t="str">
        <f>_xlfn.CONCAT("{",_xlfn.TEXTJOIN(" ",FALSE,[1]Hidden!F38:AD38),"},")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7" t="str">
        <f>_xlfn.CONCAT("{",_xlfn.TEXTJOIN(" ",FALSE,[1]Hidden!F39:AD39),"},")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Level_08_Items[]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96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118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90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98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136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99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136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78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98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136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99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136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16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98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127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99</v>
      </c>
    </row>
    <row r="79" spans="6:15" ht="18" customHeight="1" x14ac:dyDescent="0.25">
      <c r="F79" s="7" t="s">
        <v>127</v>
      </c>
    </row>
    <row r="80" spans="6:15" ht="18" customHeight="1" x14ac:dyDescent="0.25">
      <c r="F80" s="7" t="s">
        <v>78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98</v>
      </c>
    </row>
    <row r="86" spans="6:6" ht="18" customHeight="1" x14ac:dyDescent="0.25">
      <c r="F86" s="7" t="s">
        <v>127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99</v>
      </c>
    </row>
    <row r="93" spans="6:6" ht="18" customHeight="1" x14ac:dyDescent="0.25">
      <c r="F93" s="7" t="s">
        <v>127</v>
      </c>
    </row>
    <row r="94" spans="6:6" ht="18" customHeight="1" x14ac:dyDescent="0.25">
      <c r="F94" s="7" t="s">
        <v>16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110</v>
      </c>
    </row>
    <row r="100" spans="6:6" ht="18" customHeight="1" x14ac:dyDescent="0.25">
      <c r="F100" s="7" t="s">
        <v>71</v>
      </c>
    </row>
    <row r="101" spans="6:6" ht="18" customHeight="1" x14ac:dyDescent="0.25">
      <c r="F101" s="7" t="s">
        <v>16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112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130</v>
      </c>
    </row>
    <row r="107" spans="6:6" ht="18" customHeight="1" x14ac:dyDescent="0.25">
      <c r="F107" s="7" t="s">
        <v>95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21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119</v>
      </c>
    </row>
    <row r="114" spans="6:6" ht="18" customHeight="1" x14ac:dyDescent="0.25">
      <c r="F114" s="7" t="s">
        <v>120</v>
      </c>
    </row>
    <row r="115" spans="6:6" ht="18" customHeight="1" x14ac:dyDescent="0.25">
      <c r="F115" s="7" t="s">
        <v>16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61</v>
      </c>
    </row>
    <row r="121" spans="6:6" ht="18" customHeight="1" x14ac:dyDescent="0.25">
      <c r="F121" s="7" t="s">
        <v>137</v>
      </c>
    </row>
    <row r="122" spans="6:6" ht="18" customHeight="1" x14ac:dyDescent="0.25">
      <c r="F122" s="7" t="s">
        <v>78</v>
      </c>
    </row>
    <row r="123" spans="6:6" ht="18" customHeight="1" x14ac:dyDescent="0.25">
      <c r="F123" s="7" t="s">
        <v>21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106</v>
      </c>
    </row>
    <row r="128" spans="6:6" ht="18" customHeight="1" x14ac:dyDescent="0.25">
      <c r="F128" s="7" t="s">
        <v>109</v>
      </c>
    </row>
    <row r="129" spans="6:6" ht="18" customHeight="1" x14ac:dyDescent="0.25">
      <c r="F129" s="7" t="s">
        <v>78</v>
      </c>
    </row>
    <row r="130" spans="6:6" ht="18" customHeight="1" x14ac:dyDescent="0.25">
      <c r="F130" s="7" t="s">
        <v>21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65</v>
      </c>
    </row>
    <row r="135" spans="6:6" ht="18" customHeight="1" x14ac:dyDescent="0.25">
      <c r="F135" s="7" t="s">
        <v>15</v>
      </c>
    </row>
    <row r="136" spans="6:6" ht="18" customHeight="1" x14ac:dyDescent="0.25">
      <c r="F136" s="7" t="s">
        <v>16</v>
      </c>
    </row>
    <row r="137" spans="6:6" ht="18" customHeight="1" x14ac:dyDescent="0.25">
      <c r="F137" s="7" t="s">
        <v>17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 t="s">
        <v>12</v>
      </c>
    </row>
    <row r="141" spans="6:6" ht="18" customHeight="1" x14ac:dyDescent="0.25">
      <c r="F141" s="7"/>
    </row>
    <row r="142" spans="6:6" ht="18" customHeight="1" x14ac:dyDescent="0.25">
      <c r="F142" s="7" t="str">
        <f ca="1">_xlfn.CONCAT("uint16_t ", _xlfn.TEXTAFTER(CELL("filename"),"]"), "_Enemies[] = {")</f>
        <v>uint16_t Level_10_Enemies[] = {</v>
      </c>
    </row>
    <row r="143" spans="6:6" ht="18" customHeight="1" x14ac:dyDescent="0.25">
      <c r="F143" s="7" t="s">
        <v>74</v>
      </c>
    </row>
    <row r="144" spans="6:6" ht="18" customHeight="1" x14ac:dyDescent="0.25">
      <c r="F144" s="7" t="s">
        <v>107</v>
      </c>
    </row>
    <row r="145" spans="6:6" ht="18" customHeight="1" x14ac:dyDescent="0.25">
      <c r="F145" s="7" t="s">
        <v>16</v>
      </c>
    </row>
    <row r="146" spans="6:6" ht="18" customHeight="1" x14ac:dyDescent="0.25">
      <c r="F146" s="7" t="s">
        <v>76</v>
      </c>
    </row>
    <row r="147" spans="6:6" ht="18" customHeight="1" x14ac:dyDescent="0.25">
      <c r="F147" s="7" t="s">
        <v>75</v>
      </c>
    </row>
    <row r="148" spans="6:6" ht="18" customHeight="1" x14ac:dyDescent="0.25">
      <c r="F148" s="7"/>
    </row>
    <row r="149" spans="6:6" ht="18" customHeight="1" x14ac:dyDescent="0.25">
      <c r="F149" s="7" t="s">
        <v>18</v>
      </c>
    </row>
    <row r="150" spans="6:6" ht="18" customHeight="1" x14ac:dyDescent="0.25">
      <c r="F150" s="7" t="s">
        <v>15</v>
      </c>
    </row>
    <row r="151" spans="6:6" ht="18" customHeight="1" x14ac:dyDescent="0.25">
      <c r="F151" s="7" t="s">
        <v>16</v>
      </c>
    </row>
    <row r="152" spans="6:6" ht="18" customHeight="1" x14ac:dyDescent="0.25">
      <c r="F152" s="7" t="s">
        <v>19</v>
      </c>
    </row>
    <row r="153" spans="6:6" ht="18" customHeight="1" x14ac:dyDescent="0.25">
      <c r="F153" s="7" t="s">
        <v>20</v>
      </c>
    </row>
    <row r="154" spans="6:6" ht="18" customHeight="1" x14ac:dyDescent="0.25">
      <c r="F154" s="7"/>
    </row>
    <row r="155" spans="6:6" ht="18" customHeight="1" x14ac:dyDescent="0.25">
      <c r="F155" s="7" t="s">
        <v>18</v>
      </c>
    </row>
    <row r="156" spans="6:6" ht="18" customHeight="1" x14ac:dyDescent="0.25">
      <c r="F156" s="7" t="s">
        <v>15</v>
      </c>
    </row>
    <row r="157" spans="6:6" ht="18" customHeight="1" x14ac:dyDescent="0.25">
      <c r="F157" s="7" t="s">
        <v>16</v>
      </c>
    </row>
    <row r="158" spans="6:6" ht="18" customHeight="1" x14ac:dyDescent="0.25">
      <c r="F158" s="7" t="s">
        <v>19</v>
      </c>
    </row>
    <row r="159" spans="6:6" ht="18" customHeight="1" x14ac:dyDescent="0.25">
      <c r="F159" s="7" t="s">
        <v>20</v>
      </c>
    </row>
    <row r="160" spans="6:6" ht="18" customHeight="1" x14ac:dyDescent="0.25">
      <c r="F160" s="7"/>
    </row>
    <row r="161" spans="6:6" ht="18" customHeight="1" x14ac:dyDescent="0.25">
      <c r="F161" s="7" t="s">
        <v>18</v>
      </c>
    </row>
    <row r="162" spans="6:6" ht="18" customHeight="1" x14ac:dyDescent="0.25">
      <c r="F162" s="7" t="s">
        <v>15</v>
      </c>
    </row>
    <row r="163" spans="6:6" ht="18" customHeight="1" x14ac:dyDescent="0.25">
      <c r="F163" s="7" t="s">
        <v>16</v>
      </c>
    </row>
    <row r="164" spans="6:6" ht="18" customHeight="1" x14ac:dyDescent="0.25">
      <c r="F164" s="7" t="s">
        <v>19</v>
      </c>
    </row>
    <row r="165" spans="6:6" ht="18" customHeight="1" x14ac:dyDescent="0.25">
      <c r="F165" s="7" t="s">
        <v>20</v>
      </c>
    </row>
    <row r="166" spans="6:6" ht="18" customHeight="1" x14ac:dyDescent="0.25">
      <c r="F166" s="7" t="s">
        <v>12</v>
      </c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450C4-3FF7-2949-A961-E6E34049940B}">
  <sheetPr codeName="Sheet20"/>
  <dimension ref="C1:AE261"/>
  <sheetViews>
    <sheetView topLeftCell="A4" zoomScale="80" zoomScaleNormal="80" workbookViewId="0">
      <selection activeCell="F16" sqref="F16:F261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Level_09[] = {</v>
      </c>
    </row>
    <row r="17" spans="6:6" ht="18" customHeight="1" x14ac:dyDescent="0.25">
      <c r="F17" s="7" t="str">
        <f>_xlfn.CONCAT("{",_xlfn.TEXTJOIN(" ",FALSE,[1]Hidden!F24:AD24),"},")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7" t="str">
        <f>_xlfn.CONCAT("{",_xlfn.TEXTJOIN(" ",FALSE,[1]Hidden!F25:AD25),"},")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7" t="str">
        <f>_xlfn.CONCAT("{",_xlfn.TEXTJOIN(" ",FALSE,[1]Hidden!F26:AD26),"},")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7" t="str">
        <f>_xlfn.CONCAT("{",_xlfn.TEXTJOIN(" ",FALSE,[1]Hidden!F27:AD27),"},")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7" t="str">
        <f>_xlfn.CONCAT("{",_xlfn.TEXTJOIN(" ",FALSE,[1]Hidden!F28:AD28),"},")</f>
        <v>{ 0, 0, 33,33,  1, 1, 33,33,  0, 0, 33,33,  0, 0,  0, 0,  0, 0, 12,12,  0, 0, 62,62, 72,72,  8, 8, 63,63, 73,73, 73,73,  0, 0,  0, 0,  0, 0,  0, 0,  0, 0, 36,37, 34,35,  1, 1,},</v>
      </c>
    </row>
    <row r="22" spans="6:6" ht="18" customHeight="1" x14ac:dyDescent="0.25">
      <c r="F22" s="7" t="str">
        <f>_xlfn.CONCAT("{",_xlfn.TEXTJOIN(" ",FALSE,[1]Hidden!F29:AD29),"},")</f>
        <v>{ 0, 0, 31,31,  2, 2, 31,31,  0, 0, 31,31,  0, 0,  0, 0,  0, 0, 12,12,  0, 0, 62,62, 72,72, 12,12, 63,63, 73,73, 73,73,  0, 0,  0, 0,  0, 0,  0, 0,  0, 0, 36,37, 34,35,  2, 2,},</v>
      </c>
    </row>
    <row r="23" spans="6:6" ht="18" customHeight="1" x14ac:dyDescent="0.25">
      <c r="F23" s="7" t="str">
        <f>_xlfn.CONCAT("{",_xlfn.TEXTJOIN(" ",FALSE,[1]Hidden!F30:AD30),"},")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7" t="str">
        <f>_xlfn.CONCAT("{",_xlfn.TEXTJOIN(" ",FALSE,[1]Hidden!F31:AD31),"},")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7" t="str">
        <f>_xlfn.CONCAT("{",_xlfn.TEXTJOIN(" ",FALSE,[1]Hidden!F32:AD32),"},")</f>
        <v>{ 0, 0, 31,31,  0, 0, 31,31,  0, 0, 31,31,  0, 0,  1, 1,  8, 8, 64,64, 74,74, 74,74, 74,74,  1, 1,  0, 0,  0, 0,  0, 0,  0, 0,  0, 0,  0, 0,  0, 0,  0, 0,  0, 0, 12,12,  1, 1,},</v>
      </c>
    </row>
    <row r="26" spans="6:6" ht="18" customHeight="1" x14ac:dyDescent="0.25">
      <c r="F26" s="7" t="str">
        <f>_xlfn.CONCAT("{",_xlfn.TEXTJOIN(" ",FALSE,[1]Hidden!F33:AD33),"},")</f>
        <v>{ 0, 0, 31,31,  0, 0, 31,31,  0, 0, 31,31,  0, 0,  2, 2, 12,12, 64,64, 74,74, 74,74, 74,74,  2, 2,  0, 0,  0, 0,  0, 0,  0, 0,  0, 0,  0, 0,  0, 0,  0, 0,  0, 0, 12,12,  2, 2,},</v>
      </c>
    </row>
    <row r="27" spans="6:6" ht="18" customHeight="1" x14ac:dyDescent="0.25">
      <c r="F27" s="7" t="str">
        <f>_xlfn.CONCAT("{",_xlfn.TEXTJOIN(" ",FALSE,[1]Hidden!F34:AD34),"},")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7" t="str">
        <f>_xlfn.CONCAT("{",_xlfn.TEXTJOIN(" ",FALSE,[1]Hidden!F35:AD35),"},")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7" t="str">
        <f>_xlfn.CONCAT("{",_xlfn.TEXTJOIN(" ",FALSE,[1]Hidden!F36:AD36),"},")</f>
        <v>{ 0, 0, 31,31,  0, 0, 31,31,  0, 0,  0, 0,  0, 0,  0, 0, 12,12,  0, 0,  8, 8, 62,62, 72,72,  9,10,  0, 0,  0, 0,  0, 0,  0, 0,  0, 0,  0, 0,  0, 0, 25,25,  0, 0, 12,12,  1, 1,},</v>
      </c>
    </row>
    <row r="30" spans="6:6" ht="18" customHeight="1" x14ac:dyDescent="0.25">
      <c r="F30" s="7" t="str">
        <f>_xlfn.CONCAT("{",_xlfn.TEXTJOIN(" ",FALSE,[1]Hidden!F37:AD37),"},")</f>
        <v>{ 0, 0, 32,32,  0, 0, 31,31,  0, 0,  0, 0,  0, 0,  0, 0, 12,12,  0, 0, 12,12, 62,62, 72,72,  2, 1,  0, 0,  0, 0,  0, 0,  0, 0,  0, 0,  0, 0,  0, 0, 25,25,  0, 0,  7, 7,  2, 2,},</v>
      </c>
    </row>
    <row r="31" spans="6:6" ht="18" customHeight="1" x14ac:dyDescent="0.25">
      <c r="F31" s="7" t="str">
        <f>_xlfn.CONCAT("{",_xlfn.TEXTJOIN(" ",FALSE,[1]Hidden!F38:AD38),"},")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7" t="str">
        <f>_xlfn.CONCAT("{",_xlfn.TEXTJOIN(" ",FALSE,[1]Hidden!F39:AD39),"},")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Level_09_Items[]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143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94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78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13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144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78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159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137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16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63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164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165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16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13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143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95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78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13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144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95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78</v>
      </c>
    </row>
    <row r="74" spans="6:15" ht="18" customHeight="1" x14ac:dyDescent="0.25">
      <c r="F74" s="7" t="s">
        <v>63</v>
      </c>
    </row>
    <row r="75" spans="6:15" ht="18" customHeight="1" x14ac:dyDescent="0.25">
      <c r="F75" s="8" t="s">
        <v>13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166</v>
      </c>
    </row>
    <row r="79" spans="6:15" ht="18" customHeight="1" x14ac:dyDescent="0.25">
      <c r="F79" s="7" t="s">
        <v>136</v>
      </c>
    </row>
    <row r="80" spans="6:15" ht="18" customHeight="1" x14ac:dyDescent="0.25">
      <c r="F80" s="7" t="s">
        <v>105</v>
      </c>
    </row>
    <row r="81" spans="6:6" ht="18" customHeight="1" x14ac:dyDescent="0.25">
      <c r="F81" s="7" t="s">
        <v>63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167</v>
      </c>
    </row>
    <row r="86" spans="6:6" ht="18" customHeight="1" x14ac:dyDescent="0.25">
      <c r="F86" s="7" t="s">
        <v>136</v>
      </c>
    </row>
    <row r="87" spans="6:6" ht="18" customHeight="1" x14ac:dyDescent="0.25">
      <c r="F87" s="7" t="s">
        <v>105</v>
      </c>
    </row>
    <row r="88" spans="6:6" ht="18" customHeight="1" x14ac:dyDescent="0.25">
      <c r="F88" s="7" t="s">
        <v>63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/>
    </row>
    <row r="92" spans="6:6" ht="18" customHeight="1" x14ac:dyDescent="0.25">
      <c r="F92" s="7" t="s">
        <v>166</v>
      </c>
    </row>
    <row r="93" spans="6:6" ht="18" customHeight="1" x14ac:dyDescent="0.25">
      <c r="F93" s="7" t="s">
        <v>109</v>
      </c>
    </row>
    <row r="94" spans="6:6" ht="18" customHeight="1" x14ac:dyDescent="0.25">
      <c r="F94" s="7" t="s">
        <v>105</v>
      </c>
    </row>
    <row r="95" spans="6:6" ht="18" customHeight="1" x14ac:dyDescent="0.25">
      <c r="F95" s="7" t="s">
        <v>63</v>
      </c>
    </row>
    <row r="96" spans="6:6" ht="18" customHeight="1" x14ac:dyDescent="0.25">
      <c r="F96" s="7" t="s">
        <v>13</v>
      </c>
    </row>
    <row r="97" spans="6:6" ht="18" customHeight="1" x14ac:dyDescent="0.25">
      <c r="F97" s="7" t="s">
        <v>14</v>
      </c>
    </row>
    <row r="98" spans="6:6" ht="18" customHeight="1" x14ac:dyDescent="0.25">
      <c r="F98" s="7"/>
    </row>
    <row r="99" spans="6:6" ht="18" customHeight="1" x14ac:dyDescent="0.25">
      <c r="F99" s="7" t="s">
        <v>167</v>
      </c>
    </row>
    <row r="100" spans="6:6" ht="18" customHeight="1" x14ac:dyDescent="0.25">
      <c r="F100" s="7" t="s">
        <v>109</v>
      </c>
    </row>
    <row r="101" spans="6:6" ht="18" customHeight="1" x14ac:dyDescent="0.25">
      <c r="F101" s="7" t="s">
        <v>105</v>
      </c>
    </row>
    <row r="102" spans="6:6" ht="18" customHeight="1" x14ac:dyDescent="0.25">
      <c r="F102" s="7" t="s">
        <v>63</v>
      </c>
    </row>
    <row r="103" spans="6:6" ht="18" customHeight="1" x14ac:dyDescent="0.25">
      <c r="F103" s="7" t="s">
        <v>13</v>
      </c>
    </row>
    <row r="104" spans="6:6" ht="18" customHeight="1" x14ac:dyDescent="0.25">
      <c r="F104" s="7" t="s">
        <v>14</v>
      </c>
    </row>
    <row r="105" spans="6:6" ht="18" customHeight="1" x14ac:dyDescent="0.25">
      <c r="F105" s="7"/>
    </row>
    <row r="106" spans="6:6" ht="18" customHeight="1" x14ac:dyDescent="0.25">
      <c r="F106" s="7" t="s">
        <v>61</v>
      </c>
    </row>
    <row r="107" spans="6:6" ht="18" customHeight="1" x14ac:dyDescent="0.25">
      <c r="F107" s="7" t="s">
        <v>118</v>
      </c>
    </row>
    <row r="108" spans="6:6" ht="18" customHeight="1" x14ac:dyDescent="0.25">
      <c r="F108" s="7" t="s">
        <v>90</v>
      </c>
    </row>
    <row r="109" spans="6:6" ht="18" customHeight="1" x14ac:dyDescent="0.25">
      <c r="F109" s="7" t="s">
        <v>21</v>
      </c>
    </row>
    <row r="110" spans="6:6" ht="18" customHeight="1" x14ac:dyDescent="0.25">
      <c r="F110" s="7" t="s">
        <v>13</v>
      </c>
    </row>
    <row r="111" spans="6:6" ht="18" customHeight="1" x14ac:dyDescent="0.25">
      <c r="F111" s="7" t="s">
        <v>14</v>
      </c>
    </row>
    <row r="112" spans="6:6" ht="18" customHeight="1" x14ac:dyDescent="0.25">
      <c r="F112" s="7"/>
    </row>
    <row r="113" spans="6:6" ht="18" customHeight="1" x14ac:dyDescent="0.25">
      <c r="F113" s="7" t="s">
        <v>143</v>
      </c>
    </row>
    <row r="114" spans="6:6" ht="18" customHeight="1" x14ac:dyDescent="0.25">
      <c r="F114" s="7" t="s">
        <v>109</v>
      </c>
    </row>
    <row r="115" spans="6:6" ht="18" customHeight="1" x14ac:dyDescent="0.25">
      <c r="F115" s="7" t="s">
        <v>90</v>
      </c>
    </row>
    <row r="116" spans="6:6" ht="18" customHeight="1" x14ac:dyDescent="0.25">
      <c r="F116" s="7" t="s">
        <v>63</v>
      </c>
    </row>
    <row r="117" spans="6:6" ht="18" customHeight="1" x14ac:dyDescent="0.25">
      <c r="F117" s="7" t="s">
        <v>13</v>
      </c>
    </row>
    <row r="118" spans="6:6" ht="18" customHeight="1" x14ac:dyDescent="0.25">
      <c r="F118" s="7" t="s">
        <v>14</v>
      </c>
    </row>
    <row r="119" spans="6:6" ht="18" customHeight="1" x14ac:dyDescent="0.25">
      <c r="F119" s="7"/>
    </row>
    <row r="120" spans="6:6" ht="18" customHeight="1" x14ac:dyDescent="0.25">
      <c r="F120" s="7" t="s">
        <v>144</v>
      </c>
    </row>
    <row r="121" spans="6:6" ht="18" customHeight="1" x14ac:dyDescent="0.25">
      <c r="F121" s="7" t="s">
        <v>109</v>
      </c>
    </row>
    <row r="122" spans="6:6" ht="18" customHeight="1" x14ac:dyDescent="0.25">
      <c r="F122" s="7" t="s">
        <v>90</v>
      </c>
    </row>
    <row r="123" spans="6:6" ht="18" customHeight="1" x14ac:dyDescent="0.25">
      <c r="F123" s="7" t="s">
        <v>63</v>
      </c>
    </row>
    <row r="124" spans="6:6" ht="18" customHeight="1" x14ac:dyDescent="0.25">
      <c r="F124" s="7" t="s">
        <v>13</v>
      </c>
    </row>
    <row r="125" spans="6:6" ht="18" customHeight="1" x14ac:dyDescent="0.25">
      <c r="F125" s="7" t="s">
        <v>14</v>
      </c>
    </row>
    <row r="126" spans="6:6" ht="18" customHeight="1" x14ac:dyDescent="0.25">
      <c r="F126" s="7"/>
    </row>
    <row r="127" spans="6:6" ht="18" customHeight="1" x14ac:dyDescent="0.25">
      <c r="F127" s="7" t="s">
        <v>143</v>
      </c>
    </row>
    <row r="128" spans="6:6" ht="18" customHeight="1" x14ac:dyDescent="0.25">
      <c r="F128" s="7" t="s">
        <v>71</v>
      </c>
    </row>
    <row r="129" spans="6:6" ht="18" customHeight="1" x14ac:dyDescent="0.25">
      <c r="F129" s="7" t="s">
        <v>90</v>
      </c>
    </row>
    <row r="130" spans="6:6" ht="18" customHeight="1" x14ac:dyDescent="0.25">
      <c r="F130" s="7" t="s">
        <v>63</v>
      </c>
    </row>
    <row r="131" spans="6:6" ht="18" customHeight="1" x14ac:dyDescent="0.25">
      <c r="F131" s="7" t="s">
        <v>13</v>
      </c>
    </row>
    <row r="132" spans="6:6" ht="18" customHeight="1" x14ac:dyDescent="0.25">
      <c r="F132" s="7" t="s">
        <v>14</v>
      </c>
    </row>
    <row r="133" spans="6:6" ht="18" customHeight="1" x14ac:dyDescent="0.25">
      <c r="F133" s="7"/>
    </row>
    <row r="134" spans="6:6" ht="18" customHeight="1" x14ac:dyDescent="0.25">
      <c r="F134" s="7" t="s">
        <v>144</v>
      </c>
    </row>
    <row r="135" spans="6:6" ht="18" customHeight="1" x14ac:dyDescent="0.25">
      <c r="F135" s="7" t="s">
        <v>71</v>
      </c>
    </row>
    <row r="136" spans="6:6" ht="18" customHeight="1" x14ac:dyDescent="0.25">
      <c r="F136" s="7" t="s">
        <v>90</v>
      </c>
    </row>
    <row r="137" spans="6:6" ht="18" customHeight="1" x14ac:dyDescent="0.25">
      <c r="F137" s="7" t="s">
        <v>63</v>
      </c>
    </row>
    <row r="138" spans="6:6" ht="18" customHeight="1" x14ac:dyDescent="0.25">
      <c r="F138" s="7" t="s">
        <v>13</v>
      </c>
    </row>
    <row r="139" spans="6:6" ht="18" customHeight="1" x14ac:dyDescent="0.25">
      <c r="F139" s="7" t="s">
        <v>14</v>
      </c>
    </row>
    <row r="140" spans="6:6" ht="18" customHeight="1" x14ac:dyDescent="0.25">
      <c r="F140" s="7"/>
    </row>
    <row r="141" spans="6:6" ht="18" customHeight="1" x14ac:dyDescent="0.25">
      <c r="F141" s="7" t="s">
        <v>73</v>
      </c>
    </row>
    <row r="142" spans="6:6" ht="18" customHeight="1" x14ac:dyDescent="0.25">
      <c r="F142" s="7" t="s">
        <v>120</v>
      </c>
    </row>
    <row r="143" spans="6:6" ht="18" customHeight="1" x14ac:dyDescent="0.25">
      <c r="F143" s="7" t="s">
        <v>16</v>
      </c>
    </row>
    <row r="144" spans="6:6" ht="18" customHeight="1" x14ac:dyDescent="0.25">
      <c r="F144" s="7" t="s">
        <v>63</v>
      </c>
    </row>
    <row r="145" spans="6:6" ht="18" customHeight="1" x14ac:dyDescent="0.25">
      <c r="F145" s="7" t="s">
        <v>13</v>
      </c>
    </row>
    <row r="146" spans="6:6" ht="18" customHeight="1" x14ac:dyDescent="0.25">
      <c r="F146" s="7" t="s">
        <v>14</v>
      </c>
    </row>
    <row r="147" spans="6:6" ht="18" customHeight="1" x14ac:dyDescent="0.25">
      <c r="F147" s="7"/>
    </row>
    <row r="148" spans="6:6" ht="18" customHeight="1" x14ac:dyDescent="0.25">
      <c r="F148" s="7" t="s">
        <v>73</v>
      </c>
    </row>
    <row r="149" spans="6:6" ht="18" customHeight="1" x14ac:dyDescent="0.25">
      <c r="F149" s="7" t="s">
        <v>104</v>
      </c>
    </row>
    <row r="150" spans="6:6" ht="18" customHeight="1" x14ac:dyDescent="0.25">
      <c r="F150" s="7" t="s">
        <v>102</v>
      </c>
    </row>
    <row r="151" spans="6:6" ht="18" customHeight="1" x14ac:dyDescent="0.25">
      <c r="F151" s="7" t="s">
        <v>63</v>
      </c>
    </row>
    <row r="152" spans="6:6" ht="18" customHeight="1" x14ac:dyDescent="0.25">
      <c r="F152" s="7" t="s">
        <v>13</v>
      </c>
    </row>
    <row r="153" spans="6:6" ht="18" customHeight="1" x14ac:dyDescent="0.25">
      <c r="F153" s="7" t="s">
        <v>14</v>
      </c>
    </row>
    <row r="154" spans="6:6" ht="18" customHeight="1" x14ac:dyDescent="0.25">
      <c r="F154" s="7"/>
    </row>
    <row r="155" spans="6:6" ht="18" customHeight="1" x14ac:dyDescent="0.25">
      <c r="F155" s="7" t="s">
        <v>73</v>
      </c>
    </row>
    <row r="156" spans="6:6" ht="18" customHeight="1" x14ac:dyDescent="0.25">
      <c r="F156" s="7" t="s">
        <v>87</v>
      </c>
    </row>
    <row r="157" spans="6:6" ht="18" customHeight="1" x14ac:dyDescent="0.25">
      <c r="F157" s="7" t="s">
        <v>102</v>
      </c>
    </row>
    <row r="158" spans="6:6" ht="18" customHeight="1" x14ac:dyDescent="0.25">
      <c r="F158" s="7" t="s">
        <v>63</v>
      </c>
    </row>
    <row r="159" spans="6:6" ht="18" customHeight="1" x14ac:dyDescent="0.25">
      <c r="F159" s="7" t="s">
        <v>13</v>
      </c>
    </row>
    <row r="160" spans="6:6" ht="18" customHeight="1" x14ac:dyDescent="0.25">
      <c r="F160" s="7" t="s">
        <v>14</v>
      </c>
    </row>
    <row r="161" spans="6:6" ht="18" customHeight="1" x14ac:dyDescent="0.25">
      <c r="F161" s="7"/>
    </row>
    <row r="162" spans="6:6" ht="18" customHeight="1" x14ac:dyDescent="0.25">
      <c r="F162" s="7" t="s">
        <v>73</v>
      </c>
    </row>
    <row r="163" spans="6:6" ht="18" customHeight="1" x14ac:dyDescent="0.25">
      <c r="F163" s="7" t="s">
        <v>89</v>
      </c>
    </row>
    <row r="164" spans="6:6" ht="18" customHeight="1" x14ac:dyDescent="0.25">
      <c r="F164" s="7" t="s">
        <v>97</v>
      </c>
    </row>
    <row r="165" spans="6:6" ht="18" customHeight="1" x14ac:dyDescent="0.25">
      <c r="F165" s="7" t="s">
        <v>63</v>
      </c>
    </row>
    <row r="166" spans="6:6" ht="18" customHeight="1" x14ac:dyDescent="0.25">
      <c r="F166" s="7" t="s">
        <v>13</v>
      </c>
    </row>
    <row r="167" spans="6:6" ht="18" customHeight="1" x14ac:dyDescent="0.25">
      <c r="F167" s="7" t="s">
        <v>14</v>
      </c>
    </row>
    <row r="168" spans="6:6" ht="18" customHeight="1" x14ac:dyDescent="0.25">
      <c r="F168" s="7"/>
    </row>
    <row r="169" spans="6:6" ht="18" customHeight="1" x14ac:dyDescent="0.25">
      <c r="F169" s="7" t="s">
        <v>65</v>
      </c>
    </row>
    <row r="170" spans="6:6" ht="18" customHeight="1" x14ac:dyDescent="0.25">
      <c r="F170" s="7" t="s">
        <v>15</v>
      </c>
    </row>
    <row r="171" spans="6:6" ht="18" customHeight="1" x14ac:dyDescent="0.25">
      <c r="F171" s="7" t="s">
        <v>16</v>
      </c>
    </row>
    <row r="172" spans="6:6" ht="18" customHeight="1" x14ac:dyDescent="0.25">
      <c r="F172" s="7" t="s">
        <v>17</v>
      </c>
    </row>
    <row r="173" spans="6:6" ht="18" customHeight="1" x14ac:dyDescent="0.25">
      <c r="F173" s="7" t="s">
        <v>13</v>
      </c>
    </row>
    <row r="174" spans="6:6" ht="18" customHeight="1" x14ac:dyDescent="0.25">
      <c r="F174" s="7" t="s">
        <v>14</v>
      </c>
    </row>
    <row r="175" spans="6:6" ht="18" customHeight="1" x14ac:dyDescent="0.25">
      <c r="F175" s="7" t="s">
        <v>12</v>
      </c>
    </row>
    <row r="176" spans="6:6" ht="18" customHeight="1" x14ac:dyDescent="0.25">
      <c r="F176" s="7"/>
    </row>
    <row r="177" spans="6:6" ht="18" customHeight="1" x14ac:dyDescent="0.25">
      <c r="F177" s="7" t="str">
        <f ca="1">_xlfn.CONCAT("uint16_t ", _xlfn.TEXTAFTER(CELL("filename"),"]"), "_Enemies[] = {")</f>
        <v>uint16_t Level_10_Enemies[] = {</v>
      </c>
    </row>
    <row r="178" spans="6:6" ht="18" customHeight="1" x14ac:dyDescent="0.25">
      <c r="F178" s="7" t="s">
        <v>146</v>
      </c>
    </row>
    <row r="179" spans="6:6" ht="18" customHeight="1" x14ac:dyDescent="0.25">
      <c r="F179" s="7" t="s">
        <v>168</v>
      </c>
    </row>
    <row r="180" spans="6:6" ht="18" customHeight="1" x14ac:dyDescent="0.25">
      <c r="F180" s="7" t="s">
        <v>16</v>
      </c>
    </row>
    <row r="181" spans="6:6" ht="18" customHeight="1" x14ac:dyDescent="0.25">
      <c r="F181" s="7" t="s">
        <v>148</v>
      </c>
    </row>
    <row r="182" spans="6:6" ht="18" customHeight="1" x14ac:dyDescent="0.25">
      <c r="F182" s="7" t="s">
        <v>149</v>
      </c>
    </row>
    <row r="183" spans="6:6" ht="18" customHeight="1" x14ac:dyDescent="0.25">
      <c r="F183" s="7"/>
    </row>
    <row r="184" spans="6:6" ht="18" customHeight="1" x14ac:dyDescent="0.25">
      <c r="F184" s="7" t="s">
        <v>122</v>
      </c>
    </row>
    <row r="185" spans="6:6" ht="18" customHeight="1" x14ac:dyDescent="0.25">
      <c r="F185" s="7" t="s">
        <v>125</v>
      </c>
    </row>
    <row r="186" spans="6:6" ht="18" customHeight="1" x14ac:dyDescent="0.25">
      <c r="F186" s="7" t="s">
        <v>16</v>
      </c>
    </row>
    <row r="187" spans="6:6" ht="18" customHeight="1" x14ac:dyDescent="0.25">
      <c r="F187" s="7" t="s">
        <v>123</v>
      </c>
    </row>
    <row r="188" spans="6:6" ht="18" customHeight="1" x14ac:dyDescent="0.25">
      <c r="F188" s="7" t="s">
        <v>124</v>
      </c>
    </row>
    <row r="189" spans="6:6" ht="18" customHeight="1" x14ac:dyDescent="0.25">
      <c r="F189" s="7"/>
    </row>
    <row r="190" spans="6:6" ht="18" customHeight="1" x14ac:dyDescent="0.25">
      <c r="F190" s="7" t="s">
        <v>122</v>
      </c>
    </row>
    <row r="191" spans="6:6" ht="18" customHeight="1" x14ac:dyDescent="0.25">
      <c r="F191" s="7" t="s">
        <v>169</v>
      </c>
    </row>
    <row r="192" spans="6:6" ht="18" customHeight="1" x14ac:dyDescent="0.25">
      <c r="F192" s="7" t="s">
        <v>16</v>
      </c>
    </row>
    <row r="193" spans="6:6" ht="18" customHeight="1" x14ac:dyDescent="0.25">
      <c r="F193" s="7" t="s">
        <v>123</v>
      </c>
    </row>
    <row r="194" spans="6:6" ht="18" customHeight="1" x14ac:dyDescent="0.25">
      <c r="F194" s="7" t="s">
        <v>124</v>
      </c>
    </row>
    <row r="195" spans="6:6" ht="18" customHeight="1" x14ac:dyDescent="0.25">
      <c r="F195" s="7"/>
    </row>
    <row r="196" spans="6:6" ht="18" customHeight="1" x14ac:dyDescent="0.25">
      <c r="F196" s="7" t="s">
        <v>74</v>
      </c>
    </row>
    <row r="197" spans="6:6" ht="18" customHeight="1" x14ac:dyDescent="0.25">
      <c r="F197" s="7" t="s">
        <v>170</v>
      </c>
    </row>
    <row r="198" spans="6:6" ht="18" customHeight="1" x14ac:dyDescent="0.25">
      <c r="F198" s="7" t="s">
        <v>16</v>
      </c>
    </row>
    <row r="199" spans="6:6" ht="18" customHeight="1" x14ac:dyDescent="0.25">
      <c r="F199" s="7" t="s">
        <v>76</v>
      </c>
    </row>
    <row r="200" spans="6:6" ht="18" customHeight="1" x14ac:dyDescent="0.25">
      <c r="F200" s="7" t="s">
        <v>75</v>
      </c>
    </row>
    <row r="201" spans="6:6" ht="18" customHeight="1" x14ac:dyDescent="0.25">
      <c r="F201" s="7"/>
    </row>
    <row r="202" spans="6:6" ht="18" customHeight="1" x14ac:dyDescent="0.25">
      <c r="F202" s="7" t="s">
        <v>146</v>
      </c>
    </row>
    <row r="203" spans="6:6" ht="18" customHeight="1" x14ac:dyDescent="0.25">
      <c r="F203" s="7" t="s">
        <v>171</v>
      </c>
    </row>
    <row r="204" spans="6:6" ht="18" customHeight="1" x14ac:dyDescent="0.25">
      <c r="F204" s="7" t="s">
        <v>16</v>
      </c>
    </row>
    <row r="205" spans="6:6" ht="18" customHeight="1" x14ac:dyDescent="0.25">
      <c r="F205" s="7" t="s">
        <v>148</v>
      </c>
    </row>
    <row r="206" spans="6:6" ht="18" customHeight="1" x14ac:dyDescent="0.25">
      <c r="F206" s="7" t="s">
        <v>149</v>
      </c>
    </row>
    <row r="207" spans="6:6" ht="18" customHeight="1" x14ac:dyDescent="0.25">
      <c r="F207" s="7"/>
    </row>
    <row r="208" spans="6:6" ht="18" customHeight="1" x14ac:dyDescent="0.25">
      <c r="F208" s="7" t="s">
        <v>146</v>
      </c>
    </row>
    <row r="209" spans="6:6" ht="18" customHeight="1" x14ac:dyDescent="0.25">
      <c r="F209" s="7" t="s">
        <v>169</v>
      </c>
    </row>
    <row r="210" spans="6:6" ht="18" customHeight="1" x14ac:dyDescent="0.25">
      <c r="F210" s="7" t="s">
        <v>102</v>
      </c>
    </row>
    <row r="211" spans="6:6" ht="18" customHeight="1" x14ac:dyDescent="0.25">
      <c r="F211" s="7" t="s">
        <v>172</v>
      </c>
    </row>
    <row r="212" spans="6:6" ht="18" customHeight="1" x14ac:dyDescent="0.25">
      <c r="F212" s="7" t="s">
        <v>173</v>
      </c>
    </row>
    <row r="213" spans="6:6" ht="18" customHeight="1" x14ac:dyDescent="0.25">
      <c r="F213" s="7"/>
    </row>
    <row r="214" spans="6:6" ht="18" customHeight="1" x14ac:dyDescent="0.25">
      <c r="F214" s="7" t="s">
        <v>146</v>
      </c>
    </row>
    <row r="215" spans="6:6" ht="18" customHeight="1" x14ac:dyDescent="0.25">
      <c r="F215" s="7" t="s">
        <v>174</v>
      </c>
    </row>
    <row r="216" spans="6:6" ht="18" customHeight="1" x14ac:dyDescent="0.25">
      <c r="F216" s="7" t="s">
        <v>102</v>
      </c>
    </row>
    <row r="217" spans="6:6" ht="18" customHeight="1" x14ac:dyDescent="0.25">
      <c r="F217" s="7" t="s">
        <v>172</v>
      </c>
    </row>
    <row r="218" spans="6:6" ht="18" customHeight="1" x14ac:dyDescent="0.25">
      <c r="F218" s="7" t="s">
        <v>173</v>
      </c>
    </row>
    <row r="219" spans="6:6" ht="18" customHeight="1" x14ac:dyDescent="0.25">
      <c r="F219" s="7"/>
    </row>
    <row r="220" spans="6:6" ht="18" customHeight="1" x14ac:dyDescent="0.25">
      <c r="F220" s="7" t="s">
        <v>74</v>
      </c>
    </row>
    <row r="221" spans="6:6" ht="18" customHeight="1" x14ac:dyDescent="0.25">
      <c r="F221" s="7" t="s">
        <v>175</v>
      </c>
    </row>
    <row r="222" spans="6:6" ht="18" customHeight="1" x14ac:dyDescent="0.25">
      <c r="F222" s="7" t="s">
        <v>102</v>
      </c>
    </row>
    <row r="223" spans="6:6" ht="18" customHeight="1" x14ac:dyDescent="0.25">
      <c r="F223" s="7" t="s">
        <v>162</v>
      </c>
    </row>
    <row r="224" spans="6:6" ht="18" customHeight="1" x14ac:dyDescent="0.25">
      <c r="F224" s="7" t="s">
        <v>163</v>
      </c>
    </row>
    <row r="225" spans="6:6" ht="18" customHeight="1" x14ac:dyDescent="0.25">
      <c r="F225" s="7"/>
    </row>
    <row r="226" spans="6:6" ht="18" customHeight="1" x14ac:dyDescent="0.25">
      <c r="F226" s="7" t="s">
        <v>146</v>
      </c>
    </row>
    <row r="227" spans="6:6" ht="18" customHeight="1" x14ac:dyDescent="0.25">
      <c r="F227" s="7" t="s">
        <v>176</v>
      </c>
    </row>
    <row r="228" spans="6:6" ht="18" customHeight="1" x14ac:dyDescent="0.25">
      <c r="F228" s="7" t="s">
        <v>97</v>
      </c>
    </row>
    <row r="229" spans="6:6" ht="18" customHeight="1" x14ac:dyDescent="0.25">
      <c r="F229" s="7" t="s">
        <v>148</v>
      </c>
    </row>
    <row r="230" spans="6:6" ht="18" customHeight="1" x14ac:dyDescent="0.25">
      <c r="F230" s="7" t="s">
        <v>149</v>
      </c>
    </row>
    <row r="231" spans="6:6" ht="18" customHeight="1" x14ac:dyDescent="0.25">
      <c r="F231" s="7"/>
    </row>
    <row r="232" spans="6:6" ht="18" customHeight="1" x14ac:dyDescent="0.25">
      <c r="F232" s="7" t="s">
        <v>122</v>
      </c>
    </row>
    <row r="233" spans="6:6" ht="18" customHeight="1" x14ac:dyDescent="0.25">
      <c r="F233" s="7" t="s">
        <v>135</v>
      </c>
    </row>
    <row r="234" spans="6:6" ht="18" customHeight="1" x14ac:dyDescent="0.25">
      <c r="F234" s="7" t="s">
        <v>97</v>
      </c>
    </row>
    <row r="235" spans="6:6" ht="18" customHeight="1" x14ac:dyDescent="0.25">
      <c r="F235" s="7" t="s">
        <v>123</v>
      </c>
    </row>
    <row r="236" spans="6:6" ht="18" customHeight="1" x14ac:dyDescent="0.25">
      <c r="F236" s="7" t="s">
        <v>124</v>
      </c>
    </row>
    <row r="237" spans="6:6" ht="18" customHeight="1" x14ac:dyDescent="0.25">
      <c r="F237" s="7"/>
    </row>
    <row r="238" spans="6:6" ht="18" customHeight="1" x14ac:dyDescent="0.25">
      <c r="F238" s="7" t="s">
        <v>74</v>
      </c>
    </row>
    <row r="239" spans="6:6" ht="18" customHeight="1" x14ac:dyDescent="0.25">
      <c r="F239" s="7" t="s">
        <v>175</v>
      </c>
    </row>
    <row r="240" spans="6:6" ht="18" customHeight="1" x14ac:dyDescent="0.25">
      <c r="F240" s="7" t="s">
        <v>97</v>
      </c>
    </row>
    <row r="241" spans="6:6" ht="18" customHeight="1" x14ac:dyDescent="0.25">
      <c r="F241" s="7" t="s">
        <v>76</v>
      </c>
    </row>
    <row r="242" spans="6:6" ht="18" customHeight="1" x14ac:dyDescent="0.25">
      <c r="F242" s="7" t="s">
        <v>75</v>
      </c>
    </row>
    <row r="243" spans="6:6" ht="18" customHeight="1" x14ac:dyDescent="0.25">
      <c r="F243" s="7"/>
    </row>
    <row r="244" spans="6:6" ht="18" customHeight="1" x14ac:dyDescent="0.25">
      <c r="F244" s="7" t="s">
        <v>74</v>
      </c>
    </row>
    <row r="245" spans="6:6" ht="18" customHeight="1" x14ac:dyDescent="0.2">
      <c r="F245" t="s">
        <v>177</v>
      </c>
    </row>
    <row r="246" spans="6:6" ht="18" customHeight="1" x14ac:dyDescent="0.2">
      <c r="F246" t="s">
        <v>97</v>
      </c>
    </row>
    <row r="247" spans="6:6" ht="18" customHeight="1" x14ac:dyDescent="0.2">
      <c r="F247" t="s">
        <v>76</v>
      </c>
    </row>
    <row r="248" spans="6:6" ht="18" customHeight="1" x14ac:dyDescent="0.2">
      <c r="F248" t="s">
        <v>75</v>
      </c>
    </row>
    <row r="249" spans="6:6" ht="18" customHeight="1" x14ac:dyDescent="0.2"/>
    <row r="250" spans="6:6" ht="18" customHeight="1" x14ac:dyDescent="0.2">
      <c r="F250" t="s">
        <v>146</v>
      </c>
    </row>
    <row r="251" spans="6:6" ht="18" customHeight="1" x14ac:dyDescent="0.2">
      <c r="F251" t="s">
        <v>147</v>
      </c>
    </row>
    <row r="252" spans="6:6" ht="18" customHeight="1" x14ac:dyDescent="0.2">
      <c r="F252" t="s">
        <v>97</v>
      </c>
    </row>
    <row r="253" spans="6:6" ht="18" customHeight="1" x14ac:dyDescent="0.2">
      <c r="F253" t="s">
        <v>148</v>
      </c>
    </row>
    <row r="254" spans="6:6" ht="18" customHeight="1" x14ac:dyDescent="0.2">
      <c r="F254" t="s">
        <v>149</v>
      </c>
    </row>
    <row r="255" spans="6:6" ht="18" customHeight="1" x14ac:dyDescent="0.2"/>
    <row r="256" spans="6:6" ht="18" customHeight="1" x14ac:dyDescent="0.2">
      <c r="F256" t="s">
        <v>122</v>
      </c>
    </row>
    <row r="257" spans="6:6" ht="18" customHeight="1" x14ac:dyDescent="0.2">
      <c r="F257" t="s">
        <v>169</v>
      </c>
    </row>
    <row r="258" spans="6:6" ht="18" customHeight="1" x14ac:dyDescent="0.2">
      <c r="F258" t="s">
        <v>97</v>
      </c>
    </row>
    <row r="259" spans="6:6" ht="18" customHeight="1" x14ac:dyDescent="0.2">
      <c r="F259" t="s">
        <v>123</v>
      </c>
    </row>
    <row r="260" spans="6:6" ht="68" customHeight="1" x14ac:dyDescent="0.2">
      <c r="F260" t="s">
        <v>124</v>
      </c>
    </row>
    <row r="261" spans="6:6" ht="68" customHeight="1" x14ac:dyDescent="0.2">
      <c r="F261" t="s">
        <v>12</v>
      </c>
    </row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2BAD4-1268-FE45-8A3B-875670B245F8}">
  <sheetPr codeName="Sheet21"/>
  <dimension ref="C1:AE259"/>
  <sheetViews>
    <sheetView tabSelected="1" topLeftCell="A4" zoomScale="80" zoomScaleNormal="80" workbookViewId="0">
      <selection activeCell="F16" sqref="F16:F117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5"/>
      <c r="E1" s="1"/>
      <c r="F1" s="1">
        <v>0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  <c r="R1" s="1">
        <v>12</v>
      </c>
      <c r="S1" s="1">
        <v>13</v>
      </c>
      <c r="T1" s="1">
        <v>14</v>
      </c>
      <c r="U1" s="1">
        <v>15</v>
      </c>
      <c r="V1" s="1">
        <v>16</v>
      </c>
      <c r="W1" s="1">
        <v>17</v>
      </c>
      <c r="X1" s="1">
        <v>18</v>
      </c>
      <c r="Y1" s="1">
        <v>19</v>
      </c>
      <c r="Z1" s="1">
        <v>20</v>
      </c>
      <c r="AA1" s="1">
        <v>21</v>
      </c>
      <c r="AB1" s="1">
        <v>22</v>
      </c>
      <c r="AC1" s="1">
        <v>23</v>
      </c>
      <c r="AD1" s="1">
        <v>24</v>
      </c>
      <c r="AE1" s="2"/>
    </row>
    <row r="2" spans="3:31" ht="68" customHeight="1" x14ac:dyDescent="0.2">
      <c r="E2" s="1">
        <v>0</v>
      </c>
      <c r="AE2" s="2"/>
    </row>
    <row r="3" spans="3:31" ht="68" customHeight="1" x14ac:dyDescent="0.2">
      <c r="E3" s="1">
        <v>1</v>
      </c>
      <c r="AE3" s="2"/>
    </row>
    <row r="4" spans="3:31" ht="68" customHeight="1" x14ac:dyDescent="0.2">
      <c r="E4" s="1">
        <v>2</v>
      </c>
      <c r="AE4" s="2"/>
    </row>
    <row r="5" spans="3:31" ht="68" customHeight="1" x14ac:dyDescent="0.2">
      <c r="E5" s="1">
        <v>3</v>
      </c>
      <c r="AE5" s="2"/>
    </row>
    <row r="6" spans="3:31" ht="68" customHeight="1" x14ac:dyDescent="0.2">
      <c r="E6" s="1">
        <v>4</v>
      </c>
      <c r="AE6" s="2"/>
    </row>
    <row r="7" spans="3:31" ht="68" customHeight="1" x14ac:dyDescent="0.2">
      <c r="E7" s="1">
        <v>5</v>
      </c>
      <c r="N7" s="3"/>
      <c r="AE7" s="2"/>
    </row>
    <row r="8" spans="3:31" ht="68" customHeight="1" x14ac:dyDescent="0.2">
      <c r="E8" s="1">
        <v>6</v>
      </c>
      <c r="AE8" s="2"/>
    </row>
    <row r="9" spans="3:31" ht="68" customHeight="1" x14ac:dyDescent="0.2">
      <c r="E9" s="1">
        <v>7</v>
      </c>
      <c r="AE9" s="2"/>
    </row>
    <row r="10" spans="3:31" ht="68" customHeight="1" x14ac:dyDescent="0.2">
      <c r="C10" t="s">
        <v>0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</row>
    <row r="11" spans="3:31" ht="68" customHeight="1" x14ac:dyDescent="0.2">
      <c r="C11" t="s">
        <v>1</v>
      </c>
      <c r="L11" s="13"/>
      <c r="M11" s="13"/>
      <c r="N11" s="13"/>
    </row>
    <row r="14" spans="3:31" ht="69" customHeight="1" x14ac:dyDescent="0.2"/>
    <row r="15" spans="3:31" ht="34" customHeight="1" x14ac:dyDescent="0.2"/>
    <row r="16" spans="3:31" ht="18" customHeight="1" x14ac:dyDescent="0.25">
      <c r="F16" s="7" t="str" cm="1">
        <f t="array" aca="1" ref="F16" ca="1">_xlfn.CONCAT("uint8_t ", _xlfn.TEXTAFTER(CELL("filename",A1),"]"), "[] = {")</f>
        <v>uint8_t Level_10[] = {</v>
      </c>
    </row>
    <row r="17" spans="6:6" ht="18" customHeight="1" x14ac:dyDescent="0.25">
      <c r="F17" s="7" t="str">
        <f>_xlfn.CONCAT("{",_xlfn.TEXTJOIN(" ",FALSE,[1]Hidden!F24:AD24),"},")</f>
        <v>{ 0, 0,  0, 0,  0, 0,  0, 0,  0, 0,  0, 0,  0, 0,  0, 0,  0, 0,  0, 0,  0, 0,  0, 0,  0, 0,  0, 0,  0, 0,  0, 0,  0, 0,  0, 0,  0, 0,  0, 0,  0, 0,  0, 0,  0, 0,  0, 0,  0, 0,},</v>
      </c>
    </row>
    <row r="18" spans="6:6" ht="18" customHeight="1" x14ac:dyDescent="0.25">
      <c r="F18" s="7" t="str">
        <f>_xlfn.CONCAT("{",_xlfn.TEXTJOIN(" ",FALSE,[1]Hidden!F25:AD25),"},")</f>
        <v>{ 0, 0,  0, 0,  0, 0,  0, 0,  0, 0,  0, 0,  0, 0,  0, 0,  0, 0,  0, 0,  0, 0,  0, 0,  0, 0,  0, 0,  0, 0,  0, 0,  0, 0,  0, 0,  0, 0,  0, 0,  0, 0,  0, 0,  0, 0,  0, 0,  0, 0,},</v>
      </c>
    </row>
    <row r="19" spans="6:6" ht="18" customHeight="1" x14ac:dyDescent="0.25">
      <c r="F19" s="7" t="str">
        <f>_xlfn.CONCAT("{",_xlfn.TEXTJOIN(" ",FALSE,[1]Hidden!F26:AD26),"},")</f>
        <v>{64,64, 74,74, 74,74, 74,74, 63,63, 73,73, 73,73,  0, 0,  1, 1,  8, 8,  1, 1,  9,10,  0, 0,  0, 0,  0, 0,  0, 0,  0, 0,  0, 0,  0, 0,  0, 0,  0, 0,  0, 0,  0, 0,  0, 0,  0, 0,},</v>
      </c>
    </row>
    <row r="20" spans="6:6" ht="18" customHeight="1" x14ac:dyDescent="0.25">
      <c r="F20" s="7" t="str">
        <f>_xlfn.CONCAT("{",_xlfn.TEXTJOIN(" ",FALSE,[1]Hidden!F27:AD27),"},")</f>
        <v>{64,64, 74,74, 74,74, 74,74, 63,63, 73,73, 73,73,  0, 0,  2, 2, 12,12,  2, 2,  2, 1,  0, 0,  0, 0,  0, 0,  0, 0,  0, 0,  0, 0,  0, 0,  0, 0,  0, 0,  0, 0,  0, 0,  0, 0,  0, 0,},</v>
      </c>
    </row>
    <row r="21" spans="6:6" ht="18" customHeight="1" x14ac:dyDescent="0.25">
      <c r="F21" s="7" t="str">
        <f>_xlfn.CONCAT("{",_xlfn.TEXTJOIN(" ",FALSE,[1]Hidden!F28:AD28),"},")</f>
        <v>{ 0, 0, 33,33,  1, 1, 33,33,  0, 0, 33,33,  0, 0,  0, 0,  0, 0, 12,12,  0, 0, 62,62, 72,72,  8, 8, 63,63, 73,73, 73,73,  0, 0,  0, 0,  0, 0,  0, 0,  0, 0, 36,37, 34,35,  1, 1,},</v>
      </c>
    </row>
    <row r="22" spans="6:6" ht="18" customHeight="1" x14ac:dyDescent="0.25">
      <c r="F22" s="7" t="str">
        <f>_xlfn.CONCAT("{",_xlfn.TEXTJOIN(" ",FALSE,[1]Hidden!F29:AD29),"},")</f>
        <v>{ 0, 0, 31,31,  2, 2, 31,31,  0, 0, 31,31,  0, 0,  0, 0,  0, 0, 12,12,  0, 0, 62,62, 72,72, 12,12, 63,63, 73,73, 73,73,  0, 0,  0, 0,  0, 0,  0, 0,  0, 0, 36,37, 34,35,  2, 2,},</v>
      </c>
    </row>
    <row r="23" spans="6:6" ht="18" customHeight="1" x14ac:dyDescent="0.25">
      <c r="F23" s="7" t="str">
        <f>_xlfn.CONCAT("{",_xlfn.TEXTJOIN(" ",FALSE,[1]Hidden!F30:AD30),"},")</f>
        <v>{ 1, 1, 31,31,  1, 1, 31,31,  1, 1, 31,31,  0, 0,  0, 0,  0, 0, 12,12,  0, 0,  0, 0,  0, 0, 12,12,  0, 0,  0, 0,  0, 0,  0, 0,  0, 0,  0, 0, 63,63, 73,73, 73,73,  8, 8,  1, 1,},</v>
      </c>
    </row>
    <row r="24" spans="6:6" ht="18" customHeight="1" x14ac:dyDescent="0.25">
      <c r="F24" s="7" t="str">
        <f>_xlfn.CONCAT("{",_xlfn.TEXTJOIN(" ",FALSE,[1]Hidden!F31:AD31),"},")</f>
        <v>{ 2, 2, 31,31,  2, 2, 31,31,  2, 2, 31,31,  0, 0,  0, 0,  0, 0,  7, 7,  0, 0,  0, 0,  0, 0,  7, 7,  0, 0,  0, 0,  0, 0,  0, 0,  0, 0,  0, 0, 63,63, 73,73, 73,73, 12,12,  2, 2,},</v>
      </c>
    </row>
    <row r="25" spans="6:6" ht="18" customHeight="1" x14ac:dyDescent="0.25">
      <c r="F25" s="7" t="str">
        <f>_xlfn.CONCAT("{",_xlfn.TEXTJOIN(" ",FALSE,[1]Hidden!F32:AD32),"},")</f>
        <v>{ 0, 0, 31,31,  0, 0, 31,31,  0, 0, 31,31,  0, 0,  1, 1,  8, 8, 64,64, 74,74, 74,74, 74,74,  1, 1,  0, 0,  0, 0,  0, 0,  0, 0,  0, 0,  0, 0,  0, 0,  0, 0,  0, 0, 12,12,  1, 1,},</v>
      </c>
    </row>
    <row r="26" spans="6:6" ht="18" customHeight="1" x14ac:dyDescent="0.25">
      <c r="F26" s="7" t="str">
        <f>_xlfn.CONCAT("{",_xlfn.TEXTJOIN(" ",FALSE,[1]Hidden!F33:AD33),"},")</f>
        <v>{ 0, 0, 31,31,  0, 0, 31,31,  0, 0, 31,31,  0, 0,  2, 2, 12,12, 64,64, 74,74, 74,74, 74,74,  2, 2,  0, 0,  0, 0,  0, 0,  0, 0,  0, 0,  0, 0,  0, 0,  0, 0,  0, 0, 12,12,  2, 2,},</v>
      </c>
    </row>
    <row r="27" spans="6:6" ht="18" customHeight="1" x14ac:dyDescent="0.25">
      <c r="F27" s="7" t="str">
        <f>_xlfn.CONCAT("{",_xlfn.TEXTJOIN(" ",FALSE,[1]Hidden!F34:AD34),"},")</f>
        <v>{ 0, 0, 31,31,  1, 1, 31,31,  0, 0, 31,31,  0, 0,  0, 0, 12,12,  0, 0,  0, 0,  0, 0, 24,24,  0, 0,  0, 0,  0, 0,  0, 0,  0, 0,  0, 0,  0, 0, 63,63, 73,73, 73,73, 12,12,  1, 1,},</v>
      </c>
    </row>
    <row r="28" spans="6:6" ht="18" customHeight="1" x14ac:dyDescent="0.25">
      <c r="F28" s="7" t="str">
        <f>_xlfn.CONCAT("{",_xlfn.TEXTJOIN(" ",FALSE,[1]Hidden!F35:AD35),"},")</f>
        <v>{ 0, 0, 31,31,  2, 2, 31,31,  0, 0, 32,32,  0, 0,  0, 0, 12,12,  0, 0,  0, 0,  0, 0, 24,24,  0, 0,  0, 0,  0, 0,  0, 0,  0, 0,  0, 0,  0, 0, 63,63, 73,73, 73,73, 12,12,  2, 2,},</v>
      </c>
    </row>
    <row r="29" spans="6:6" ht="18" customHeight="1" x14ac:dyDescent="0.25">
      <c r="F29" s="7" t="str">
        <f>_xlfn.CONCAT("{",_xlfn.TEXTJOIN(" ",FALSE,[1]Hidden!F36:AD36),"},")</f>
        <v>{ 0, 0, 31,31,  0, 0, 31,31,  0, 0,  0, 0,  0, 0,  0, 0, 12,12,  0, 0,  8, 8, 62,62, 72,72,  9,10,  0, 0,  0, 0,  0, 0,  0, 0,  0, 0,  0, 0,  0, 0, 25,25,  0, 0, 12,12,  1, 1,},</v>
      </c>
    </row>
    <row r="30" spans="6:6" ht="18" customHeight="1" x14ac:dyDescent="0.25">
      <c r="F30" s="7" t="str">
        <f>_xlfn.CONCAT("{",_xlfn.TEXTJOIN(" ",FALSE,[1]Hidden!F37:AD37),"},")</f>
        <v>{ 0, 0, 32,32,  0, 0, 31,31,  0, 0,  0, 0,  0, 0,  0, 0, 12,12,  0, 0, 12,12, 62,62, 72,72,  2, 1,  0, 0,  0, 0,  0, 0,  0, 0,  0, 0,  0, 0,  0, 0, 25,25,  0, 0,  7, 7,  2, 2,},</v>
      </c>
    </row>
    <row r="31" spans="6:6" ht="18" customHeight="1" x14ac:dyDescent="0.25">
      <c r="F31" s="7" t="str">
        <f>_xlfn.CONCAT("{",_xlfn.TEXTJOIN(" ",FALSE,[1]Hidden!F38:AD38),"},")</f>
        <v>{ 4, 5,  1, 1, 20, 0, 31,31,  0, 0, 18,18,  1,19,  0, 0, 12,12,  0, 0, 12,12,  0, 0,  0, 0, 62,62, 72,72,  0, 0,  0, 0,  0, 0, 64,64, 74,74, 74,74, 74,74, 63,63, 73,73, 73,73,},</v>
      </c>
    </row>
    <row r="32" spans="6:6" ht="18" customHeight="1" x14ac:dyDescent="0.25">
      <c r="F32" s="7" t="str">
        <f>_xlfn.CONCAT("{",_xlfn.TEXTJOIN(" ",FALSE,[1]Hidden!F39:AD39),"},")</f>
        <v>{ 1, 2,  2, 2,  2,20, 32,32,  0, 0, 18,18,  2, 2,  0, 0,  7, 7,  0, 0,  7, 7,  0, 0,  0, 0, 62,62, 72,72, 40,40, 38,38, 39,39, 64,64, 74,74, 74,74, 74,74, 63,63, 73,73, 73,73,},</v>
      </c>
    </row>
    <row r="33" spans="6:15" ht="18" customHeight="1" x14ac:dyDescent="0.25">
      <c r="F33" s="7" t="s">
        <v>12</v>
      </c>
    </row>
    <row r="34" spans="6:15" ht="18" customHeight="1" x14ac:dyDescent="0.2"/>
    <row r="35" spans="6:15" ht="18" customHeight="1" x14ac:dyDescent="0.25">
      <c r="F35" s="7" t="str">
        <f ca="1">_xlfn.CONCAT("uint16_t ", _xlfn.TEXTAFTER(CELL("filename",A1),"]"), "_Items[] = {")</f>
        <v>uint16_t Level_10_Items[] = {</v>
      </c>
      <c r="G35" s="7"/>
      <c r="H35" s="7"/>
      <c r="I35" s="7"/>
      <c r="J35" s="7"/>
      <c r="K35" s="7"/>
      <c r="L35" s="7"/>
      <c r="M35" s="7"/>
      <c r="N35" s="7"/>
      <c r="O35" s="7"/>
    </row>
    <row r="36" spans="6:15" ht="18" customHeight="1" x14ac:dyDescent="0.25">
      <c r="F36" s="7" t="s">
        <v>110</v>
      </c>
      <c r="G36" s="7"/>
      <c r="H36" s="7"/>
      <c r="I36" s="7"/>
      <c r="J36" s="7"/>
      <c r="K36" s="7"/>
      <c r="L36" s="7"/>
      <c r="M36" s="7"/>
      <c r="N36" s="7"/>
      <c r="O36" s="7"/>
    </row>
    <row r="37" spans="6:15" ht="18" customHeight="1" x14ac:dyDescent="0.25">
      <c r="F37" s="7" t="s">
        <v>94</v>
      </c>
      <c r="G37" s="7"/>
      <c r="H37" s="7"/>
      <c r="I37" s="7"/>
      <c r="J37" s="7"/>
      <c r="K37" s="7"/>
      <c r="L37" s="7"/>
      <c r="M37" s="7"/>
      <c r="N37" s="7"/>
      <c r="O37" s="7"/>
    </row>
    <row r="38" spans="6:15" ht="18" customHeight="1" x14ac:dyDescent="0.25">
      <c r="F38" s="7" t="s">
        <v>16</v>
      </c>
      <c r="G38" s="7"/>
      <c r="H38" s="7"/>
      <c r="I38" s="7"/>
      <c r="J38" s="7"/>
      <c r="K38" s="7"/>
      <c r="L38" s="7"/>
      <c r="M38" s="7"/>
      <c r="N38" s="7"/>
      <c r="O38" s="7"/>
    </row>
    <row r="39" spans="6:15" ht="18" customHeight="1" x14ac:dyDescent="0.25">
      <c r="F39" s="7" t="s">
        <v>63</v>
      </c>
      <c r="G39" s="7"/>
      <c r="H39" s="7"/>
      <c r="I39" s="7"/>
      <c r="J39" s="7"/>
      <c r="K39" s="7"/>
      <c r="L39" s="7"/>
      <c r="M39" s="7"/>
      <c r="N39" s="7"/>
      <c r="O39" s="7"/>
    </row>
    <row r="40" spans="6:15" ht="18" customHeight="1" x14ac:dyDescent="0.25">
      <c r="F40" s="7" t="s">
        <v>112</v>
      </c>
      <c r="G40" s="7"/>
      <c r="H40" s="7"/>
      <c r="I40" s="7"/>
      <c r="J40" s="7"/>
      <c r="K40" s="7"/>
      <c r="L40" s="7"/>
      <c r="M40" s="7"/>
      <c r="N40" s="7"/>
      <c r="O40" s="7"/>
    </row>
    <row r="41" spans="6:15" ht="18" customHeight="1" x14ac:dyDescent="0.25">
      <c r="F41" s="7" t="s">
        <v>14</v>
      </c>
      <c r="G41" s="7"/>
      <c r="H41" s="7"/>
      <c r="I41" s="7"/>
      <c r="J41" s="7"/>
      <c r="K41" s="7"/>
      <c r="L41" s="7"/>
      <c r="M41" s="7"/>
      <c r="N41" s="7"/>
      <c r="O41" s="7"/>
    </row>
    <row r="42" spans="6:15" ht="18" customHeight="1" x14ac:dyDescent="0.25">
      <c r="F42" s="7"/>
      <c r="G42" s="7"/>
      <c r="H42" s="7"/>
      <c r="I42" s="7"/>
      <c r="J42" s="7"/>
      <c r="K42" s="7"/>
      <c r="L42" s="7"/>
      <c r="M42" s="7"/>
      <c r="N42" s="7"/>
      <c r="O42" s="7"/>
    </row>
    <row r="43" spans="6:15" ht="18" customHeight="1" x14ac:dyDescent="0.25">
      <c r="F43" s="7" t="s">
        <v>119</v>
      </c>
      <c r="G43" s="7"/>
      <c r="H43" s="7"/>
      <c r="I43" s="7"/>
      <c r="J43" s="7"/>
      <c r="K43" s="7"/>
      <c r="L43" s="7"/>
      <c r="M43" s="7"/>
      <c r="N43" s="7"/>
      <c r="O43" s="7"/>
    </row>
    <row r="44" spans="6:15" ht="18" customHeight="1" x14ac:dyDescent="0.25">
      <c r="F44" s="7" t="s">
        <v>94</v>
      </c>
      <c r="G44" s="7"/>
      <c r="H44" s="7"/>
      <c r="I44" s="7"/>
      <c r="J44" s="7"/>
      <c r="K44" s="7"/>
      <c r="L44" s="7"/>
      <c r="M44" s="7"/>
      <c r="N44" s="7"/>
      <c r="O44" s="7"/>
    </row>
    <row r="45" spans="6:15" ht="18" customHeight="1" x14ac:dyDescent="0.25">
      <c r="F45" s="7" t="s">
        <v>72</v>
      </c>
      <c r="G45" s="7"/>
      <c r="H45" s="7"/>
      <c r="I45" s="7"/>
      <c r="J45" s="7"/>
      <c r="K45" s="7"/>
      <c r="L45" s="7"/>
      <c r="M45" s="7"/>
      <c r="N45" s="7"/>
      <c r="O45" s="7"/>
    </row>
    <row r="46" spans="6:15" ht="18" customHeight="1" x14ac:dyDescent="0.25">
      <c r="F46" s="7" t="s">
        <v>63</v>
      </c>
      <c r="G46" s="7"/>
      <c r="H46" s="7"/>
      <c r="I46" s="7"/>
      <c r="J46" s="7"/>
      <c r="K46" s="7"/>
      <c r="L46" s="7"/>
      <c r="M46" s="7"/>
      <c r="N46" s="7"/>
      <c r="O46" s="7"/>
    </row>
    <row r="47" spans="6:15" ht="18" customHeight="1" x14ac:dyDescent="0.25">
      <c r="F47" s="7" t="s">
        <v>13</v>
      </c>
      <c r="G47" s="7"/>
      <c r="H47" s="7"/>
      <c r="I47" s="7"/>
      <c r="J47" s="7"/>
      <c r="K47" s="7"/>
      <c r="L47" s="7"/>
      <c r="M47" s="7"/>
      <c r="N47" s="7"/>
      <c r="O47" s="7"/>
    </row>
    <row r="48" spans="6:15" ht="18" customHeight="1" x14ac:dyDescent="0.25">
      <c r="F48" s="7" t="s">
        <v>14</v>
      </c>
      <c r="G48" s="7"/>
      <c r="H48" s="7"/>
      <c r="I48" s="7"/>
      <c r="J48" s="7"/>
      <c r="K48" s="7"/>
      <c r="L48" s="7"/>
      <c r="M48" s="7"/>
      <c r="N48" s="7"/>
      <c r="O48" s="7"/>
    </row>
    <row r="49" spans="6:15" ht="18" customHeight="1" x14ac:dyDescent="0.25">
      <c r="F49" s="7"/>
      <c r="G49" s="7"/>
      <c r="H49" s="7"/>
      <c r="I49" s="7"/>
      <c r="J49" s="7"/>
      <c r="K49" s="7"/>
      <c r="L49" s="7"/>
      <c r="M49" s="7"/>
      <c r="N49" s="7"/>
      <c r="O49" s="7"/>
    </row>
    <row r="50" spans="6:15" ht="18" customHeight="1" x14ac:dyDescent="0.25">
      <c r="F50" s="7" t="s">
        <v>130</v>
      </c>
      <c r="G50" s="7"/>
      <c r="H50" s="7"/>
      <c r="I50" s="7"/>
      <c r="J50" s="7"/>
      <c r="K50" s="7"/>
      <c r="L50" s="7"/>
      <c r="M50" s="7"/>
      <c r="N50" s="7"/>
      <c r="O50" s="7"/>
    </row>
    <row r="51" spans="6:15" ht="18" customHeight="1" x14ac:dyDescent="0.25">
      <c r="F51" s="7" t="s">
        <v>94</v>
      </c>
      <c r="G51" s="7"/>
      <c r="H51" s="7"/>
      <c r="I51" s="7"/>
      <c r="J51" s="7"/>
      <c r="K51" s="7"/>
      <c r="L51" s="7"/>
      <c r="M51" s="7"/>
      <c r="N51" s="7"/>
      <c r="O51" s="7"/>
    </row>
    <row r="52" spans="6:15" ht="18" customHeight="1" x14ac:dyDescent="0.25">
      <c r="F52" s="7" t="s">
        <v>105</v>
      </c>
      <c r="G52" s="7"/>
      <c r="H52" s="7"/>
      <c r="I52" s="7"/>
      <c r="J52" s="7"/>
      <c r="K52" s="7"/>
      <c r="L52" s="7"/>
      <c r="M52" s="7"/>
      <c r="N52" s="7"/>
      <c r="O52" s="7"/>
    </row>
    <row r="53" spans="6:15" ht="18" customHeight="1" x14ac:dyDescent="0.25">
      <c r="F53" s="7" t="s">
        <v>21</v>
      </c>
      <c r="G53" s="7"/>
      <c r="H53" s="7"/>
      <c r="I53" s="7"/>
      <c r="J53" s="7"/>
      <c r="K53" s="7"/>
      <c r="L53" s="7"/>
      <c r="M53" s="7"/>
      <c r="N53" s="7"/>
      <c r="O53" s="7"/>
    </row>
    <row r="54" spans="6:15" ht="18" customHeight="1" x14ac:dyDescent="0.25">
      <c r="F54" s="7" t="s">
        <v>13</v>
      </c>
      <c r="G54" s="7"/>
      <c r="H54" s="7"/>
      <c r="I54" s="7"/>
      <c r="J54" s="7"/>
      <c r="K54" s="7"/>
      <c r="L54" s="7"/>
      <c r="M54" s="7"/>
      <c r="N54" s="7"/>
      <c r="O54" s="7"/>
    </row>
    <row r="55" spans="6:15" ht="18" customHeight="1" x14ac:dyDescent="0.25">
      <c r="F55" s="7" t="s">
        <v>14</v>
      </c>
      <c r="G55" s="7"/>
      <c r="H55" s="7"/>
      <c r="I55" s="7"/>
      <c r="J55" s="7"/>
      <c r="K55" s="7"/>
      <c r="L55" s="7"/>
      <c r="M55" s="7"/>
      <c r="N55" s="7"/>
      <c r="O55" s="7"/>
    </row>
    <row r="56" spans="6:15" ht="18" customHeight="1" x14ac:dyDescent="0.25">
      <c r="F56" s="7"/>
      <c r="G56" s="7"/>
      <c r="H56" s="7"/>
      <c r="I56" s="7"/>
      <c r="J56" s="7"/>
      <c r="K56" s="7"/>
      <c r="L56" s="7"/>
      <c r="M56" s="7"/>
      <c r="N56" s="7"/>
      <c r="O56" s="7"/>
    </row>
    <row r="57" spans="6:15" ht="18" customHeight="1" x14ac:dyDescent="0.25">
      <c r="F57" s="7" t="s">
        <v>128</v>
      </c>
      <c r="G57" s="7"/>
      <c r="H57" s="7"/>
      <c r="I57" s="7"/>
      <c r="J57" s="7"/>
      <c r="K57" s="7"/>
      <c r="L57" s="7"/>
      <c r="M57" s="7"/>
      <c r="N57" s="7"/>
      <c r="O57" s="7"/>
    </row>
    <row r="58" spans="6:15" ht="18" customHeight="1" x14ac:dyDescent="0.25">
      <c r="F58" s="7" t="s">
        <v>120</v>
      </c>
      <c r="G58" s="7"/>
      <c r="H58" s="7"/>
      <c r="I58" s="7"/>
      <c r="J58" s="7"/>
      <c r="K58" s="7"/>
      <c r="L58" s="7"/>
      <c r="M58" s="7"/>
      <c r="N58" s="7"/>
      <c r="O58" s="7"/>
    </row>
    <row r="59" spans="6:15" ht="18" customHeight="1" x14ac:dyDescent="0.25">
      <c r="F59" s="7" t="s">
        <v>72</v>
      </c>
      <c r="G59" s="7"/>
      <c r="H59" s="7"/>
      <c r="I59" s="7"/>
      <c r="J59" s="7"/>
      <c r="K59" s="7"/>
      <c r="L59" s="7"/>
      <c r="M59" s="7"/>
      <c r="N59" s="7"/>
      <c r="O59" s="7"/>
    </row>
    <row r="60" spans="6:15" ht="18" customHeight="1" x14ac:dyDescent="0.25">
      <c r="F60" s="7" t="s">
        <v>63</v>
      </c>
      <c r="G60" s="7"/>
      <c r="H60" s="7"/>
      <c r="I60" s="7"/>
      <c r="J60" s="7"/>
      <c r="K60" s="7"/>
      <c r="L60" s="7"/>
      <c r="M60" s="7"/>
      <c r="N60" s="7"/>
      <c r="O60" s="7"/>
    </row>
    <row r="61" spans="6:15" ht="18" customHeight="1" x14ac:dyDescent="0.25">
      <c r="F61" s="7" t="s">
        <v>112</v>
      </c>
      <c r="G61" s="7"/>
      <c r="H61" s="7"/>
      <c r="I61" s="7"/>
      <c r="J61" s="7"/>
      <c r="K61" s="7"/>
      <c r="L61" s="7"/>
      <c r="M61" s="7"/>
      <c r="N61" s="7"/>
      <c r="O61" s="7"/>
    </row>
    <row r="62" spans="6:15" ht="18" customHeight="1" x14ac:dyDescent="0.25">
      <c r="F62" s="7" t="s">
        <v>14</v>
      </c>
      <c r="G62" s="7"/>
      <c r="H62" s="7"/>
      <c r="I62" s="7"/>
      <c r="J62" s="7"/>
      <c r="K62" s="7"/>
      <c r="L62" s="7"/>
      <c r="M62" s="7"/>
      <c r="N62" s="7"/>
      <c r="O62" s="7"/>
    </row>
    <row r="63" spans="6:15" ht="18" customHeight="1" x14ac:dyDescent="0.25">
      <c r="F63" s="7"/>
      <c r="G63" s="7"/>
      <c r="H63" s="7"/>
      <c r="I63" s="7"/>
      <c r="J63" s="7"/>
      <c r="K63" s="7"/>
      <c r="L63" s="7"/>
      <c r="M63" s="7"/>
      <c r="N63" s="7"/>
      <c r="O63" s="7"/>
    </row>
    <row r="64" spans="6:15" ht="18" customHeight="1" x14ac:dyDescent="0.25">
      <c r="F64" s="7" t="s">
        <v>113</v>
      </c>
      <c r="G64" s="7"/>
      <c r="H64" s="7"/>
      <c r="I64" s="7"/>
      <c r="J64" s="7"/>
      <c r="K64" s="7"/>
      <c r="L64" s="7"/>
      <c r="M64" s="7"/>
      <c r="N64" s="7"/>
      <c r="O64" s="7"/>
    </row>
    <row r="65" spans="6:15" ht="18" customHeight="1" x14ac:dyDescent="0.25">
      <c r="F65" s="7" t="s">
        <v>120</v>
      </c>
      <c r="G65" s="7"/>
      <c r="H65" s="7"/>
      <c r="I65" s="7"/>
      <c r="J65" s="7"/>
      <c r="K65" s="7"/>
      <c r="L65" s="7"/>
      <c r="M65" s="7"/>
      <c r="N65" s="7"/>
      <c r="O65" s="7"/>
    </row>
    <row r="66" spans="6:15" ht="18" customHeight="1" x14ac:dyDescent="0.25">
      <c r="F66" s="7" t="s">
        <v>105</v>
      </c>
      <c r="G66" s="7"/>
      <c r="H66" s="7"/>
      <c r="I66" s="7"/>
      <c r="J66" s="7"/>
      <c r="K66" s="7"/>
      <c r="L66" s="7"/>
      <c r="M66" s="7"/>
      <c r="N66" s="7"/>
      <c r="O66" s="7"/>
    </row>
    <row r="67" spans="6:15" ht="18" customHeight="1" x14ac:dyDescent="0.25">
      <c r="F67" s="7" t="s">
        <v>63</v>
      </c>
      <c r="G67" s="7"/>
      <c r="H67" s="7"/>
      <c r="I67" s="7"/>
      <c r="J67" s="7"/>
      <c r="K67" s="7"/>
      <c r="L67" s="7"/>
      <c r="M67" s="7"/>
      <c r="N67" s="7"/>
      <c r="O67" s="7"/>
    </row>
    <row r="68" spans="6:15" ht="18" customHeight="1" x14ac:dyDescent="0.25">
      <c r="F68" s="7" t="s">
        <v>115</v>
      </c>
      <c r="G68" s="7"/>
      <c r="H68" s="7"/>
      <c r="I68" s="7"/>
      <c r="J68" s="7"/>
      <c r="K68" s="7"/>
      <c r="L68" s="7"/>
      <c r="M68" s="7"/>
      <c r="N68" s="7"/>
      <c r="O68" s="7"/>
    </row>
    <row r="69" spans="6:15" ht="18" customHeight="1" x14ac:dyDescent="0.25">
      <c r="F69" s="7" t="s">
        <v>14</v>
      </c>
      <c r="G69" s="7"/>
      <c r="H69" s="7"/>
      <c r="I69" s="7"/>
      <c r="J69" s="7"/>
      <c r="K69" s="7"/>
      <c r="L69" s="7"/>
      <c r="M69" s="7"/>
      <c r="N69" s="7"/>
      <c r="O69" s="7"/>
    </row>
    <row r="70" spans="6:15" ht="18" customHeight="1" x14ac:dyDescent="0.25">
      <c r="F70" s="7"/>
      <c r="G70" s="7"/>
      <c r="H70" s="7"/>
      <c r="I70" s="7"/>
      <c r="J70" s="7"/>
      <c r="K70" s="7"/>
      <c r="L70" s="7"/>
      <c r="M70" s="7"/>
      <c r="N70" s="7"/>
      <c r="O70" s="7"/>
    </row>
    <row r="71" spans="6:15" ht="18" customHeight="1" x14ac:dyDescent="0.25">
      <c r="F71" s="7" t="s">
        <v>157</v>
      </c>
      <c r="G71" s="7"/>
      <c r="H71" s="7"/>
      <c r="I71" s="7"/>
      <c r="J71" s="7"/>
      <c r="K71" s="7"/>
      <c r="L71" s="7"/>
      <c r="M71" s="7"/>
      <c r="N71" s="7"/>
      <c r="O71" s="7"/>
    </row>
    <row r="72" spans="6:15" ht="18" customHeight="1" x14ac:dyDescent="0.25">
      <c r="F72" s="7" t="s">
        <v>120</v>
      </c>
      <c r="G72" s="7"/>
      <c r="H72" s="7"/>
      <c r="I72" s="7"/>
      <c r="J72" s="7"/>
      <c r="K72" s="7"/>
      <c r="L72" s="7"/>
      <c r="M72" s="7"/>
      <c r="N72" s="7"/>
      <c r="O72" s="7"/>
    </row>
    <row r="73" spans="6:15" ht="18" customHeight="1" x14ac:dyDescent="0.25">
      <c r="F73" s="7" t="s">
        <v>97</v>
      </c>
    </row>
    <row r="74" spans="6:15" ht="18" customHeight="1" x14ac:dyDescent="0.25">
      <c r="F74" s="7" t="s">
        <v>21</v>
      </c>
    </row>
    <row r="75" spans="6:15" ht="18" customHeight="1" x14ac:dyDescent="0.25">
      <c r="F75" s="8" t="s">
        <v>115</v>
      </c>
    </row>
    <row r="76" spans="6:15" ht="18" customHeight="1" x14ac:dyDescent="0.25">
      <c r="F76" s="8" t="s">
        <v>14</v>
      </c>
    </row>
    <row r="77" spans="6:15" ht="18" customHeight="1" x14ac:dyDescent="0.25">
      <c r="F77" s="7"/>
    </row>
    <row r="78" spans="6:15" ht="18" customHeight="1" x14ac:dyDescent="0.25">
      <c r="F78" s="7" t="s">
        <v>61</v>
      </c>
    </row>
    <row r="79" spans="6:15" ht="18" customHeight="1" x14ac:dyDescent="0.25">
      <c r="F79" s="7" t="s">
        <v>136</v>
      </c>
    </row>
    <row r="80" spans="6:15" ht="18" customHeight="1" x14ac:dyDescent="0.25">
      <c r="F80" s="7" t="s">
        <v>97</v>
      </c>
    </row>
    <row r="81" spans="6:6" ht="18" customHeight="1" x14ac:dyDescent="0.25">
      <c r="F81" s="7" t="s">
        <v>21</v>
      </c>
    </row>
    <row r="82" spans="6:6" ht="18" customHeight="1" x14ac:dyDescent="0.25">
      <c r="F82" s="7" t="s">
        <v>13</v>
      </c>
    </row>
    <row r="83" spans="6:6" ht="18" customHeight="1" x14ac:dyDescent="0.25">
      <c r="F83" s="7" t="s">
        <v>14</v>
      </c>
    </row>
    <row r="84" spans="6:6" ht="18" customHeight="1" x14ac:dyDescent="0.25">
      <c r="F84" s="7"/>
    </row>
    <row r="85" spans="6:6" ht="18" customHeight="1" x14ac:dyDescent="0.25">
      <c r="F85" s="7" t="s">
        <v>65</v>
      </c>
    </row>
    <row r="86" spans="6:6" ht="18" customHeight="1" x14ac:dyDescent="0.25">
      <c r="F86" s="7" t="s">
        <v>15</v>
      </c>
    </row>
    <row r="87" spans="6:6" ht="18" customHeight="1" x14ac:dyDescent="0.25">
      <c r="F87" s="7" t="s">
        <v>16</v>
      </c>
    </row>
    <row r="88" spans="6:6" ht="18" customHeight="1" x14ac:dyDescent="0.25">
      <c r="F88" s="7" t="s">
        <v>17</v>
      </c>
    </row>
    <row r="89" spans="6:6" ht="18" customHeight="1" x14ac:dyDescent="0.25">
      <c r="F89" s="7" t="s">
        <v>13</v>
      </c>
    </row>
    <row r="90" spans="6:6" ht="18" customHeight="1" x14ac:dyDescent="0.25">
      <c r="F90" s="7" t="s">
        <v>14</v>
      </c>
    </row>
    <row r="91" spans="6:6" ht="18" customHeight="1" x14ac:dyDescent="0.25">
      <c r="F91" s="7" t="s">
        <v>12</v>
      </c>
    </row>
    <row r="92" spans="6:6" ht="18" customHeight="1" x14ac:dyDescent="0.25">
      <c r="F92" s="7"/>
    </row>
    <row r="93" spans="6:6" ht="18" customHeight="1" x14ac:dyDescent="0.25">
      <c r="F93" s="7" t="str">
        <f ca="1">_xlfn.CONCAT("uint16_t ", _xlfn.TEXTAFTER(CELL("filename"),"]"), "_Enemies[] = {")</f>
        <v>uint16_t Level_10_Enemies[] = {</v>
      </c>
    </row>
    <row r="94" spans="6:6" ht="18" customHeight="1" x14ac:dyDescent="0.25">
      <c r="F94" s="7" t="s">
        <v>18</v>
      </c>
    </row>
    <row r="95" spans="6:6" ht="18" customHeight="1" x14ac:dyDescent="0.25">
      <c r="F95" s="7" t="s">
        <v>15</v>
      </c>
    </row>
    <row r="96" spans="6:6" ht="18" customHeight="1" x14ac:dyDescent="0.25">
      <c r="F96" s="7" t="s">
        <v>16</v>
      </c>
    </row>
    <row r="97" spans="6:6" ht="18" customHeight="1" x14ac:dyDescent="0.25">
      <c r="F97" s="7" t="s">
        <v>19</v>
      </c>
    </row>
    <row r="98" spans="6:6" ht="18" customHeight="1" x14ac:dyDescent="0.25">
      <c r="F98" s="7" t="s">
        <v>20</v>
      </c>
    </row>
    <row r="99" spans="6:6" ht="18" customHeight="1" x14ac:dyDescent="0.25">
      <c r="F99" s="7"/>
    </row>
    <row r="100" spans="6:6" ht="18" customHeight="1" x14ac:dyDescent="0.25">
      <c r="F100" s="7" t="s">
        <v>18</v>
      </c>
    </row>
    <row r="101" spans="6:6" ht="18" customHeight="1" x14ac:dyDescent="0.25">
      <c r="F101" s="7" t="s">
        <v>15</v>
      </c>
    </row>
    <row r="102" spans="6:6" ht="18" customHeight="1" x14ac:dyDescent="0.25">
      <c r="F102" s="7" t="s">
        <v>16</v>
      </c>
    </row>
    <row r="103" spans="6:6" ht="18" customHeight="1" x14ac:dyDescent="0.25">
      <c r="F103" s="7" t="s">
        <v>19</v>
      </c>
    </row>
    <row r="104" spans="6:6" ht="18" customHeight="1" x14ac:dyDescent="0.25">
      <c r="F104" s="7" t="s">
        <v>20</v>
      </c>
    </row>
    <row r="105" spans="6:6" ht="18" customHeight="1" x14ac:dyDescent="0.25">
      <c r="F105" s="7"/>
    </row>
    <row r="106" spans="6:6" ht="18" customHeight="1" x14ac:dyDescent="0.25">
      <c r="F106" s="7" t="s">
        <v>18</v>
      </c>
    </row>
    <row r="107" spans="6:6" ht="18" customHeight="1" x14ac:dyDescent="0.25">
      <c r="F107" s="7" t="s">
        <v>15</v>
      </c>
    </row>
    <row r="108" spans="6:6" ht="18" customHeight="1" x14ac:dyDescent="0.25">
      <c r="F108" s="7" t="s">
        <v>16</v>
      </c>
    </row>
    <row r="109" spans="6:6" ht="18" customHeight="1" x14ac:dyDescent="0.25">
      <c r="F109" s="7" t="s">
        <v>19</v>
      </c>
    </row>
    <row r="110" spans="6:6" ht="18" customHeight="1" x14ac:dyDescent="0.25">
      <c r="F110" s="7" t="s">
        <v>20</v>
      </c>
    </row>
    <row r="111" spans="6:6" ht="18" customHeight="1" x14ac:dyDescent="0.25">
      <c r="F111" s="7"/>
    </row>
    <row r="112" spans="6:6" ht="18" customHeight="1" x14ac:dyDescent="0.25">
      <c r="F112" s="7" t="s">
        <v>18</v>
      </c>
    </row>
    <row r="113" spans="6:6" ht="18" customHeight="1" x14ac:dyDescent="0.25">
      <c r="F113" s="7" t="s">
        <v>15</v>
      </c>
    </row>
    <row r="114" spans="6:6" ht="18" customHeight="1" x14ac:dyDescent="0.25">
      <c r="F114" s="7" t="s">
        <v>16</v>
      </c>
    </row>
    <row r="115" spans="6:6" ht="18" customHeight="1" x14ac:dyDescent="0.25">
      <c r="F115" s="7" t="s">
        <v>19</v>
      </c>
    </row>
    <row r="116" spans="6:6" ht="18" customHeight="1" x14ac:dyDescent="0.25">
      <c r="F116" s="7" t="s">
        <v>20</v>
      </c>
    </row>
    <row r="117" spans="6:6" ht="18" customHeight="1" x14ac:dyDescent="0.25">
      <c r="F117" s="7" t="s">
        <v>12</v>
      </c>
    </row>
    <row r="118" spans="6:6" ht="18" customHeight="1" x14ac:dyDescent="0.25">
      <c r="F118" s="7"/>
    </row>
    <row r="119" spans="6:6" ht="18" customHeight="1" x14ac:dyDescent="0.25">
      <c r="F119" s="7"/>
    </row>
    <row r="120" spans="6:6" ht="18" customHeight="1" x14ac:dyDescent="0.25">
      <c r="F120" s="7"/>
    </row>
    <row r="121" spans="6:6" ht="18" customHeight="1" x14ac:dyDescent="0.25">
      <c r="F121" s="7"/>
    </row>
    <row r="122" spans="6:6" ht="18" customHeight="1" x14ac:dyDescent="0.25">
      <c r="F122" s="7"/>
    </row>
    <row r="123" spans="6:6" ht="18" customHeight="1" x14ac:dyDescent="0.25">
      <c r="F123" s="7"/>
    </row>
    <row r="124" spans="6:6" ht="18" customHeight="1" x14ac:dyDescent="0.25">
      <c r="F124" s="7"/>
    </row>
    <row r="125" spans="6:6" ht="18" customHeight="1" x14ac:dyDescent="0.25">
      <c r="F125" s="7"/>
    </row>
    <row r="126" spans="6:6" ht="18" customHeight="1" x14ac:dyDescent="0.25">
      <c r="F126" s="7"/>
    </row>
    <row r="127" spans="6:6" ht="18" customHeight="1" x14ac:dyDescent="0.25">
      <c r="F127" s="7"/>
    </row>
    <row r="128" spans="6:6" ht="18" customHeight="1" x14ac:dyDescent="0.25">
      <c r="F128" s="7"/>
    </row>
    <row r="129" spans="6:6" ht="18" customHeight="1" x14ac:dyDescent="0.25">
      <c r="F129" s="7"/>
    </row>
    <row r="130" spans="6:6" ht="18" customHeight="1" x14ac:dyDescent="0.25">
      <c r="F130" s="7"/>
    </row>
    <row r="131" spans="6:6" ht="18" customHeight="1" x14ac:dyDescent="0.25">
      <c r="F131" s="7"/>
    </row>
    <row r="132" spans="6:6" ht="18" customHeight="1" x14ac:dyDescent="0.25">
      <c r="F132" s="7"/>
    </row>
    <row r="133" spans="6:6" ht="18" customHeight="1" x14ac:dyDescent="0.25">
      <c r="F133" s="7"/>
    </row>
    <row r="134" spans="6:6" ht="18" customHeight="1" x14ac:dyDescent="0.25">
      <c r="F134" s="7"/>
    </row>
    <row r="135" spans="6:6" ht="18" customHeight="1" x14ac:dyDescent="0.25">
      <c r="F135" s="7"/>
    </row>
    <row r="136" spans="6:6" ht="18" customHeight="1" x14ac:dyDescent="0.25">
      <c r="F136" s="7"/>
    </row>
    <row r="137" spans="6:6" ht="18" customHeight="1" x14ac:dyDescent="0.25">
      <c r="F137" s="7"/>
    </row>
    <row r="138" spans="6:6" ht="18" customHeight="1" x14ac:dyDescent="0.25">
      <c r="F138" s="7"/>
    </row>
    <row r="139" spans="6:6" ht="18" customHeight="1" x14ac:dyDescent="0.25">
      <c r="F139" s="7"/>
    </row>
    <row r="140" spans="6:6" ht="18" customHeight="1" x14ac:dyDescent="0.25">
      <c r="F140" s="7"/>
    </row>
    <row r="141" spans="6:6" ht="18" customHeight="1" x14ac:dyDescent="0.25">
      <c r="F141" s="7"/>
    </row>
    <row r="142" spans="6:6" ht="18" customHeight="1" x14ac:dyDescent="0.25">
      <c r="F142" s="7"/>
    </row>
    <row r="143" spans="6:6" ht="18" customHeight="1" x14ac:dyDescent="0.25">
      <c r="F143" s="7"/>
    </row>
    <row r="144" spans="6:6" ht="18" customHeight="1" x14ac:dyDescent="0.25">
      <c r="F144" s="7"/>
    </row>
    <row r="145" spans="6:6" ht="18" customHeight="1" x14ac:dyDescent="0.25">
      <c r="F145" s="7"/>
    </row>
    <row r="146" spans="6:6" ht="18" customHeight="1" x14ac:dyDescent="0.25">
      <c r="F146" s="7"/>
    </row>
    <row r="147" spans="6:6" ht="18" customHeight="1" x14ac:dyDescent="0.25">
      <c r="F147" s="7"/>
    </row>
    <row r="148" spans="6:6" ht="18" customHeight="1" x14ac:dyDescent="0.25">
      <c r="F148" s="7"/>
    </row>
    <row r="149" spans="6:6" ht="18" customHeight="1" x14ac:dyDescent="0.25">
      <c r="F149" s="7"/>
    </row>
    <row r="150" spans="6:6" ht="18" customHeight="1" x14ac:dyDescent="0.25">
      <c r="F150" s="7"/>
    </row>
    <row r="151" spans="6:6" ht="18" customHeight="1" x14ac:dyDescent="0.25">
      <c r="F151" s="7"/>
    </row>
    <row r="152" spans="6:6" ht="18" customHeight="1" x14ac:dyDescent="0.25">
      <c r="F152" s="7"/>
    </row>
    <row r="153" spans="6:6" ht="18" customHeight="1" x14ac:dyDescent="0.25">
      <c r="F153" s="7"/>
    </row>
    <row r="154" spans="6:6" ht="18" customHeight="1" x14ac:dyDescent="0.25">
      <c r="F154" s="7"/>
    </row>
    <row r="155" spans="6:6" ht="18" customHeight="1" x14ac:dyDescent="0.25">
      <c r="F155" s="7"/>
    </row>
    <row r="156" spans="6:6" ht="18" customHeight="1" x14ac:dyDescent="0.25">
      <c r="F156" s="7"/>
    </row>
    <row r="157" spans="6:6" ht="18" customHeight="1" x14ac:dyDescent="0.25">
      <c r="F157" s="7"/>
    </row>
    <row r="158" spans="6:6" ht="18" customHeight="1" x14ac:dyDescent="0.25">
      <c r="F158" s="7"/>
    </row>
    <row r="159" spans="6:6" ht="18" customHeight="1" x14ac:dyDescent="0.25">
      <c r="F159" s="7"/>
    </row>
    <row r="160" spans="6:6" ht="18" customHeight="1" x14ac:dyDescent="0.25">
      <c r="F160" s="7"/>
    </row>
    <row r="161" spans="6:6" ht="18" customHeight="1" x14ac:dyDescent="0.25">
      <c r="F161" s="7"/>
    </row>
    <row r="162" spans="6:6" ht="18" customHeight="1" x14ac:dyDescent="0.25">
      <c r="F162" s="7"/>
    </row>
    <row r="163" spans="6:6" ht="18" customHeight="1" x14ac:dyDescent="0.25">
      <c r="F163" s="7"/>
    </row>
    <row r="164" spans="6:6" ht="18" customHeight="1" x14ac:dyDescent="0.25">
      <c r="F164" s="7"/>
    </row>
    <row r="165" spans="6:6" ht="18" customHeight="1" x14ac:dyDescent="0.25">
      <c r="F165" s="7"/>
    </row>
    <row r="166" spans="6:6" ht="18" customHeight="1" x14ac:dyDescent="0.25">
      <c r="F166" s="7"/>
    </row>
    <row r="167" spans="6:6" ht="18" customHeight="1" x14ac:dyDescent="0.25">
      <c r="F167" s="7"/>
    </row>
    <row r="168" spans="6:6" ht="18" customHeight="1" x14ac:dyDescent="0.25">
      <c r="F168" s="7"/>
    </row>
    <row r="169" spans="6:6" ht="18" customHeight="1" x14ac:dyDescent="0.25">
      <c r="F169" s="7"/>
    </row>
    <row r="170" spans="6:6" ht="18" customHeight="1" x14ac:dyDescent="0.25">
      <c r="F170" s="7"/>
    </row>
    <row r="171" spans="6:6" ht="18" customHeight="1" x14ac:dyDescent="0.25">
      <c r="F171" s="7"/>
    </row>
    <row r="172" spans="6:6" ht="18" customHeight="1" x14ac:dyDescent="0.25">
      <c r="F172" s="7"/>
    </row>
    <row r="173" spans="6:6" ht="18" customHeight="1" x14ac:dyDescent="0.25">
      <c r="F173" s="7"/>
    </row>
    <row r="174" spans="6:6" ht="18" customHeight="1" x14ac:dyDescent="0.25">
      <c r="F174" s="7"/>
    </row>
    <row r="175" spans="6:6" ht="18" customHeight="1" x14ac:dyDescent="0.25">
      <c r="F175" s="7"/>
    </row>
    <row r="176" spans="6:6" ht="18" customHeight="1" x14ac:dyDescent="0.25">
      <c r="F176" s="7"/>
    </row>
    <row r="177" spans="6:6" ht="18" customHeight="1" x14ac:dyDescent="0.25">
      <c r="F177" s="7"/>
    </row>
    <row r="178" spans="6:6" ht="18" customHeight="1" x14ac:dyDescent="0.25">
      <c r="F178" s="7"/>
    </row>
    <row r="179" spans="6:6" ht="18" customHeight="1" x14ac:dyDescent="0.25">
      <c r="F179" s="7"/>
    </row>
    <row r="180" spans="6:6" ht="18" customHeight="1" x14ac:dyDescent="0.25">
      <c r="F180" s="7"/>
    </row>
    <row r="181" spans="6:6" ht="18" customHeight="1" x14ac:dyDescent="0.25">
      <c r="F181" s="7"/>
    </row>
    <row r="182" spans="6:6" ht="18" customHeight="1" x14ac:dyDescent="0.25">
      <c r="F182" s="7"/>
    </row>
    <row r="183" spans="6:6" ht="18" customHeight="1" x14ac:dyDescent="0.25">
      <c r="F183" s="7"/>
    </row>
    <row r="184" spans="6:6" ht="18" customHeight="1" x14ac:dyDescent="0.25">
      <c r="F184" s="7"/>
    </row>
    <row r="185" spans="6:6" ht="18" customHeight="1" x14ac:dyDescent="0.25">
      <c r="F185" s="7"/>
    </row>
    <row r="186" spans="6:6" ht="18" customHeight="1" x14ac:dyDescent="0.25">
      <c r="F186" s="7"/>
    </row>
    <row r="187" spans="6:6" ht="18" customHeight="1" x14ac:dyDescent="0.25">
      <c r="F187" s="7"/>
    </row>
    <row r="188" spans="6:6" ht="18" customHeight="1" x14ac:dyDescent="0.25">
      <c r="F188" s="7"/>
    </row>
    <row r="189" spans="6:6" ht="18" customHeight="1" x14ac:dyDescent="0.25">
      <c r="F189" s="7"/>
    </row>
    <row r="190" spans="6:6" ht="18" customHeight="1" x14ac:dyDescent="0.25">
      <c r="F190" s="7"/>
    </row>
    <row r="191" spans="6:6" ht="18" customHeight="1" x14ac:dyDescent="0.25">
      <c r="F191" s="7"/>
    </row>
    <row r="192" spans="6:6" ht="18" customHeight="1" x14ac:dyDescent="0.25">
      <c r="F192" s="7"/>
    </row>
    <row r="193" spans="6:6" ht="18" customHeight="1" x14ac:dyDescent="0.25">
      <c r="F193" s="7"/>
    </row>
    <row r="194" spans="6:6" ht="18" customHeight="1" x14ac:dyDescent="0.25">
      <c r="F194" s="7"/>
    </row>
    <row r="195" spans="6:6" ht="18" customHeight="1" x14ac:dyDescent="0.25">
      <c r="F195" s="7"/>
    </row>
    <row r="196" spans="6:6" ht="18" customHeight="1" x14ac:dyDescent="0.25">
      <c r="F196" s="7"/>
    </row>
    <row r="197" spans="6:6" ht="18" customHeight="1" x14ac:dyDescent="0.25">
      <c r="F197" s="7"/>
    </row>
    <row r="198" spans="6:6" ht="18" customHeight="1" x14ac:dyDescent="0.25">
      <c r="F198" s="7"/>
    </row>
    <row r="199" spans="6:6" ht="18" customHeight="1" x14ac:dyDescent="0.25">
      <c r="F199" s="7"/>
    </row>
    <row r="200" spans="6:6" ht="18" customHeight="1" x14ac:dyDescent="0.25">
      <c r="F200" s="7"/>
    </row>
    <row r="201" spans="6:6" ht="18" customHeight="1" x14ac:dyDescent="0.25">
      <c r="F201" s="7"/>
    </row>
    <row r="202" spans="6:6" ht="18" customHeight="1" x14ac:dyDescent="0.25">
      <c r="F202" s="7"/>
    </row>
    <row r="203" spans="6:6" ht="18" customHeight="1" x14ac:dyDescent="0.25">
      <c r="F203" s="7"/>
    </row>
    <row r="204" spans="6:6" ht="18" customHeight="1" x14ac:dyDescent="0.25">
      <c r="F204" s="7"/>
    </row>
    <row r="205" spans="6:6" ht="18" customHeight="1" x14ac:dyDescent="0.25">
      <c r="F205" s="7"/>
    </row>
    <row r="206" spans="6:6" ht="18" customHeight="1" x14ac:dyDescent="0.25">
      <c r="F206" s="7"/>
    </row>
    <row r="207" spans="6:6" ht="18" customHeight="1" x14ac:dyDescent="0.25">
      <c r="F207" s="7"/>
    </row>
    <row r="208" spans="6:6" ht="18" customHeight="1" x14ac:dyDescent="0.25">
      <c r="F208" s="7"/>
    </row>
    <row r="209" spans="6:6" ht="18" customHeight="1" x14ac:dyDescent="0.25">
      <c r="F209" s="7"/>
    </row>
    <row r="210" spans="6:6" ht="18" customHeight="1" x14ac:dyDescent="0.25">
      <c r="F210" s="7"/>
    </row>
    <row r="211" spans="6:6" ht="18" customHeight="1" x14ac:dyDescent="0.25">
      <c r="F211" s="7"/>
    </row>
    <row r="212" spans="6:6" ht="18" customHeight="1" x14ac:dyDescent="0.25">
      <c r="F212" s="7"/>
    </row>
    <row r="213" spans="6:6" ht="18" customHeight="1" x14ac:dyDescent="0.25">
      <c r="F213" s="7"/>
    </row>
    <row r="214" spans="6:6" ht="18" customHeight="1" x14ac:dyDescent="0.25">
      <c r="F214" s="7"/>
    </row>
    <row r="215" spans="6:6" ht="18" customHeight="1" x14ac:dyDescent="0.25">
      <c r="F215" s="7"/>
    </row>
    <row r="216" spans="6:6" ht="18" customHeight="1" x14ac:dyDescent="0.25">
      <c r="F216" s="7"/>
    </row>
    <row r="217" spans="6:6" ht="18" customHeight="1" x14ac:dyDescent="0.25">
      <c r="F217" s="7"/>
    </row>
    <row r="218" spans="6:6" ht="18" customHeight="1" x14ac:dyDescent="0.25">
      <c r="F218" s="7"/>
    </row>
    <row r="219" spans="6:6" ht="18" customHeight="1" x14ac:dyDescent="0.25">
      <c r="F219" s="7"/>
    </row>
    <row r="220" spans="6:6" ht="18" customHeight="1" x14ac:dyDescent="0.25">
      <c r="F220" s="7"/>
    </row>
    <row r="221" spans="6:6" ht="18" customHeight="1" x14ac:dyDescent="0.25">
      <c r="F221" s="7"/>
    </row>
    <row r="222" spans="6:6" ht="18" customHeight="1" x14ac:dyDescent="0.25">
      <c r="F222" s="7"/>
    </row>
    <row r="223" spans="6:6" ht="18" customHeight="1" x14ac:dyDescent="0.25">
      <c r="F223" s="7"/>
    </row>
    <row r="224" spans="6:6" ht="18" customHeight="1" x14ac:dyDescent="0.25">
      <c r="F224" s="7"/>
    </row>
    <row r="225" spans="6:6" ht="18" customHeight="1" x14ac:dyDescent="0.25">
      <c r="F225" s="7"/>
    </row>
    <row r="226" spans="6:6" ht="18" customHeight="1" x14ac:dyDescent="0.25">
      <c r="F226" s="7"/>
    </row>
    <row r="227" spans="6:6" ht="18" customHeight="1" x14ac:dyDescent="0.25">
      <c r="F227" s="7"/>
    </row>
    <row r="228" spans="6:6" ht="18" customHeight="1" x14ac:dyDescent="0.25">
      <c r="F228" s="7"/>
    </row>
    <row r="229" spans="6:6" ht="18" customHeight="1" x14ac:dyDescent="0.25">
      <c r="F229" s="7"/>
    </row>
    <row r="230" spans="6:6" ht="18" customHeight="1" x14ac:dyDescent="0.25">
      <c r="F230" s="7"/>
    </row>
    <row r="231" spans="6:6" ht="18" customHeight="1" x14ac:dyDescent="0.25">
      <c r="F231" s="7"/>
    </row>
    <row r="232" spans="6:6" ht="18" customHeight="1" x14ac:dyDescent="0.25">
      <c r="F232" s="7"/>
    </row>
    <row r="233" spans="6:6" ht="18" customHeight="1" x14ac:dyDescent="0.25">
      <c r="F233" s="7"/>
    </row>
    <row r="234" spans="6:6" ht="18" customHeight="1" x14ac:dyDescent="0.25">
      <c r="F234" s="7"/>
    </row>
    <row r="235" spans="6:6" ht="18" customHeight="1" x14ac:dyDescent="0.25">
      <c r="F235" s="7"/>
    </row>
    <row r="236" spans="6:6" ht="18" customHeight="1" x14ac:dyDescent="0.25">
      <c r="F236" s="7"/>
    </row>
    <row r="237" spans="6:6" ht="18" customHeight="1" x14ac:dyDescent="0.25">
      <c r="F237" s="7"/>
    </row>
    <row r="238" spans="6:6" ht="18" customHeight="1" x14ac:dyDescent="0.25">
      <c r="F238" s="7"/>
    </row>
    <row r="239" spans="6:6" ht="18" customHeight="1" x14ac:dyDescent="0.25">
      <c r="F239" s="7"/>
    </row>
    <row r="240" spans="6:6" ht="18" customHeight="1" x14ac:dyDescent="0.25">
      <c r="F240" s="7"/>
    </row>
    <row r="241" spans="6:6" ht="18" customHeight="1" x14ac:dyDescent="0.25">
      <c r="F241" s="7"/>
    </row>
    <row r="242" spans="6:6" ht="18" customHeight="1" x14ac:dyDescent="0.25">
      <c r="F242" s="7"/>
    </row>
    <row r="243" spans="6:6" ht="18" customHeight="1" x14ac:dyDescent="0.25">
      <c r="F243" s="7"/>
    </row>
    <row r="244" spans="6:6" ht="18" customHeight="1" x14ac:dyDescent="0.25">
      <c r="F244" s="7"/>
    </row>
    <row r="245" spans="6:6" ht="18" customHeight="1" x14ac:dyDescent="0.2"/>
    <row r="246" spans="6:6" ht="18" customHeight="1" x14ac:dyDescent="0.2"/>
    <row r="247" spans="6:6" ht="18" customHeight="1" x14ac:dyDescent="0.2"/>
    <row r="248" spans="6:6" ht="18" customHeight="1" x14ac:dyDescent="0.2"/>
    <row r="249" spans="6:6" ht="18" customHeight="1" x14ac:dyDescent="0.2"/>
    <row r="250" spans="6:6" ht="18" customHeight="1" x14ac:dyDescent="0.2"/>
    <row r="251" spans="6:6" ht="18" customHeight="1" x14ac:dyDescent="0.2"/>
    <row r="252" spans="6:6" ht="18" customHeight="1" x14ac:dyDescent="0.2"/>
    <row r="253" spans="6:6" ht="18" customHeight="1" x14ac:dyDescent="0.2"/>
    <row r="254" spans="6:6" ht="18" customHeight="1" x14ac:dyDescent="0.2"/>
    <row r="255" spans="6:6" ht="18" customHeight="1" x14ac:dyDescent="0.2"/>
    <row r="256" spans="6:6" ht="18" customHeight="1" x14ac:dyDescent="0.2"/>
    <row r="257" ht="18" customHeight="1" x14ac:dyDescent="0.2"/>
    <row r="258" ht="18" customHeight="1" x14ac:dyDescent="0.2"/>
    <row r="259" ht="18" customHeight="1" x14ac:dyDescent="0.2"/>
  </sheetData>
  <mergeCells count="1">
    <mergeCell ref="L11:N11"/>
  </mergeCells>
  <pageMargins left="0.7" right="0.7" top="0.75" bottom="0.75" header="0.3" footer="0.3"/>
  <pageSetup paperSize="9" orientation="portrait" horizontalDpi="0" verticalDpi="0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D2FE2-C042-3D4D-8CB4-4364F90685D7}">
  <sheetPr codeName="Sheet2"/>
  <dimension ref="A1:AV114"/>
  <sheetViews>
    <sheetView topLeftCell="A67" workbookViewId="0">
      <selection activeCell="AE74" sqref="AE74"/>
    </sheetView>
  </sheetViews>
  <sheetFormatPr baseColWidth="10" defaultRowHeight="16" x14ac:dyDescent="0.2"/>
  <cols>
    <col min="15" max="15" width="7.5" customWidth="1"/>
    <col min="16" max="29" width="5.5" customWidth="1"/>
    <col min="31" max="46" width="5.5" customWidth="1"/>
  </cols>
  <sheetData>
    <row r="1" spans="1:29" x14ac:dyDescent="0.2">
      <c r="B1" t="s">
        <v>22</v>
      </c>
      <c r="C1" t="s">
        <v>23</v>
      </c>
      <c r="D1" t="s">
        <v>24</v>
      </c>
      <c r="F1" t="s">
        <v>22</v>
      </c>
      <c r="G1" t="s">
        <v>23</v>
      </c>
      <c r="H1" t="s">
        <v>24</v>
      </c>
    </row>
    <row r="2" spans="1:29" x14ac:dyDescent="0.2">
      <c r="A2">
        <v>0</v>
      </c>
      <c r="B2">
        <v>1</v>
      </c>
      <c r="C2" s="3">
        <v>44</v>
      </c>
      <c r="D2" s="3">
        <v>64</v>
      </c>
      <c r="F2">
        <f t="shared" ref="F2:F5" si="0">(MOD(B2,256)*256) + INT(B2/256)</f>
        <v>256</v>
      </c>
      <c r="G2">
        <f t="shared" ref="G2:G5" si="1">(MOD(C2,256)*256) + INT(C2/256)</f>
        <v>11264</v>
      </c>
      <c r="H2">
        <f t="shared" ref="H2:H5" si="2">(MOD(D2,256)*256) + INT(D2/256)</f>
        <v>16384</v>
      </c>
      <c r="K2" t="str">
        <f>_xlfn.CONCAT(F2, ", ",G2,", ",H2,", // Port ",A2)</f>
        <v>256, 11264, 16384, // Port 0</v>
      </c>
    </row>
    <row r="3" spans="1:29" x14ac:dyDescent="0.2">
      <c r="A3">
        <v>1</v>
      </c>
      <c r="B3">
        <v>1</v>
      </c>
      <c r="C3" s="3">
        <v>0</v>
      </c>
      <c r="D3" s="3">
        <v>136</v>
      </c>
      <c r="F3">
        <f t="shared" si="0"/>
        <v>256</v>
      </c>
      <c r="G3">
        <f t="shared" si="1"/>
        <v>0</v>
      </c>
      <c r="H3">
        <f t="shared" si="2"/>
        <v>34816</v>
      </c>
      <c r="K3" t="str">
        <f t="shared" ref="K3:K14" si="3">_xlfn.CONCAT(F3, ", ",G3,", ",H3,", // Port ",A3)</f>
        <v>256, 0, 34816, // Port 1</v>
      </c>
    </row>
    <row r="4" spans="1:29" x14ac:dyDescent="0.2">
      <c r="A4">
        <v>2</v>
      </c>
      <c r="B4">
        <v>1</v>
      </c>
      <c r="C4" s="3">
        <v>0</v>
      </c>
      <c r="D4" s="3">
        <v>208</v>
      </c>
      <c r="F4">
        <f t="shared" si="0"/>
        <v>256</v>
      </c>
      <c r="G4">
        <f t="shared" si="1"/>
        <v>0</v>
      </c>
      <c r="H4">
        <f t="shared" si="2"/>
        <v>53248</v>
      </c>
      <c r="K4" t="str">
        <f t="shared" si="3"/>
        <v>256, 0, 53248, // Port 2</v>
      </c>
    </row>
    <row r="5" spans="1:29" x14ac:dyDescent="0.2">
      <c r="A5">
        <v>3</v>
      </c>
      <c r="B5">
        <v>0</v>
      </c>
      <c r="C5" s="3">
        <v>88</v>
      </c>
      <c r="D5" s="3">
        <v>180</v>
      </c>
      <c r="F5">
        <f t="shared" si="0"/>
        <v>0</v>
      </c>
      <c r="G5">
        <f t="shared" si="1"/>
        <v>22528</v>
      </c>
      <c r="H5">
        <f t="shared" si="2"/>
        <v>46080</v>
      </c>
      <c r="K5" t="str">
        <f t="shared" si="3"/>
        <v>0, 22528, 46080, // Port 3</v>
      </c>
    </row>
    <row r="6" spans="1:29" x14ac:dyDescent="0.2">
      <c r="A6">
        <v>4</v>
      </c>
      <c r="B6">
        <v>1</v>
      </c>
      <c r="C6" s="3">
        <v>28</v>
      </c>
      <c r="D6" s="3">
        <v>308</v>
      </c>
      <c r="F6">
        <f t="shared" ref="F6:F14" si="4">(MOD(B6,256)*256) + INT(B6/256)</f>
        <v>256</v>
      </c>
      <c r="G6">
        <f t="shared" ref="G6:G14" si="5">(MOD(C6,256)*256) + INT(C6/256)</f>
        <v>7168</v>
      </c>
      <c r="H6">
        <f t="shared" ref="H6:H9" si="6">(MOD(D6,256)*256) + INT(D6/256)</f>
        <v>13313</v>
      </c>
      <c r="K6" t="str">
        <f t="shared" si="3"/>
        <v>256, 7168, 13313, // Port 4</v>
      </c>
    </row>
    <row r="7" spans="1:29" x14ac:dyDescent="0.2">
      <c r="A7">
        <v>5</v>
      </c>
      <c r="B7">
        <v>0</v>
      </c>
      <c r="C7" s="3">
        <v>52</v>
      </c>
      <c r="D7" s="3">
        <v>236</v>
      </c>
      <c r="F7">
        <f t="shared" si="4"/>
        <v>0</v>
      </c>
      <c r="G7">
        <f t="shared" si="5"/>
        <v>13312</v>
      </c>
      <c r="H7">
        <f t="shared" si="6"/>
        <v>60416</v>
      </c>
      <c r="K7" t="str">
        <f t="shared" si="3"/>
        <v>0, 13312, 60416, // Port 5</v>
      </c>
    </row>
    <row r="8" spans="1:29" x14ac:dyDescent="0.2">
      <c r="A8">
        <v>6</v>
      </c>
      <c r="B8">
        <v>0</v>
      </c>
      <c r="C8" s="3">
        <v>116</v>
      </c>
      <c r="D8" s="3">
        <v>308</v>
      </c>
      <c r="F8">
        <f t="shared" si="4"/>
        <v>0</v>
      </c>
      <c r="G8">
        <f t="shared" si="5"/>
        <v>29696</v>
      </c>
      <c r="H8">
        <f t="shared" si="6"/>
        <v>13313</v>
      </c>
      <c r="K8" t="str">
        <f t="shared" si="3"/>
        <v>0, 29696, 13313, // Port 6</v>
      </c>
    </row>
    <row r="9" spans="1:29" x14ac:dyDescent="0.2">
      <c r="A9">
        <v>7</v>
      </c>
      <c r="B9">
        <v>0</v>
      </c>
      <c r="C9" s="3">
        <v>184</v>
      </c>
      <c r="D9" s="3">
        <v>244</v>
      </c>
      <c r="F9">
        <f t="shared" si="4"/>
        <v>0</v>
      </c>
      <c r="G9">
        <f t="shared" si="5"/>
        <v>47104</v>
      </c>
      <c r="H9">
        <f t="shared" si="6"/>
        <v>62464</v>
      </c>
      <c r="K9" t="str">
        <f t="shared" si="3"/>
        <v>0, 47104, 62464, // Port 7</v>
      </c>
    </row>
    <row r="10" spans="1:29" x14ac:dyDescent="0.2">
      <c r="A10">
        <v>8</v>
      </c>
      <c r="B10">
        <v>0</v>
      </c>
      <c r="C10" s="3">
        <v>256</v>
      </c>
      <c r="D10" s="3">
        <v>308</v>
      </c>
      <c r="F10">
        <f t="shared" si="4"/>
        <v>0</v>
      </c>
      <c r="G10">
        <f t="shared" si="5"/>
        <v>1</v>
      </c>
      <c r="H10">
        <f>(MOD(D10,256)*256) + INT(D10/256)</f>
        <v>13313</v>
      </c>
      <c r="K10" t="str">
        <f t="shared" si="3"/>
        <v>0, 1, 13313, // Port 8</v>
      </c>
    </row>
    <row r="11" spans="1:29" x14ac:dyDescent="0.2">
      <c r="A11">
        <v>9</v>
      </c>
      <c r="B11">
        <v>0</v>
      </c>
      <c r="C11" s="3">
        <v>256</v>
      </c>
      <c r="D11" s="3">
        <v>168</v>
      </c>
      <c r="F11">
        <f t="shared" si="4"/>
        <v>0</v>
      </c>
      <c r="G11">
        <f t="shared" si="5"/>
        <v>1</v>
      </c>
      <c r="H11">
        <f t="shared" ref="H11:H14" si="7">(MOD(D11,256)*256) + INT(D11/256)</f>
        <v>43008</v>
      </c>
      <c r="K11" t="str">
        <f t="shared" si="3"/>
        <v>0, 1, 43008, // Port 9</v>
      </c>
    </row>
    <row r="12" spans="1:29" x14ac:dyDescent="0.2">
      <c r="A12">
        <v>10</v>
      </c>
      <c r="B12">
        <v>0</v>
      </c>
      <c r="C12" s="3">
        <v>256</v>
      </c>
      <c r="D12" s="3">
        <v>96</v>
      </c>
      <c r="F12">
        <f t="shared" si="4"/>
        <v>0</v>
      </c>
      <c r="G12">
        <f t="shared" si="5"/>
        <v>1</v>
      </c>
      <c r="H12">
        <f t="shared" si="7"/>
        <v>24576</v>
      </c>
      <c r="K12" t="str">
        <f t="shared" si="3"/>
        <v>0, 1, 24576, // Port 10</v>
      </c>
    </row>
    <row r="13" spans="1:29" x14ac:dyDescent="0.2">
      <c r="A13">
        <v>11</v>
      </c>
      <c r="B13">
        <v>0</v>
      </c>
      <c r="C13" s="3">
        <v>204</v>
      </c>
      <c r="D13" s="3">
        <v>32</v>
      </c>
      <c r="F13">
        <f t="shared" si="4"/>
        <v>0</v>
      </c>
      <c r="G13">
        <f t="shared" si="5"/>
        <v>52224</v>
      </c>
      <c r="H13">
        <f t="shared" si="7"/>
        <v>8192</v>
      </c>
      <c r="K13" t="str">
        <f t="shared" si="3"/>
        <v>0, 52224, 8192, // Port 11</v>
      </c>
    </row>
    <row r="14" spans="1:29" x14ac:dyDescent="0.2">
      <c r="A14">
        <v>12</v>
      </c>
      <c r="B14">
        <v>0</v>
      </c>
      <c r="C14" s="3">
        <v>136</v>
      </c>
      <c r="D14" s="3">
        <v>80</v>
      </c>
      <c r="F14">
        <f t="shared" si="4"/>
        <v>0</v>
      </c>
      <c r="G14">
        <f t="shared" si="5"/>
        <v>34816</v>
      </c>
      <c r="H14">
        <f t="shared" si="7"/>
        <v>20480</v>
      </c>
      <c r="K14" t="str">
        <f t="shared" si="3"/>
        <v>0, 34816, 20480, // Port 12</v>
      </c>
      <c r="T14" t="s">
        <v>26</v>
      </c>
      <c r="V14" t="s">
        <v>27</v>
      </c>
      <c r="Y14" t="s">
        <v>28</v>
      </c>
      <c r="AC14" t="s">
        <v>29</v>
      </c>
    </row>
    <row r="15" spans="1:29" x14ac:dyDescent="0.2">
      <c r="A15">
        <v>13</v>
      </c>
      <c r="B15">
        <v>0</v>
      </c>
      <c r="C15" s="3">
        <v>44</v>
      </c>
      <c r="D15" s="3">
        <v>0</v>
      </c>
      <c r="F15">
        <f t="shared" ref="F15" si="8">(MOD(B15,256)*256) + INT(B15/256)</f>
        <v>0</v>
      </c>
      <c r="G15">
        <f t="shared" ref="G15" si="9">(MOD(C15,256)*256) + INT(C15/256)</f>
        <v>11264</v>
      </c>
      <c r="H15">
        <f t="shared" ref="H15" si="10">(MOD(D15,256)*256) + INT(D15/256)</f>
        <v>0</v>
      </c>
      <c r="K15" t="str">
        <f t="shared" ref="K15" si="11">_xlfn.CONCAT(F15, ", ",G15,", ",H15,", // Port ",A15)</f>
        <v>0, 11264, 0, // Port 13</v>
      </c>
    </row>
    <row r="17" spans="6:31" x14ac:dyDescent="0.2">
      <c r="O17" t="s">
        <v>25</v>
      </c>
      <c r="P17">
        <v>0</v>
      </c>
      <c r="Q17">
        <v>1</v>
      </c>
      <c r="R17">
        <v>2</v>
      </c>
      <c r="S17">
        <v>3</v>
      </c>
      <c r="T17">
        <v>4</v>
      </c>
      <c r="U17">
        <v>5</v>
      </c>
      <c r="V17">
        <v>6</v>
      </c>
      <c r="W17">
        <v>7</v>
      </c>
      <c r="X17">
        <v>8</v>
      </c>
      <c r="Y17">
        <v>9</v>
      </c>
      <c r="Z17">
        <v>10</v>
      </c>
      <c r="AA17">
        <v>11</v>
      </c>
      <c r="AB17">
        <v>12</v>
      </c>
      <c r="AC17">
        <v>13</v>
      </c>
    </row>
    <row r="18" spans="6:31" x14ac:dyDescent="0.2">
      <c r="N18" t="s">
        <v>25</v>
      </c>
      <c r="O18" s="9">
        <v>0</v>
      </c>
      <c r="P18" s="10">
        <v>12</v>
      </c>
      <c r="Q18">
        <f>P18+Q19</f>
        <v>27</v>
      </c>
      <c r="R18">
        <f>Q18+R20</f>
        <v>45</v>
      </c>
      <c r="S18">
        <f>R18+S21</f>
        <v>65</v>
      </c>
      <c r="T18">
        <f>S18+T22</f>
        <v>89</v>
      </c>
      <c r="U18">
        <f>T18+U23</f>
        <v>111</v>
      </c>
      <c r="V18">
        <f>U18+V24</f>
        <v>133</v>
      </c>
      <c r="W18">
        <f>V18+W25</f>
        <v>150</v>
      </c>
      <c r="X18">
        <f>W18+X26</f>
        <v>166</v>
      </c>
      <c r="Y18">
        <f>X18+Y27</f>
        <v>180</v>
      </c>
      <c r="Z18">
        <f>Y18+Z28</f>
        <v>193</v>
      </c>
      <c r="AA18">
        <f>Z18+AA29</f>
        <v>212</v>
      </c>
      <c r="AB18">
        <f>AA18+AB30</f>
        <v>230</v>
      </c>
      <c r="AC18">
        <f>AB18+AC31</f>
        <v>250</v>
      </c>
      <c r="AE18" t="str">
        <f>_xlfn.CONCAT(" {",_xlfn.TEXTJOIN(", ",FALSE,O18:AC18),"}, // ",N18)</f>
        <v xml:space="preserve"> {0, 12, 27, 45, 65, 89, 111, 133, 150, 166, 180, 193, 212, 230, 250}, // Base</v>
      </c>
    </row>
    <row r="19" spans="6:31" x14ac:dyDescent="0.2">
      <c r="N19">
        <v>0</v>
      </c>
      <c r="O19">
        <f>P18</f>
        <v>12</v>
      </c>
      <c r="P19" s="9">
        <v>0</v>
      </c>
      <c r="Q19" s="10">
        <v>15</v>
      </c>
      <c r="R19">
        <f>Q19+R20</f>
        <v>33</v>
      </c>
      <c r="S19">
        <f>R19+S21</f>
        <v>53</v>
      </c>
      <c r="T19">
        <f>S19+T22</f>
        <v>77</v>
      </c>
      <c r="U19">
        <f>T19+U23</f>
        <v>99</v>
      </c>
      <c r="V19">
        <f>U19+V24</f>
        <v>121</v>
      </c>
      <c r="W19">
        <f>V19+W25</f>
        <v>138</v>
      </c>
      <c r="X19">
        <f>W19+X26</f>
        <v>154</v>
      </c>
      <c r="Y19">
        <f>X19+Y27</f>
        <v>168</v>
      </c>
      <c r="Z19">
        <f>Y19+Z28</f>
        <v>181</v>
      </c>
      <c r="AA19">
        <f>Z19+AA29</f>
        <v>200</v>
      </c>
      <c r="AB19">
        <f>AA19+AB30</f>
        <v>218</v>
      </c>
      <c r="AC19">
        <f>AB19+AC31</f>
        <v>238</v>
      </c>
      <c r="AE19" t="str">
        <f t="shared" ref="AE19:AE32" si="12">_xlfn.CONCAT(" {",_xlfn.TEXTJOIN(", ",FALSE,O19:AC19),"}, // ",N19)</f>
        <v xml:space="preserve"> {12, 0, 15, 33, 53, 77, 99, 121, 138, 154, 168, 181, 200, 218, 238}, // 0</v>
      </c>
    </row>
    <row r="20" spans="6:31" x14ac:dyDescent="0.2">
      <c r="N20">
        <v>1</v>
      </c>
      <c r="O20">
        <f>O19+P20</f>
        <v>27</v>
      </c>
      <c r="P20">
        <f>Q19</f>
        <v>15</v>
      </c>
      <c r="Q20" s="9">
        <v>0</v>
      </c>
      <c r="R20" s="10">
        <v>18</v>
      </c>
      <c r="S20">
        <f>R20+S21</f>
        <v>38</v>
      </c>
      <c r="T20" s="11">
        <v>26</v>
      </c>
      <c r="U20">
        <f>T20+U23</f>
        <v>48</v>
      </c>
      <c r="V20">
        <f>U20+V24</f>
        <v>70</v>
      </c>
      <c r="W20">
        <f>V20+W25</f>
        <v>87</v>
      </c>
      <c r="X20">
        <f>W20+X26</f>
        <v>103</v>
      </c>
      <c r="Y20">
        <f>X20+Y27</f>
        <v>117</v>
      </c>
      <c r="Z20">
        <f>Y20+Z28</f>
        <v>130</v>
      </c>
      <c r="AA20">
        <f>Z20+AA29</f>
        <v>149</v>
      </c>
      <c r="AB20">
        <f>AA20+AB30</f>
        <v>167</v>
      </c>
      <c r="AC20">
        <f>AB20+AC31</f>
        <v>187</v>
      </c>
      <c r="AE20" t="str">
        <f t="shared" si="12"/>
        <v xml:space="preserve"> {27, 15, 0, 18, 38, 26, 48, 70, 87, 103, 117, 130, 149, 167, 187}, // 1</v>
      </c>
    </row>
    <row r="21" spans="6:31" x14ac:dyDescent="0.2">
      <c r="F21">
        <v>0</v>
      </c>
      <c r="G21">
        <v>7</v>
      </c>
      <c r="N21">
        <v>2</v>
      </c>
      <c r="O21">
        <f>O20+Q21</f>
        <v>45</v>
      </c>
      <c r="P21">
        <f>P20+Q21</f>
        <v>33</v>
      </c>
      <c r="Q21">
        <f>R20</f>
        <v>18</v>
      </c>
      <c r="R21" s="9">
        <v>0</v>
      </c>
      <c r="S21" s="10">
        <v>20</v>
      </c>
      <c r="T21">
        <f>S21+T22</f>
        <v>44</v>
      </c>
      <c r="U21">
        <f>T21+U23</f>
        <v>66</v>
      </c>
      <c r="V21">
        <f>U21+V24</f>
        <v>88</v>
      </c>
      <c r="W21">
        <f>V21+W25</f>
        <v>105</v>
      </c>
      <c r="X21">
        <f>W21+X26</f>
        <v>121</v>
      </c>
      <c r="Y21">
        <f>X21+Y27</f>
        <v>135</v>
      </c>
      <c r="Z21">
        <f>Y21+Z28</f>
        <v>148</v>
      </c>
      <c r="AA21">
        <f>Z21+AA29</f>
        <v>167</v>
      </c>
      <c r="AB21">
        <f>AA21+AB30</f>
        <v>185</v>
      </c>
      <c r="AC21">
        <f>AB21+AC31</f>
        <v>205</v>
      </c>
      <c r="AE21" t="str">
        <f t="shared" si="12"/>
        <v xml:space="preserve"> {45, 33, 18, 0, 20, 44, 66, 88, 105, 121, 135, 148, 167, 185, 205}, // 2</v>
      </c>
    </row>
    <row r="22" spans="6:31" x14ac:dyDescent="0.2">
      <c r="N22">
        <v>3</v>
      </c>
      <c r="O22">
        <f>O21+R22</f>
        <v>65</v>
      </c>
      <c r="P22">
        <f>P21+R22</f>
        <v>53</v>
      </c>
      <c r="Q22">
        <f>Q21+R22</f>
        <v>38</v>
      </c>
      <c r="R22">
        <f>S21</f>
        <v>20</v>
      </c>
      <c r="S22" s="9">
        <v>0</v>
      </c>
      <c r="T22" s="10">
        <v>24</v>
      </c>
      <c r="U22">
        <f>T22+U23</f>
        <v>46</v>
      </c>
      <c r="V22">
        <f>U22+V24</f>
        <v>68</v>
      </c>
      <c r="W22">
        <f>V22+W25</f>
        <v>85</v>
      </c>
      <c r="X22">
        <f>W22+X26</f>
        <v>101</v>
      </c>
      <c r="Y22">
        <f>X22+Y27</f>
        <v>115</v>
      </c>
      <c r="Z22">
        <f>Y22+Z28</f>
        <v>128</v>
      </c>
      <c r="AA22">
        <f>Z22+AA29</f>
        <v>147</v>
      </c>
      <c r="AB22">
        <f>AA22+AB30</f>
        <v>165</v>
      </c>
      <c r="AC22">
        <f>AB22+AC31</f>
        <v>185</v>
      </c>
      <c r="AE22" t="str">
        <f t="shared" si="12"/>
        <v xml:space="preserve"> {65, 53, 38, 20, 0, 24, 46, 68, 85, 101, 115, 128, 147, 165, 185}, // 3</v>
      </c>
    </row>
    <row r="23" spans="6:31" x14ac:dyDescent="0.2">
      <c r="N23">
        <v>4</v>
      </c>
      <c r="O23">
        <f>O22+S23</f>
        <v>89</v>
      </c>
      <c r="P23">
        <f>P22+S23</f>
        <v>77</v>
      </c>
      <c r="Q23" s="11">
        <f>T20</f>
        <v>26</v>
      </c>
      <c r="R23">
        <f>R22+S23</f>
        <v>44</v>
      </c>
      <c r="S23">
        <f>T22</f>
        <v>24</v>
      </c>
      <c r="T23" s="9">
        <v>0</v>
      </c>
      <c r="U23" s="10">
        <v>22</v>
      </c>
      <c r="V23" s="11">
        <v>16</v>
      </c>
      <c r="W23">
        <f>V23+W25</f>
        <v>33</v>
      </c>
      <c r="X23">
        <f>W23+X26</f>
        <v>49</v>
      </c>
      <c r="Y23">
        <f>X23+Y27</f>
        <v>63</v>
      </c>
      <c r="Z23">
        <f>Y23+Z28</f>
        <v>76</v>
      </c>
      <c r="AA23">
        <f>Z23+AA29</f>
        <v>95</v>
      </c>
      <c r="AB23">
        <f>AA23+AB30</f>
        <v>113</v>
      </c>
      <c r="AC23">
        <f>AB23+AC31</f>
        <v>133</v>
      </c>
      <c r="AE23" t="str">
        <f t="shared" si="12"/>
        <v xml:space="preserve"> {89, 77, 26, 44, 24, 0, 22, 16, 33, 49, 63, 76, 95, 113, 133}, // 4</v>
      </c>
    </row>
    <row r="24" spans="6:31" x14ac:dyDescent="0.2">
      <c r="N24">
        <v>5</v>
      </c>
      <c r="O24">
        <f>O23+T24</f>
        <v>111</v>
      </c>
      <c r="P24">
        <f>P23+T24</f>
        <v>99</v>
      </c>
      <c r="Q24">
        <f>Q23+T24</f>
        <v>48</v>
      </c>
      <c r="R24">
        <f>R23+T24</f>
        <v>66</v>
      </c>
      <c r="S24">
        <f>S23+T24</f>
        <v>46</v>
      </c>
      <c r="T24">
        <f>U23</f>
        <v>22</v>
      </c>
      <c r="U24" s="9">
        <v>0</v>
      </c>
      <c r="V24" s="10">
        <v>22</v>
      </c>
      <c r="W24">
        <f>V24+W25</f>
        <v>39</v>
      </c>
      <c r="X24">
        <f>W24+X26</f>
        <v>55</v>
      </c>
      <c r="Y24">
        <f>X24+Y27</f>
        <v>69</v>
      </c>
      <c r="Z24">
        <f>Y24+Z28</f>
        <v>82</v>
      </c>
      <c r="AA24">
        <f>Z24+AA29</f>
        <v>101</v>
      </c>
      <c r="AB24">
        <f>AA24+AB30</f>
        <v>119</v>
      </c>
      <c r="AC24">
        <f>AB24+AC31</f>
        <v>139</v>
      </c>
      <c r="AE24" t="str">
        <f t="shared" si="12"/>
        <v xml:space="preserve"> {111, 99, 48, 66, 46, 22, 0, 22, 39, 55, 69, 82, 101, 119, 139}, // 5</v>
      </c>
    </row>
    <row r="25" spans="6:31" x14ac:dyDescent="0.2">
      <c r="N25">
        <v>6</v>
      </c>
      <c r="O25">
        <f>O24+U25</f>
        <v>133</v>
      </c>
      <c r="P25">
        <f>P24+U25</f>
        <v>121</v>
      </c>
      <c r="Q25">
        <f>Q24+U25</f>
        <v>70</v>
      </c>
      <c r="R25">
        <f>R24+U25</f>
        <v>88</v>
      </c>
      <c r="S25">
        <f>S24+U25</f>
        <v>68</v>
      </c>
      <c r="T25" s="11">
        <f>V23</f>
        <v>16</v>
      </c>
      <c r="U25">
        <f>V24</f>
        <v>22</v>
      </c>
      <c r="V25" s="9">
        <v>0</v>
      </c>
      <c r="W25" s="10">
        <v>17</v>
      </c>
      <c r="X25">
        <f>W25+X26</f>
        <v>33</v>
      </c>
      <c r="Y25">
        <f>X25+Y27</f>
        <v>47</v>
      </c>
      <c r="Z25">
        <f>Y25+Z28</f>
        <v>60</v>
      </c>
      <c r="AA25">
        <f>Z25+AA29</f>
        <v>79</v>
      </c>
      <c r="AB25">
        <f>AA25+AB30</f>
        <v>97</v>
      </c>
      <c r="AC25">
        <f>AB25+AC31</f>
        <v>117</v>
      </c>
      <c r="AE25" t="str">
        <f t="shared" si="12"/>
        <v xml:space="preserve"> {133, 121, 70, 88, 68, 16, 22, 0, 17, 33, 47, 60, 79, 97, 117}, // 6</v>
      </c>
    </row>
    <row r="26" spans="6:31" x14ac:dyDescent="0.2">
      <c r="N26">
        <v>7</v>
      </c>
      <c r="O26">
        <f>O25+V26</f>
        <v>150</v>
      </c>
      <c r="P26">
        <f>P25+V26</f>
        <v>138</v>
      </c>
      <c r="Q26">
        <f>Q25+V26</f>
        <v>87</v>
      </c>
      <c r="R26">
        <f>R25+V26</f>
        <v>105</v>
      </c>
      <c r="S26">
        <f>S25+V26</f>
        <v>85</v>
      </c>
      <c r="T26">
        <f>T25+V26</f>
        <v>33</v>
      </c>
      <c r="U26">
        <f>U25+V26</f>
        <v>39</v>
      </c>
      <c r="V26">
        <f>W25</f>
        <v>17</v>
      </c>
      <c r="W26" s="9">
        <v>0</v>
      </c>
      <c r="X26" s="10">
        <v>16</v>
      </c>
      <c r="Y26" s="11">
        <v>14</v>
      </c>
      <c r="Z26">
        <f>Y26+Z28</f>
        <v>27</v>
      </c>
      <c r="AA26">
        <f>Z26+AA29</f>
        <v>46</v>
      </c>
      <c r="AB26">
        <f>AA26+AB30</f>
        <v>64</v>
      </c>
      <c r="AC26">
        <f>AB26+AC31</f>
        <v>84</v>
      </c>
      <c r="AE26" t="str">
        <f t="shared" si="12"/>
        <v xml:space="preserve"> {150, 138, 87, 105, 85, 33, 39, 17, 0, 16, 14, 27, 46, 64, 84}, // 7</v>
      </c>
    </row>
    <row r="27" spans="6:31" x14ac:dyDescent="0.2">
      <c r="N27">
        <v>8</v>
      </c>
      <c r="O27">
        <f>O26+W27</f>
        <v>166</v>
      </c>
      <c r="P27">
        <f>P26+W27</f>
        <v>154</v>
      </c>
      <c r="Q27">
        <f>Q26+W27</f>
        <v>103</v>
      </c>
      <c r="R27">
        <f>R26+W27</f>
        <v>121</v>
      </c>
      <c r="S27">
        <f>S26+W27</f>
        <v>101</v>
      </c>
      <c r="T27">
        <f>T26+W27</f>
        <v>49</v>
      </c>
      <c r="U27">
        <f>U26+W27</f>
        <v>55</v>
      </c>
      <c r="V27">
        <f>V26+W27</f>
        <v>33</v>
      </c>
      <c r="W27">
        <f>X26</f>
        <v>16</v>
      </c>
      <c r="X27" s="9">
        <v>0</v>
      </c>
      <c r="Y27" s="10">
        <v>14</v>
      </c>
      <c r="Z27">
        <f>Y27+Z28</f>
        <v>27</v>
      </c>
      <c r="AA27">
        <f>Z27+AA29</f>
        <v>46</v>
      </c>
      <c r="AB27">
        <f>AA27+AB30</f>
        <v>64</v>
      </c>
      <c r="AC27">
        <f>AB27+AC31</f>
        <v>84</v>
      </c>
      <c r="AE27" t="str">
        <f t="shared" si="12"/>
        <v xml:space="preserve"> {166, 154, 103, 121, 101, 49, 55, 33, 16, 0, 14, 27, 46, 64, 84}, // 8</v>
      </c>
    </row>
    <row r="28" spans="6:31" x14ac:dyDescent="0.2">
      <c r="N28">
        <v>9</v>
      </c>
      <c r="O28">
        <f>O27+X28</f>
        <v>180</v>
      </c>
      <c r="P28">
        <f>P27+X28</f>
        <v>168</v>
      </c>
      <c r="Q28">
        <f>Q27+X28</f>
        <v>117</v>
      </c>
      <c r="R28">
        <f>R27+X28</f>
        <v>135</v>
      </c>
      <c r="S28">
        <f>S27+X28</f>
        <v>115</v>
      </c>
      <c r="T28">
        <f>T27+X28</f>
        <v>63</v>
      </c>
      <c r="U28">
        <f>U27+X28</f>
        <v>69</v>
      </c>
      <c r="V28">
        <f>V27+X28</f>
        <v>47</v>
      </c>
      <c r="W28" s="11">
        <f>Y26</f>
        <v>14</v>
      </c>
      <c r="X28">
        <f>Y27</f>
        <v>14</v>
      </c>
      <c r="Y28" s="9">
        <v>0</v>
      </c>
      <c r="Z28" s="10">
        <v>13</v>
      </c>
      <c r="AA28">
        <f>Z28+AA29</f>
        <v>32</v>
      </c>
      <c r="AB28">
        <f>AA28+AB30</f>
        <v>50</v>
      </c>
      <c r="AC28">
        <f>AB28+AC31</f>
        <v>70</v>
      </c>
      <c r="AE28" t="str">
        <f t="shared" si="12"/>
        <v xml:space="preserve"> {180, 168, 117, 135, 115, 63, 69, 47, 14, 14, 0, 13, 32, 50, 70}, // 9</v>
      </c>
    </row>
    <row r="29" spans="6:31" x14ac:dyDescent="0.2">
      <c r="N29">
        <v>10</v>
      </c>
      <c r="O29">
        <f>O28+Y29</f>
        <v>193</v>
      </c>
      <c r="P29">
        <f>P28+Y29</f>
        <v>181</v>
      </c>
      <c r="Q29">
        <f>Q28+Y29</f>
        <v>130</v>
      </c>
      <c r="R29">
        <f>R28+Y29</f>
        <v>148</v>
      </c>
      <c r="S29">
        <f>S28+Y29</f>
        <v>128</v>
      </c>
      <c r="T29">
        <f>T28+Y29</f>
        <v>76</v>
      </c>
      <c r="U29">
        <f>U28+Y29</f>
        <v>82</v>
      </c>
      <c r="V29">
        <f>V28+Y29</f>
        <v>60</v>
      </c>
      <c r="W29">
        <f>W28+Y29</f>
        <v>27</v>
      </c>
      <c r="X29">
        <f>X28+Y29</f>
        <v>27</v>
      </c>
      <c r="Y29">
        <f>Z28</f>
        <v>13</v>
      </c>
      <c r="Z29" s="9">
        <v>0</v>
      </c>
      <c r="AA29" s="10">
        <v>19</v>
      </c>
      <c r="AB29" s="11">
        <v>16</v>
      </c>
      <c r="AC29">
        <f>AB29+AC31</f>
        <v>36</v>
      </c>
      <c r="AE29" t="str">
        <f t="shared" si="12"/>
        <v xml:space="preserve"> {193, 181, 130, 148, 128, 76, 82, 60, 27, 27, 13, 0, 19, 16, 36}, // 10</v>
      </c>
    </row>
    <row r="30" spans="6:31" x14ac:dyDescent="0.2">
      <c r="F30">
        <v>1</v>
      </c>
      <c r="G30">
        <v>8</v>
      </c>
      <c r="N30">
        <v>11</v>
      </c>
      <c r="O30">
        <f>O29+Z30</f>
        <v>212</v>
      </c>
      <c r="P30">
        <f>P29+Z30</f>
        <v>200</v>
      </c>
      <c r="Q30">
        <f>Q29+Z30</f>
        <v>149</v>
      </c>
      <c r="R30">
        <f>R29+Z30</f>
        <v>167</v>
      </c>
      <c r="S30">
        <f>S29+Z30</f>
        <v>147</v>
      </c>
      <c r="T30">
        <f>T29+Z30</f>
        <v>95</v>
      </c>
      <c r="U30">
        <f>U29+Z30</f>
        <v>101</v>
      </c>
      <c r="V30">
        <f>V29+Z30</f>
        <v>79</v>
      </c>
      <c r="W30">
        <f>W29+Z30</f>
        <v>46</v>
      </c>
      <c r="X30">
        <f>X29+Z30</f>
        <v>46</v>
      </c>
      <c r="Y30">
        <f>Y29+Z30</f>
        <v>32</v>
      </c>
      <c r="Z30">
        <f>AA29</f>
        <v>19</v>
      </c>
      <c r="AA30" s="9">
        <v>0</v>
      </c>
      <c r="AB30" s="10">
        <v>18</v>
      </c>
      <c r="AC30">
        <f>AB30+AC31</f>
        <v>38</v>
      </c>
      <c r="AE30" t="str">
        <f t="shared" si="12"/>
        <v xml:space="preserve"> {212, 200, 149, 167, 147, 95, 101, 79, 46, 46, 32, 19, 0, 18, 38}, // 11</v>
      </c>
    </row>
    <row r="31" spans="6:31" x14ac:dyDescent="0.2">
      <c r="N31">
        <v>12</v>
      </c>
      <c r="O31">
        <f>O30+AA31</f>
        <v>230</v>
      </c>
      <c r="P31">
        <f>P30+AA31</f>
        <v>218</v>
      </c>
      <c r="Q31">
        <f>Q30+AA31</f>
        <v>167</v>
      </c>
      <c r="R31">
        <f>R30+AA31</f>
        <v>185</v>
      </c>
      <c r="S31">
        <f>S30+AA31</f>
        <v>165</v>
      </c>
      <c r="T31">
        <f>T30+AA31</f>
        <v>113</v>
      </c>
      <c r="U31">
        <f>U30+AA31</f>
        <v>119</v>
      </c>
      <c r="V31">
        <f>V30+AA31</f>
        <v>97</v>
      </c>
      <c r="W31">
        <f>W30+AA31</f>
        <v>64</v>
      </c>
      <c r="X31">
        <f>X30+AA31</f>
        <v>64</v>
      </c>
      <c r="Y31">
        <f>Y30+AA31</f>
        <v>50</v>
      </c>
      <c r="Z31" s="11">
        <f>AB29</f>
        <v>16</v>
      </c>
      <c r="AA31">
        <f>AB30</f>
        <v>18</v>
      </c>
      <c r="AB31" s="9">
        <v>0</v>
      </c>
      <c r="AC31" s="10">
        <v>20</v>
      </c>
      <c r="AE31" t="str">
        <f t="shared" si="12"/>
        <v xml:space="preserve"> {230, 218, 167, 185, 165, 113, 119, 97, 64, 64, 50, 16, 18, 0, 20}, // 12</v>
      </c>
    </row>
    <row r="32" spans="6:31" x14ac:dyDescent="0.2">
      <c r="N32">
        <v>13</v>
      </c>
      <c r="O32">
        <f>O31+AB32</f>
        <v>250</v>
      </c>
      <c r="P32">
        <f>P31+AB32</f>
        <v>238</v>
      </c>
      <c r="Q32">
        <f>Q31+AB32</f>
        <v>187</v>
      </c>
      <c r="R32">
        <f>R31+AB32</f>
        <v>205</v>
      </c>
      <c r="S32">
        <f>S31+AB32</f>
        <v>185</v>
      </c>
      <c r="T32">
        <f>T31+AB32</f>
        <v>133</v>
      </c>
      <c r="U32">
        <f>U31+AB32</f>
        <v>139</v>
      </c>
      <c r="V32">
        <f>V31+AB32</f>
        <v>117</v>
      </c>
      <c r="W32">
        <f>W31+AB32</f>
        <v>84</v>
      </c>
      <c r="X32">
        <f>X31+AB32</f>
        <v>84</v>
      </c>
      <c r="Y32">
        <f>Y31+AB32</f>
        <v>70</v>
      </c>
      <c r="Z32">
        <f>Z31+AB32</f>
        <v>36</v>
      </c>
      <c r="AA32">
        <f>AA31+AB32</f>
        <v>38</v>
      </c>
      <c r="AB32">
        <f>AC31</f>
        <v>20</v>
      </c>
      <c r="AC32" s="9">
        <v>0</v>
      </c>
      <c r="AE32" t="str">
        <f t="shared" si="12"/>
        <v xml:space="preserve"> {250, 238, 187, 205, 185, 133, 139, 117, 84, 84, 70, 36, 38, 20, 0}, // 13</v>
      </c>
    </row>
    <row r="35" spans="4:48" x14ac:dyDescent="0.2">
      <c r="D35" s="3"/>
    </row>
    <row r="37" spans="4:48" x14ac:dyDescent="0.2">
      <c r="O37" t="s">
        <v>25</v>
      </c>
      <c r="P37">
        <v>0</v>
      </c>
      <c r="Q37">
        <v>1</v>
      </c>
      <c r="R37">
        <v>2</v>
      </c>
      <c r="S37">
        <v>3</v>
      </c>
      <c r="T37">
        <v>4</v>
      </c>
      <c r="U37">
        <v>5</v>
      </c>
      <c r="V37">
        <v>6</v>
      </c>
      <c r="W37">
        <v>7</v>
      </c>
      <c r="X37">
        <v>8</v>
      </c>
      <c r="Y37">
        <v>9</v>
      </c>
      <c r="Z37">
        <v>10</v>
      </c>
      <c r="AA37">
        <v>11</v>
      </c>
      <c r="AB37">
        <v>12</v>
      </c>
      <c r="AC37">
        <v>13</v>
      </c>
      <c r="AF37" t="s">
        <v>25</v>
      </c>
      <c r="AG37">
        <v>0</v>
      </c>
      <c r="AH37">
        <v>1</v>
      </c>
      <c r="AI37">
        <v>2</v>
      </c>
      <c r="AJ37">
        <v>3</v>
      </c>
      <c r="AK37">
        <v>4</v>
      </c>
      <c r="AL37">
        <v>5</v>
      </c>
      <c r="AM37">
        <v>6</v>
      </c>
      <c r="AN37">
        <v>7</v>
      </c>
      <c r="AO37">
        <v>8</v>
      </c>
      <c r="AP37">
        <v>9</v>
      </c>
      <c r="AQ37">
        <v>10</v>
      </c>
      <c r="AR37">
        <v>11</v>
      </c>
      <c r="AS37">
        <v>12</v>
      </c>
      <c r="AT37">
        <v>13</v>
      </c>
    </row>
    <row r="38" spans="4:48" x14ac:dyDescent="0.2">
      <c r="N38" t="s">
        <v>25</v>
      </c>
      <c r="O38" s="9">
        <f>AF38*$AV$38</f>
        <v>0</v>
      </c>
      <c r="P38">
        <f>AG38*$AV$38</f>
        <v>18</v>
      </c>
      <c r="Q38">
        <f t="shared" ref="Q38:Q40" si="13">AH38*$AV$38</f>
        <v>36</v>
      </c>
      <c r="R38">
        <f t="shared" ref="R38:R41" si="14">AI38*$AV$38</f>
        <v>54</v>
      </c>
      <c r="S38">
        <f t="shared" ref="S38:S42" si="15">AJ38*$AV$38</f>
        <v>72</v>
      </c>
      <c r="T38">
        <f t="shared" ref="T38:T43" si="16">AK38*$AV$38</f>
        <v>90</v>
      </c>
      <c r="U38">
        <f t="shared" ref="U38:U44" si="17">AL38*$AV$38</f>
        <v>108</v>
      </c>
      <c r="V38">
        <f t="shared" ref="V38:V45" si="18">AM38*$AV$38</f>
        <v>126</v>
      </c>
      <c r="W38">
        <f t="shared" ref="W38:W46" si="19">AN38*$AV$38</f>
        <v>126</v>
      </c>
      <c r="X38">
        <f t="shared" ref="X38:X47" si="20">AO38*$AV$38</f>
        <v>108</v>
      </c>
      <c r="Y38">
        <f t="shared" ref="Y38:Y48" si="21">AP38*$AV$38</f>
        <v>90</v>
      </c>
      <c r="Z38">
        <f t="shared" ref="Z38:Z49" si="22">AQ38*$AV$38</f>
        <v>72</v>
      </c>
      <c r="AA38">
        <f t="shared" ref="AA38:AA50" si="23">AR38*$AV$38</f>
        <v>54</v>
      </c>
      <c r="AB38">
        <f t="shared" ref="AB38:AB51" si="24">AS38*$AV$38</f>
        <v>36</v>
      </c>
      <c r="AC38">
        <f t="shared" ref="AC38:AC52" si="25">AT38*$AV$38</f>
        <v>18</v>
      </c>
      <c r="AE38" t="s">
        <v>25</v>
      </c>
      <c r="AF38" s="9">
        <v>0</v>
      </c>
      <c r="AG38">
        <v>1</v>
      </c>
      <c r="AH38">
        <v>2</v>
      </c>
      <c r="AI38">
        <v>3</v>
      </c>
      <c r="AJ38">
        <v>4</v>
      </c>
      <c r="AK38">
        <v>5</v>
      </c>
      <c r="AL38">
        <v>6</v>
      </c>
      <c r="AM38">
        <v>7</v>
      </c>
      <c r="AN38">
        <v>7</v>
      </c>
      <c r="AO38">
        <v>6</v>
      </c>
      <c r="AP38">
        <v>5</v>
      </c>
      <c r="AQ38">
        <v>4</v>
      </c>
      <c r="AR38">
        <v>3</v>
      </c>
      <c r="AS38">
        <v>2</v>
      </c>
      <c r="AT38">
        <v>1</v>
      </c>
      <c r="AV38">
        <v>18</v>
      </c>
    </row>
    <row r="39" spans="4:48" x14ac:dyDescent="0.2">
      <c r="N39">
        <v>0</v>
      </c>
      <c r="P39" s="9">
        <v>0</v>
      </c>
      <c r="Q39">
        <f t="shared" si="13"/>
        <v>18</v>
      </c>
      <c r="R39">
        <f t="shared" si="14"/>
        <v>36</v>
      </c>
      <c r="S39">
        <f t="shared" si="15"/>
        <v>54</v>
      </c>
      <c r="T39">
        <f t="shared" si="16"/>
        <v>72</v>
      </c>
      <c r="U39">
        <f t="shared" si="17"/>
        <v>90</v>
      </c>
      <c r="V39">
        <f t="shared" si="18"/>
        <v>108</v>
      </c>
      <c r="W39">
        <f t="shared" si="19"/>
        <v>108</v>
      </c>
      <c r="X39">
        <f t="shared" si="20"/>
        <v>126</v>
      </c>
      <c r="Y39">
        <f t="shared" si="21"/>
        <v>108</v>
      </c>
      <c r="Z39">
        <f t="shared" si="22"/>
        <v>90</v>
      </c>
      <c r="AA39">
        <f t="shared" si="23"/>
        <v>72</v>
      </c>
      <c r="AB39">
        <f t="shared" si="24"/>
        <v>54</v>
      </c>
      <c r="AC39">
        <f t="shared" si="25"/>
        <v>36</v>
      </c>
      <c r="AE39">
        <v>0</v>
      </c>
      <c r="AF39">
        <v>0</v>
      </c>
      <c r="AG39" s="9">
        <v>0</v>
      </c>
      <c r="AH39">
        <v>1</v>
      </c>
      <c r="AI39">
        <v>2</v>
      </c>
      <c r="AJ39">
        <v>3</v>
      </c>
      <c r="AK39">
        <v>4</v>
      </c>
      <c r="AL39">
        <v>5</v>
      </c>
      <c r="AM39">
        <v>6</v>
      </c>
      <c r="AN39">
        <v>6</v>
      </c>
      <c r="AO39">
        <v>7</v>
      </c>
      <c r="AP39">
        <v>6</v>
      </c>
      <c r="AQ39">
        <v>5</v>
      </c>
      <c r="AR39">
        <v>4</v>
      </c>
      <c r="AS39">
        <v>3</v>
      </c>
      <c r="AT39">
        <v>2</v>
      </c>
    </row>
    <row r="40" spans="4:48" x14ac:dyDescent="0.2">
      <c r="F40">
        <v>2</v>
      </c>
      <c r="G40">
        <v>9</v>
      </c>
      <c r="N40">
        <v>1</v>
      </c>
      <c r="Q40" s="9">
        <f t="shared" si="13"/>
        <v>0</v>
      </c>
      <c r="R40">
        <f t="shared" si="14"/>
        <v>18</v>
      </c>
      <c r="S40">
        <f t="shared" si="15"/>
        <v>36</v>
      </c>
      <c r="T40">
        <f t="shared" si="16"/>
        <v>54</v>
      </c>
      <c r="U40">
        <f t="shared" si="17"/>
        <v>72</v>
      </c>
      <c r="V40">
        <f t="shared" si="18"/>
        <v>90</v>
      </c>
      <c r="W40">
        <f t="shared" si="19"/>
        <v>108</v>
      </c>
      <c r="X40">
        <f t="shared" si="20"/>
        <v>126</v>
      </c>
      <c r="Y40">
        <f t="shared" si="21"/>
        <v>126</v>
      </c>
      <c r="Z40">
        <f t="shared" si="22"/>
        <v>108</v>
      </c>
      <c r="AA40">
        <f t="shared" si="23"/>
        <v>90</v>
      </c>
      <c r="AB40">
        <f t="shared" si="24"/>
        <v>72</v>
      </c>
      <c r="AC40">
        <f t="shared" si="25"/>
        <v>54</v>
      </c>
      <c r="AE40">
        <v>1</v>
      </c>
      <c r="AF40">
        <v>0</v>
      </c>
      <c r="AG40">
        <v>0</v>
      </c>
      <c r="AH40" s="9">
        <v>0</v>
      </c>
      <c r="AI40">
        <v>1</v>
      </c>
      <c r="AJ40">
        <v>2</v>
      </c>
      <c r="AK40">
        <v>3</v>
      </c>
      <c r="AL40">
        <v>4</v>
      </c>
      <c r="AM40">
        <v>5</v>
      </c>
      <c r="AN40">
        <v>6</v>
      </c>
      <c r="AO40">
        <v>7</v>
      </c>
      <c r="AP40">
        <v>7</v>
      </c>
      <c r="AQ40">
        <v>6</v>
      </c>
      <c r="AR40">
        <v>5</v>
      </c>
      <c r="AS40">
        <v>4</v>
      </c>
      <c r="AT40">
        <v>3</v>
      </c>
    </row>
    <row r="41" spans="4:48" x14ac:dyDescent="0.2">
      <c r="N41">
        <v>2</v>
      </c>
      <c r="R41" s="9">
        <f t="shared" si="14"/>
        <v>0</v>
      </c>
      <c r="S41">
        <f t="shared" si="15"/>
        <v>18</v>
      </c>
      <c r="T41">
        <f t="shared" si="16"/>
        <v>36</v>
      </c>
      <c r="U41">
        <f t="shared" si="17"/>
        <v>54</v>
      </c>
      <c r="V41">
        <f t="shared" si="18"/>
        <v>72</v>
      </c>
      <c r="W41">
        <f t="shared" si="19"/>
        <v>90</v>
      </c>
      <c r="X41">
        <f t="shared" si="20"/>
        <v>108</v>
      </c>
      <c r="Y41">
        <f t="shared" si="21"/>
        <v>126</v>
      </c>
      <c r="Z41">
        <f t="shared" si="22"/>
        <v>126</v>
      </c>
      <c r="AA41">
        <f t="shared" si="23"/>
        <v>108</v>
      </c>
      <c r="AB41">
        <f t="shared" si="24"/>
        <v>90</v>
      </c>
      <c r="AC41">
        <f t="shared" si="25"/>
        <v>72</v>
      </c>
      <c r="AE41">
        <v>2</v>
      </c>
      <c r="AF41">
        <v>0</v>
      </c>
      <c r="AG41">
        <v>0</v>
      </c>
      <c r="AH41">
        <v>0</v>
      </c>
      <c r="AI41" s="9">
        <v>0</v>
      </c>
      <c r="AJ41">
        <v>1</v>
      </c>
      <c r="AK41">
        <v>2</v>
      </c>
      <c r="AL41">
        <v>3</v>
      </c>
      <c r="AM41">
        <v>4</v>
      </c>
      <c r="AN41">
        <v>5</v>
      </c>
      <c r="AO41">
        <v>6</v>
      </c>
      <c r="AP41">
        <v>7</v>
      </c>
      <c r="AQ41">
        <v>7</v>
      </c>
      <c r="AR41">
        <v>6</v>
      </c>
      <c r="AS41">
        <v>5</v>
      </c>
      <c r="AT41">
        <v>4</v>
      </c>
    </row>
    <row r="42" spans="4:48" x14ac:dyDescent="0.2">
      <c r="N42">
        <v>3</v>
      </c>
      <c r="S42" s="9">
        <f t="shared" si="15"/>
        <v>0</v>
      </c>
      <c r="T42">
        <f t="shared" si="16"/>
        <v>18</v>
      </c>
      <c r="U42">
        <f t="shared" si="17"/>
        <v>36</v>
      </c>
      <c r="V42">
        <f t="shared" si="18"/>
        <v>54</v>
      </c>
      <c r="W42">
        <f t="shared" si="19"/>
        <v>72</v>
      </c>
      <c r="X42">
        <f t="shared" si="20"/>
        <v>90</v>
      </c>
      <c r="Y42">
        <f t="shared" si="21"/>
        <v>108</v>
      </c>
      <c r="Z42">
        <f t="shared" si="22"/>
        <v>126</v>
      </c>
      <c r="AA42">
        <f t="shared" si="23"/>
        <v>126</v>
      </c>
      <c r="AB42">
        <f t="shared" si="24"/>
        <v>108</v>
      </c>
      <c r="AC42">
        <f t="shared" si="25"/>
        <v>90</v>
      </c>
      <c r="AE42">
        <v>3</v>
      </c>
      <c r="AF42">
        <v>0</v>
      </c>
      <c r="AG42">
        <v>0</v>
      </c>
      <c r="AH42">
        <v>0</v>
      </c>
      <c r="AI42">
        <v>0</v>
      </c>
      <c r="AJ42" s="9">
        <v>0</v>
      </c>
      <c r="AK42">
        <v>1</v>
      </c>
      <c r="AL42">
        <v>2</v>
      </c>
      <c r="AM42">
        <v>3</v>
      </c>
      <c r="AN42">
        <v>4</v>
      </c>
      <c r="AO42">
        <v>5</v>
      </c>
      <c r="AP42">
        <v>6</v>
      </c>
      <c r="AQ42">
        <v>7</v>
      </c>
      <c r="AR42">
        <v>7</v>
      </c>
      <c r="AS42">
        <v>6</v>
      </c>
      <c r="AT42">
        <v>5</v>
      </c>
    </row>
    <row r="43" spans="4:48" x14ac:dyDescent="0.2">
      <c r="N43">
        <v>4</v>
      </c>
      <c r="T43" s="9">
        <f t="shared" si="16"/>
        <v>0</v>
      </c>
      <c r="U43">
        <f t="shared" si="17"/>
        <v>18</v>
      </c>
      <c r="V43">
        <f t="shared" si="18"/>
        <v>36</v>
      </c>
      <c r="W43">
        <f t="shared" si="19"/>
        <v>54</v>
      </c>
      <c r="X43">
        <f t="shared" si="20"/>
        <v>72</v>
      </c>
      <c r="Y43">
        <f t="shared" si="21"/>
        <v>90</v>
      </c>
      <c r="Z43">
        <f t="shared" si="22"/>
        <v>108</v>
      </c>
      <c r="AA43">
        <f t="shared" si="23"/>
        <v>126</v>
      </c>
      <c r="AB43">
        <f t="shared" si="24"/>
        <v>126</v>
      </c>
      <c r="AC43">
        <f t="shared" si="25"/>
        <v>108</v>
      </c>
      <c r="AE43">
        <v>4</v>
      </c>
      <c r="AF43">
        <v>0</v>
      </c>
      <c r="AG43">
        <v>0</v>
      </c>
      <c r="AH43">
        <v>0</v>
      </c>
      <c r="AI43">
        <v>0</v>
      </c>
      <c r="AJ43">
        <v>0</v>
      </c>
      <c r="AK43" s="9">
        <v>0</v>
      </c>
      <c r="AL43">
        <v>1</v>
      </c>
      <c r="AM43">
        <v>2</v>
      </c>
      <c r="AN43">
        <v>3</v>
      </c>
      <c r="AO43">
        <v>4</v>
      </c>
      <c r="AP43">
        <v>5</v>
      </c>
      <c r="AQ43">
        <v>6</v>
      </c>
      <c r="AR43">
        <v>7</v>
      </c>
      <c r="AS43">
        <v>7</v>
      </c>
      <c r="AT43">
        <v>6</v>
      </c>
    </row>
    <row r="44" spans="4:48" x14ac:dyDescent="0.2">
      <c r="N44">
        <v>5</v>
      </c>
      <c r="U44" s="9">
        <f t="shared" si="17"/>
        <v>0</v>
      </c>
      <c r="V44">
        <f t="shared" si="18"/>
        <v>18</v>
      </c>
      <c r="W44">
        <f t="shared" si="19"/>
        <v>36</v>
      </c>
      <c r="X44">
        <f t="shared" si="20"/>
        <v>54</v>
      </c>
      <c r="Y44">
        <f t="shared" si="21"/>
        <v>72</v>
      </c>
      <c r="Z44">
        <f t="shared" si="22"/>
        <v>90</v>
      </c>
      <c r="AA44">
        <f t="shared" si="23"/>
        <v>108</v>
      </c>
      <c r="AB44">
        <f t="shared" si="24"/>
        <v>126</v>
      </c>
      <c r="AC44">
        <f t="shared" si="25"/>
        <v>126</v>
      </c>
      <c r="AE44">
        <v>5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 s="9">
        <v>0</v>
      </c>
      <c r="AM44">
        <v>1</v>
      </c>
      <c r="AN44">
        <v>2</v>
      </c>
      <c r="AO44">
        <v>3</v>
      </c>
      <c r="AP44">
        <v>4</v>
      </c>
      <c r="AQ44">
        <v>5</v>
      </c>
      <c r="AR44">
        <v>6</v>
      </c>
      <c r="AS44">
        <v>7</v>
      </c>
      <c r="AT44">
        <v>7</v>
      </c>
    </row>
    <row r="45" spans="4:48" x14ac:dyDescent="0.2">
      <c r="N45">
        <v>6</v>
      </c>
      <c r="V45" s="9">
        <f t="shared" si="18"/>
        <v>0</v>
      </c>
      <c r="W45">
        <f t="shared" si="19"/>
        <v>18</v>
      </c>
      <c r="X45">
        <f t="shared" si="20"/>
        <v>36</v>
      </c>
      <c r="Y45">
        <f t="shared" si="21"/>
        <v>54</v>
      </c>
      <c r="Z45">
        <f t="shared" si="22"/>
        <v>72</v>
      </c>
      <c r="AA45">
        <f t="shared" si="23"/>
        <v>90</v>
      </c>
      <c r="AB45">
        <f t="shared" si="24"/>
        <v>108</v>
      </c>
      <c r="AC45">
        <f t="shared" si="25"/>
        <v>126</v>
      </c>
      <c r="AE45">
        <v>6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 s="9">
        <v>0</v>
      </c>
      <c r="AN45">
        <v>1</v>
      </c>
      <c r="AO45">
        <v>2</v>
      </c>
      <c r="AP45">
        <v>3</v>
      </c>
      <c r="AQ45">
        <v>4</v>
      </c>
      <c r="AR45">
        <v>5</v>
      </c>
      <c r="AS45">
        <v>6</v>
      </c>
      <c r="AT45">
        <v>7</v>
      </c>
    </row>
    <row r="46" spans="4:48" x14ac:dyDescent="0.2">
      <c r="N46">
        <v>7</v>
      </c>
      <c r="W46" s="9">
        <f t="shared" si="19"/>
        <v>0</v>
      </c>
      <c r="X46">
        <f t="shared" si="20"/>
        <v>18</v>
      </c>
      <c r="Y46">
        <f t="shared" si="21"/>
        <v>36</v>
      </c>
      <c r="Z46">
        <f t="shared" si="22"/>
        <v>54</v>
      </c>
      <c r="AA46">
        <f t="shared" si="23"/>
        <v>72</v>
      </c>
      <c r="AB46">
        <f t="shared" si="24"/>
        <v>90</v>
      </c>
      <c r="AC46">
        <f t="shared" si="25"/>
        <v>108</v>
      </c>
      <c r="AE46">
        <v>7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 s="9">
        <v>0</v>
      </c>
      <c r="AO46">
        <v>1</v>
      </c>
      <c r="AP46">
        <v>2</v>
      </c>
      <c r="AQ46">
        <v>3</v>
      </c>
      <c r="AR46">
        <v>4</v>
      </c>
      <c r="AS46">
        <v>5</v>
      </c>
      <c r="AT46">
        <v>6</v>
      </c>
    </row>
    <row r="47" spans="4:48" x14ac:dyDescent="0.2">
      <c r="N47">
        <v>8</v>
      </c>
      <c r="X47" s="9">
        <f t="shared" si="20"/>
        <v>0</v>
      </c>
      <c r="Y47">
        <f t="shared" si="21"/>
        <v>18</v>
      </c>
      <c r="Z47">
        <f t="shared" si="22"/>
        <v>36</v>
      </c>
      <c r="AA47">
        <f t="shared" si="23"/>
        <v>54</v>
      </c>
      <c r="AB47">
        <f t="shared" si="24"/>
        <v>72</v>
      </c>
      <c r="AC47">
        <f t="shared" si="25"/>
        <v>90</v>
      </c>
      <c r="AE47">
        <v>8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 s="9">
        <v>0</v>
      </c>
      <c r="AP47">
        <v>1</v>
      </c>
      <c r="AQ47">
        <v>2</v>
      </c>
      <c r="AR47">
        <v>3</v>
      </c>
      <c r="AS47">
        <v>4</v>
      </c>
      <c r="AT47">
        <v>5</v>
      </c>
    </row>
    <row r="48" spans="4:48" x14ac:dyDescent="0.2">
      <c r="N48">
        <v>9</v>
      </c>
      <c r="Y48" s="9">
        <f t="shared" si="21"/>
        <v>0</v>
      </c>
      <c r="Z48">
        <f t="shared" si="22"/>
        <v>18</v>
      </c>
      <c r="AA48">
        <f t="shared" si="23"/>
        <v>36</v>
      </c>
      <c r="AB48">
        <f t="shared" si="24"/>
        <v>54</v>
      </c>
      <c r="AC48">
        <f t="shared" si="25"/>
        <v>72</v>
      </c>
      <c r="AE48">
        <v>9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 s="9">
        <v>0</v>
      </c>
      <c r="AQ48">
        <v>1</v>
      </c>
      <c r="AR48">
        <v>2</v>
      </c>
      <c r="AS48">
        <v>3</v>
      </c>
      <c r="AT48">
        <v>4</v>
      </c>
    </row>
    <row r="49" spans="6:46" x14ac:dyDescent="0.2">
      <c r="F49">
        <v>3</v>
      </c>
      <c r="G49">
        <v>10</v>
      </c>
      <c r="N49">
        <v>10</v>
      </c>
      <c r="Z49" s="9">
        <f t="shared" si="22"/>
        <v>0</v>
      </c>
      <c r="AA49">
        <f t="shared" si="23"/>
        <v>18</v>
      </c>
      <c r="AB49">
        <f t="shared" si="24"/>
        <v>36</v>
      </c>
      <c r="AC49">
        <f t="shared" si="25"/>
        <v>54</v>
      </c>
      <c r="AE49">
        <v>10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 s="9">
        <v>0</v>
      </c>
      <c r="AR49">
        <v>1</v>
      </c>
      <c r="AS49">
        <v>2</v>
      </c>
      <c r="AT49">
        <v>3</v>
      </c>
    </row>
    <row r="50" spans="6:46" x14ac:dyDescent="0.2">
      <c r="N50">
        <v>11</v>
      </c>
      <c r="AA50" s="9">
        <f t="shared" si="23"/>
        <v>0</v>
      </c>
      <c r="AB50">
        <f t="shared" si="24"/>
        <v>18</v>
      </c>
      <c r="AC50">
        <f t="shared" si="25"/>
        <v>36</v>
      </c>
      <c r="AE50">
        <v>11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 s="9">
        <v>0</v>
      </c>
      <c r="AS50">
        <v>1</v>
      </c>
      <c r="AT50">
        <v>2</v>
      </c>
    </row>
    <row r="51" spans="6:46" x14ac:dyDescent="0.2">
      <c r="N51">
        <v>12</v>
      </c>
      <c r="AB51" s="9">
        <f t="shared" si="24"/>
        <v>0</v>
      </c>
      <c r="AC51">
        <f t="shared" si="25"/>
        <v>18</v>
      </c>
      <c r="AE51">
        <v>12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 s="9">
        <v>0</v>
      </c>
      <c r="AT51">
        <v>1</v>
      </c>
    </row>
    <row r="52" spans="6:46" x14ac:dyDescent="0.2">
      <c r="N52">
        <v>13</v>
      </c>
      <c r="AC52" s="9">
        <f t="shared" si="25"/>
        <v>0</v>
      </c>
      <c r="AE52">
        <v>13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 s="9">
        <v>0</v>
      </c>
    </row>
    <row r="55" spans="6:46" x14ac:dyDescent="0.2">
      <c r="O55" t="s">
        <v>25</v>
      </c>
      <c r="P55">
        <v>0</v>
      </c>
      <c r="Q55">
        <v>1</v>
      </c>
      <c r="R55">
        <v>2</v>
      </c>
      <c r="S55">
        <v>3</v>
      </c>
      <c r="T55">
        <v>4</v>
      </c>
      <c r="U55">
        <v>5</v>
      </c>
      <c r="V55">
        <v>6</v>
      </c>
      <c r="W55">
        <v>7</v>
      </c>
      <c r="X55">
        <v>8</v>
      </c>
      <c r="Y55">
        <v>9</v>
      </c>
      <c r="Z55">
        <v>10</v>
      </c>
      <c r="AA55">
        <v>11</v>
      </c>
      <c r="AB55">
        <v>12</v>
      </c>
      <c r="AC55">
        <v>13</v>
      </c>
    </row>
    <row r="56" spans="6:46" x14ac:dyDescent="0.2">
      <c r="N56" t="s">
        <v>25</v>
      </c>
      <c r="O56" s="9" cm="1">
        <f t="array" ref="O56:AC70">TRANSPOSE(O38:AC52)</f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6:46" x14ac:dyDescent="0.2">
      <c r="N57">
        <v>0</v>
      </c>
      <c r="O57">
        <v>18</v>
      </c>
      <c r="P57" s="9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6:46" x14ac:dyDescent="0.2">
      <c r="N58">
        <v>1</v>
      </c>
      <c r="O58">
        <v>36</v>
      </c>
      <c r="P58">
        <v>18</v>
      </c>
      <c r="Q58" s="9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</row>
    <row r="59" spans="6:46" x14ac:dyDescent="0.2">
      <c r="F59">
        <v>4</v>
      </c>
      <c r="G59">
        <v>11</v>
      </c>
      <c r="N59">
        <v>2</v>
      </c>
      <c r="O59">
        <v>54</v>
      </c>
      <c r="P59">
        <v>36</v>
      </c>
      <c r="Q59">
        <v>18</v>
      </c>
      <c r="R59" s="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</row>
    <row r="60" spans="6:46" x14ac:dyDescent="0.2">
      <c r="N60">
        <v>3</v>
      </c>
      <c r="O60">
        <v>72</v>
      </c>
      <c r="P60">
        <v>54</v>
      </c>
      <c r="Q60">
        <v>36</v>
      </c>
      <c r="R60">
        <v>18</v>
      </c>
      <c r="S60" s="9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</row>
    <row r="61" spans="6:46" x14ac:dyDescent="0.2">
      <c r="N61">
        <v>4</v>
      </c>
      <c r="O61">
        <v>90</v>
      </c>
      <c r="P61">
        <v>72</v>
      </c>
      <c r="Q61">
        <v>54</v>
      </c>
      <c r="R61">
        <v>36</v>
      </c>
      <c r="S61">
        <v>18</v>
      </c>
      <c r="T61" s="9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6:46" x14ac:dyDescent="0.2">
      <c r="N62">
        <v>5</v>
      </c>
      <c r="O62">
        <v>108</v>
      </c>
      <c r="P62">
        <v>90</v>
      </c>
      <c r="Q62">
        <v>72</v>
      </c>
      <c r="R62">
        <v>54</v>
      </c>
      <c r="S62">
        <v>36</v>
      </c>
      <c r="T62">
        <v>18</v>
      </c>
      <c r="U62" s="9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6:46" x14ac:dyDescent="0.2">
      <c r="N63">
        <v>6</v>
      </c>
      <c r="O63">
        <v>126</v>
      </c>
      <c r="P63">
        <v>108</v>
      </c>
      <c r="Q63">
        <v>90</v>
      </c>
      <c r="R63">
        <v>72</v>
      </c>
      <c r="S63">
        <v>54</v>
      </c>
      <c r="T63">
        <v>36</v>
      </c>
      <c r="U63">
        <v>18</v>
      </c>
      <c r="V63" s="9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6:46" x14ac:dyDescent="0.2">
      <c r="N64">
        <v>7</v>
      </c>
      <c r="O64">
        <v>126</v>
      </c>
      <c r="P64">
        <v>108</v>
      </c>
      <c r="Q64">
        <v>108</v>
      </c>
      <c r="R64">
        <v>90</v>
      </c>
      <c r="S64">
        <v>72</v>
      </c>
      <c r="T64">
        <v>54</v>
      </c>
      <c r="U64">
        <v>36</v>
      </c>
      <c r="V64">
        <v>18</v>
      </c>
      <c r="W64" s="9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6:31" x14ac:dyDescent="0.2">
      <c r="N65">
        <v>8</v>
      </c>
      <c r="O65">
        <v>108</v>
      </c>
      <c r="P65">
        <v>126</v>
      </c>
      <c r="Q65">
        <v>126</v>
      </c>
      <c r="R65">
        <v>108</v>
      </c>
      <c r="S65">
        <v>90</v>
      </c>
      <c r="T65">
        <v>72</v>
      </c>
      <c r="U65">
        <v>54</v>
      </c>
      <c r="V65">
        <v>36</v>
      </c>
      <c r="W65">
        <v>18</v>
      </c>
      <c r="X65" s="9">
        <v>0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6:31" x14ac:dyDescent="0.2">
      <c r="N66">
        <v>9</v>
      </c>
      <c r="O66">
        <v>90</v>
      </c>
      <c r="P66">
        <v>108</v>
      </c>
      <c r="Q66">
        <v>126</v>
      </c>
      <c r="R66">
        <v>126</v>
      </c>
      <c r="S66">
        <v>108</v>
      </c>
      <c r="T66">
        <v>90</v>
      </c>
      <c r="U66">
        <v>72</v>
      </c>
      <c r="V66">
        <v>54</v>
      </c>
      <c r="W66">
        <v>36</v>
      </c>
      <c r="X66">
        <v>18</v>
      </c>
      <c r="Y66" s="9">
        <v>0</v>
      </c>
      <c r="Z66">
        <v>0</v>
      </c>
      <c r="AA66">
        <v>0</v>
      </c>
      <c r="AB66">
        <v>0</v>
      </c>
      <c r="AC66">
        <v>0</v>
      </c>
    </row>
    <row r="67" spans="6:31" x14ac:dyDescent="0.2">
      <c r="N67">
        <v>10</v>
      </c>
      <c r="O67">
        <v>72</v>
      </c>
      <c r="P67">
        <v>90</v>
      </c>
      <c r="Q67">
        <v>108</v>
      </c>
      <c r="R67">
        <v>126</v>
      </c>
      <c r="S67">
        <v>126</v>
      </c>
      <c r="T67">
        <v>108</v>
      </c>
      <c r="U67">
        <v>90</v>
      </c>
      <c r="V67">
        <v>72</v>
      </c>
      <c r="W67">
        <v>54</v>
      </c>
      <c r="X67">
        <v>36</v>
      </c>
      <c r="Y67">
        <v>18</v>
      </c>
      <c r="Z67" s="9">
        <v>0</v>
      </c>
      <c r="AA67">
        <v>0</v>
      </c>
      <c r="AB67">
        <v>0</v>
      </c>
      <c r="AC67">
        <v>0</v>
      </c>
    </row>
    <row r="68" spans="6:31" x14ac:dyDescent="0.2">
      <c r="N68">
        <v>11</v>
      </c>
      <c r="O68">
        <v>54</v>
      </c>
      <c r="P68">
        <v>72</v>
      </c>
      <c r="Q68">
        <v>90</v>
      </c>
      <c r="R68">
        <v>108</v>
      </c>
      <c r="S68">
        <v>126</v>
      </c>
      <c r="T68">
        <v>126</v>
      </c>
      <c r="U68">
        <v>108</v>
      </c>
      <c r="V68">
        <v>90</v>
      </c>
      <c r="W68">
        <v>72</v>
      </c>
      <c r="X68">
        <v>54</v>
      </c>
      <c r="Y68">
        <v>36</v>
      </c>
      <c r="Z68">
        <v>18</v>
      </c>
      <c r="AA68" s="9">
        <v>0</v>
      </c>
      <c r="AB68">
        <v>0</v>
      </c>
      <c r="AC68">
        <v>0</v>
      </c>
    </row>
    <row r="69" spans="6:31" x14ac:dyDescent="0.2">
      <c r="F69">
        <v>5</v>
      </c>
      <c r="G69">
        <v>12</v>
      </c>
      <c r="N69">
        <v>12</v>
      </c>
      <c r="O69">
        <v>36</v>
      </c>
      <c r="P69">
        <v>54</v>
      </c>
      <c r="Q69">
        <v>72</v>
      </c>
      <c r="R69">
        <v>90</v>
      </c>
      <c r="S69">
        <v>108</v>
      </c>
      <c r="T69">
        <v>126</v>
      </c>
      <c r="U69">
        <v>126</v>
      </c>
      <c r="V69">
        <v>108</v>
      </c>
      <c r="W69">
        <v>90</v>
      </c>
      <c r="X69">
        <v>72</v>
      </c>
      <c r="Y69">
        <v>54</v>
      </c>
      <c r="Z69">
        <v>36</v>
      </c>
      <c r="AA69">
        <v>18</v>
      </c>
      <c r="AB69" s="9">
        <v>0</v>
      </c>
      <c r="AC69">
        <v>0</v>
      </c>
    </row>
    <row r="70" spans="6:31" x14ac:dyDescent="0.2">
      <c r="N70">
        <v>13</v>
      </c>
      <c r="O70">
        <v>18</v>
      </c>
      <c r="P70">
        <v>36</v>
      </c>
      <c r="Q70">
        <v>54</v>
      </c>
      <c r="R70">
        <v>72</v>
      </c>
      <c r="S70">
        <v>90</v>
      </c>
      <c r="T70">
        <v>108</v>
      </c>
      <c r="U70">
        <v>126</v>
      </c>
      <c r="V70">
        <v>126</v>
      </c>
      <c r="W70">
        <v>108</v>
      </c>
      <c r="X70">
        <v>90</v>
      </c>
      <c r="Y70">
        <v>72</v>
      </c>
      <c r="Z70">
        <v>54</v>
      </c>
      <c r="AA70">
        <v>36</v>
      </c>
      <c r="AB70">
        <v>18</v>
      </c>
      <c r="AC70" s="9">
        <v>0</v>
      </c>
    </row>
    <row r="73" spans="6:31" x14ac:dyDescent="0.2">
      <c r="O73" t="s">
        <v>25</v>
      </c>
      <c r="P73">
        <v>0</v>
      </c>
      <c r="Q73">
        <v>1</v>
      </c>
      <c r="R73">
        <v>2</v>
      </c>
      <c r="S73">
        <v>3</v>
      </c>
      <c r="T73">
        <v>4</v>
      </c>
      <c r="U73">
        <v>5</v>
      </c>
      <c r="V73">
        <v>6</v>
      </c>
      <c r="W73">
        <v>7</v>
      </c>
      <c r="X73">
        <v>8</v>
      </c>
      <c r="Y73">
        <v>9</v>
      </c>
      <c r="Z73">
        <v>10</v>
      </c>
      <c r="AA73">
        <v>11</v>
      </c>
      <c r="AB73">
        <v>12</v>
      </c>
      <c r="AC73">
        <v>13</v>
      </c>
    </row>
    <row r="74" spans="6:31" x14ac:dyDescent="0.2">
      <c r="N74" t="s">
        <v>25</v>
      </c>
      <c r="O74" s="9">
        <f>O56+O38</f>
        <v>0</v>
      </c>
      <c r="P74">
        <f t="shared" ref="P74:AC74" si="26">P56+P38</f>
        <v>18</v>
      </c>
      <c r="Q74">
        <f t="shared" si="26"/>
        <v>36</v>
      </c>
      <c r="R74">
        <f t="shared" si="26"/>
        <v>54</v>
      </c>
      <c r="S74">
        <f t="shared" si="26"/>
        <v>72</v>
      </c>
      <c r="T74">
        <f t="shared" si="26"/>
        <v>90</v>
      </c>
      <c r="U74">
        <f t="shared" si="26"/>
        <v>108</v>
      </c>
      <c r="V74">
        <f t="shared" si="26"/>
        <v>126</v>
      </c>
      <c r="W74">
        <f t="shared" si="26"/>
        <v>126</v>
      </c>
      <c r="X74">
        <f t="shared" si="26"/>
        <v>108</v>
      </c>
      <c r="Y74">
        <f t="shared" si="26"/>
        <v>90</v>
      </c>
      <c r="Z74">
        <f t="shared" si="26"/>
        <v>72</v>
      </c>
      <c r="AA74">
        <f t="shared" si="26"/>
        <v>54</v>
      </c>
      <c r="AB74">
        <f t="shared" si="26"/>
        <v>36</v>
      </c>
      <c r="AC74">
        <f t="shared" si="26"/>
        <v>18</v>
      </c>
    </row>
    <row r="75" spans="6:31" x14ac:dyDescent="0.2">
      <c r="N75">
        <v>0</v>
      </c>
      <c r="O75">
        <f t="shared" ref="O75:AC75" si="27">O57+O39</f>
        <v>18</v>
      </c>
      <c r="P75" s="9">
        <f t="shared" si="27"/>
        <v>0</v>
      </c>
      <c r="Q75">
        <f t="shared" si="27"/>
        <v>18</v>
      </c>
      <c r="R75">
        <f t="shared" si="27"/>
        <v>36</v>
      </c>
      <c r="S75">
        <f t="shared" si="27"/>
        <v>54</v>
      </c>
      <c r="T75">
        <f t="shared" si="27"/>
        <v>72</v>
      </c>
      <c r="U75">
        <f t="shared" si="27"/>
        <v>90</v>
      </c>
      <c r="V75">
        <f t="shared" si="27"/>
        <v>108</v>
      </c>
      <c r="W75">
        <f t="shared" si="27"/>
        <v>108</v>
      </c>
      <c r="X75">
        <f t="shared" si="27"/>
        <v>126</v>
      </c>
      <c r="Y75">
        <f t="shared" si="27"/>
        <v>108</v>
      </c>
      <c r="Z75">
        <f t="shared" si="27"/>
        <v>90</v>
      </c>
      <c r="AA75">
        <f t="shared" si="27"/>
        <v>72</v>
      </c>
      <c r="AB75">
        <f t="shared" si="27"/>
        <v>54</v>
      </c>
      <c r="AC75">
        <f t="shared" si="27"/>
        <v>36</v>
      </c>
      <c r="AE75" t="str">
        <f t="shared" ref="AE75:AE88" si="28">_xlfn.CONCAT(" {",_xlfn.TEXTJOIN(", ",FALSE,O75:AC75),"}, // ",N75)</f>
        <v xml:space="preserve"> {18, 0, 18, 36, 54, 72, 90, 108, 108, 126, 108, 90, 72, 54, 36}, // 0</v>
      </c>
    </row>
    <row r="76" spans="6:31" x14ac:dyDescent="0.2">
      <c r="N76">
        <v>1</v>
      </c>
      <c r="O76">
        <f t="shared" ref="O76:AC76" si="29">O58+O40</f>
        <v>36</v>
      </c>
      <c r="P76">
        <f t="shared" si="29"/>
        <v>18</v>
      </c>
      <c r="Q76" s="9">
        <f t="shared" si="29"/>
        <v>0</v>
      </c>
      <c r="R76">
        <f t="shared" si="29"/>
        <v>18</v>
      </c>
      <c r="S76">
        <f t="shared" si="29"/>
        <v>36</v>
      </c>
      <c r="T76">
        <f t="shared" si="29"/>
        <v>54</v>
      </c>
      <c r="U76">
        <f t="shared" si="29"/>
        <v>72</v>
      </c>
      <c r="V76">
        <f t="shared" si="29"/>
        <v>90</v>
      </c>
      <c r="W76">
        <f t="shared" si="29"/>
        <v>108</v>
      </c>
      <c r="X76">
        <f t="shared" si="29"/>
        <v>126</v>
      </c>
      <c r="Y76">
        <f t="shared" si="29"/>
        <v>126</v>
      </c>
      <c r="Z76">
        <f t="shared" si="29"/>
        <v>108</v>
      </c>
      <c r="AA76">
        <f t="shared" si="29"/>
        <v>90</v>
      </c>
      <c r="AB76">
        <f t="shared" si="29"/>
        <v>72</v>
      </c>
      <c r="AC76">
        <f t="shared" si="29"/>
        <v>54</v>
      </c>
      <c r="AE76" t="str">
        <f t="shared" si="28"/>
        <v xml:space="preserve"> {36, 18, 0, 18, 36, 54, 72, 90, 108, 126, 126, 108, 90, 72, 54}, // 1</v>
      </c>
    </row>
    <row r="77" spans="6:31" x14ac:dyDescent="0.2">
      <c r="N77">
        <v>2</v>
      </c>
      <c r="O77">
        <f t="shared" ref="O77:AC77" si="30">O59+O41</f>
        <v>54</v>
      </c>
      <c r="P77">
        <f t="shared" si="30"/>
        <v>36</v>
      </c>
      <c r="Q77">
        <f t="shared" si="30"/>
        <v>18</v>
      </c>
      <c r="R77" s="9">
        <f t="shared" si="30"/>
        <v>0</v>
      </c>
      <c r="S77">
        <f t="shared" si="30"/>
        <v>18</v>
      </c>
      <c r="T77">
        <f t="shared" si="30"/>
        <v>36</v>
      </c>
      <c r="U77">
        <f t="shared" si="30"/>
        <v>54</v>
      </c>
      <c r="V77">
        <f t="shared" si="30"/>
        <v>72</v>
      </c>
      <c r="W77">
        <f t="shared" si="30"/>
        <v>90</v>
      </c>
      <c r="X77">
        <f t="shared" si="30"/>
        <v>108</v>
      </c>
      <c r="Y77">
        <f t="shared" si="30"/>
        <v>126</v>
      </c>
      <c r="Z77">
        <f t="shared" si="30"/>
        <v>126</v>
      </c>
      <c r="AA77">
        <f t="shared" si="30"/>
        <v>108</v>
      </c>
      <c r="AB77">
        <f t="shared" si="30"/>
        <v>90</v>
      </c>
      <c r="AC77">
        <f t="shared" si="30"/>
        <v>72</v>
      </c>
      <c r="AE77" t="str">
        <f t="shared" si="28"/>
        <v xml:space="preserve"> {54, 36, 18, 0, 18, 36, 54, 72, 90, 108, 126, 126, 108, 90, 72}, // 2</v>
      </c>
    </row>
    <row r="78" spans="6:31" x14ac:dyDescent="0.2">
      <c r="N78">
        <v>3</v>
      </c>
      <c r="O78">
        <f t="shared" ref="O78:AC78" si="31">O60+O42</f>
        <v>72</v>
      </c>
      <c r="P78">
        <f t="shared" si="31"/>
        <v>54</v>
      </c>
      <c r="Q78">
        <f t="shared" si="31"/>
        <v>36</v>
      </c>
      <c r="R78">
        <f t="shared" si="31"/>
        <v>18</v>
      </c>
      <c r="S78" s="9">
        <f t="shared" si="31"/>
        <v>0</v>
      </c>
      <c r="T78">
        <f t="shared" si="31"/>
        <v>18</v>
      </c>
      <c r="U78">
        <f t="shared" si="31"/>
        <v>36</v>
      </c>
      <c r="V78">
        <f t="shared" si="31"/>
        <v>54</v>
      </c>
      <c r="W78">
        <f t="shared" si="31"/>
        <v>72</v>
      </c>
      <c r="X78">
        <f t="shared" si="31"/>
        <v>90</v>
      </c>
      <c r="Y78">
        <f t="shared" si="31"/>
        <v>108</v>
      </c>
      <c r="Z78">
        <f t="shared" si="31"/>
        <v>126</v>
      </c>
      <c r="AA78">
        <f t="shared" si="31"/>
        <v>126</v>
      </c>
      <c r="AB78">
        <f t="shared" si="31"/>
        <v>108</v>
      </c>
      <c r="AC78">
        <f t="shared" si="31"/>
        <v>90</v>
      </c>
      <c r="AE78" t="str">
        <f t="shared" si="28"/>
        <v xml:space="preserve"> {72, 54, 36, 18, 0, 18, 36, 54, 72, 90, 108, 126, 126, 108, 90}, // 3</v>
      </c>
    </row>
    <row r="79" spans="6:31" x14ac:dyDescent="0.2">
      <c r="F79">
        <v>6</v>
      </c>
      <c r="G79">
        <v>13</v>
      </c>
      <c r="N79">
        <v>4</v>
      </c>
      <c r="O79">
        <f t="shared" ref="O79:AC79" si="32">O61+O43</f>
        <v>90</v>
      </c>
      <c r="P79">
        <f t="shared" si="32"/>
        <v>72</v>
      </c>
      <c r="Q79">
        <f t="shared" si="32"/>
        <v>54</v>
      </c>
      <c r="R79">
        <f t="shared" si="32"/>
        <v>36</v>
      </c>
      <c r="S79">
        <f t="shared" si="32"/>
        <v>18</v>
      </c>
      <c r="T79" s="9">
        <f t="shared" si="32"/>
        <v>0</v>
      </c>
      <c r="U79">
        <f t="shared" si="32"/>
        <v>18</v>
      </c>
      <c r="V79">
        <f t="shared" si="32"/>
        <v>36</v>
      </c>
      <c r="W79">
        <f t="shared" si="32"/>
        <v>54</v>
      </c>
      <c r="X79">
        <f t="shared" si="32"/>
        <v>72</v>
      </c>
      <c r="Y79">
        <f t="shared" si="32"/>
        <v>90</v>
      </c>
      <c r="Z79">
        <f t="shared" si="32"/>
        <v>108</v>
      </c>
      <c r="AA79">
        <f t="shared" si="32"/>
        <v>126</v>
      </c>
      <c r="AB79">
        <f t="shared" si="32"/>
        <v>126</v>
      </c>
      <c r="AC79">
        <f t="shared" si="32"/>
        <v>108</v>
      </c>
      <c r="AE79" t="str">
        <f t="shared" si="28"/>
        <v xml:space="preserve"> {90, 72, 54, 36, 18, 0, 18, 36, 54, 72, 90, 108, 126, 126, 108}, // 4</v>
      </c>
    </row>
    <row r="80" spans="6:31" x14ac:dyDescent="0.2">
      <c r="N80">
        <v>5</v>
      </c>
      <c r="O80">
        <f t="shared" ref="O80:AC80" si="33">O62+O44</f>
        <v>108</v>
      </c>
      <c r="P80">
        <f t="shared" si="33"/>
        <v>90</v>
      </c>
      <c r="Q80">
        <f t="shared" si="33"/>
        <v>72</v>
      </c>
      <c r="R80">
        <f t="shared" si="33"/>
        <v>54</v>
      </c>
      <c r="S80">
        <f t="shared" si="33"/>
        <v>36</v>
      </c>
      <c r="T80">
        <f t="shared" si="33"/>
        <v>18</v>
      </c>
      <c r="U80" s="9">
        <f t="shared" si="33"/>
        <v>0</v>
      </c>
      <c r="V80">
        <f t="shared" si="33"/>
        <v>18</v>
      </c>
      <c r="W80">
        <f t="shared" si="33"/>
        <v>36</v>
      </c>
      <c r="X80">
        <f t="shared" si="33"/>
        <v>54</v>
      </c>
      <c r="Y80">
        <f t="shared" si="33"/>
        <v>72</v>
      </c>
      <c r="Z80">
        <f t="shared" si="33"/>
        <v>90</v>
      </c>
      <c r="AA80">
        <f t="shared" si="33"/>
        <v>108</v>
      </c>
      <c r="AB80">
        <f t="shared" si="33"/>
        <v>126</v>
      </c>
      <c r="AC80">
        <f t="shared" si="33"/>
        <v>126</v>
      </c>
      <c r="AE80" t="str">
        <f t="shared" si="28"/>
        <v xml:space="preserve"> {108, 90, 72, 54, 36, 18, 0, 18, 36, 54, 72, 90, 108, 126, 126}, // 5</v>
      </c>
    </row>
    <row r="81" spans="14:31" x14ac:dyDescent="0.2">
      <c r="N81">
        <v>6</v>
      </c>
      <c r="O81">
        <f t="shared" ref="O81:AC81" si="34">O63+O45</f>
        <v>126</v>
      </c>
      <c r="P81">
        <f t="shared" si="34"/>
        <v>108</v>
      </c>
      <c r="Q81">
        <f t="shared" si="34"/>
        <v>90</v>
      </c>
      <c r="R81">
        <f t="shared" si="34"/>
        <v>72</v>
      </c>
      <c r="S81">
        <f t="shared" si="34"/>
        <v>54</v>
      </c>
      <c r="T81">
        <f t="shared" si="34"/>
        <v>36</v>
      </c>
      <c r="U81">
        <f t="shared" si="34"/>
        <v>18</v>
      </c>
      <c r="V81" s="9">
        <f t="shared" si="34"/>
        <v>0</v>
      </c>
      <c r="W81">
        <f t="shared" si="34"/>
        <v>18</v>
      </c>
      <c r="X81">
        <f t="shared" si="34"/>
        <v>36</v>
      </c>
      <c r="Y81">
        <f t="shared" si="34"/>
        <v>54</v>
      </c>
      <c r="Z81">
        <f t="shared" si="34"/>
        <v>72</v>
      </c>
      <c r="AA81">
        <f t="shared" si="34"/>
        <v>90</v>
      </c>
      <c r="AB81">
        <f t="shared" si="34"/>
        <v>108</v>
      </c>
      <c r="AC81">
        <f t="shared" si="34"/>
        <v>126</v>
      </c>
      <c r="AE81" t="str">
        <f t="shared" si="28"/>
        <v xml:space="preserve"> {126, 108, 90, 72, 54, 36, 18, 0, 18, 36, 54, 72, 90, 108, 126}, // 6</v>
      </c>
    </row>
    <row r="82" spans="14:31" x14ac:dyDescent="0.2">
      <c r="N82">
        <v>7</v>
      </c>
      <c r="O82">
        <f t="shared" ref="O82:AC82" si="35">O64+O46</f>
        <v>126</v>
      </c>
      <c r="P82">
        <f t="shared" si="35"/>
        <v>108</v>
      </c>
      <c r="Q82">
        <f t="shared" si="35"/>
        <v>108</v>
      </c>
      <c r="R82">
        <f t="shared" si="35"/>
        <v>90</v>
      </c>
      <c r="S82">
        <f t="shared" si="35"/>
        <v>72</v>
      </c>
      <c r="T82">
        <f t="shared" si="35"/>
        <v>54</v>
      </c>
      <c r="U82">
        <f t="shared" si="35"/>
        <v>36</v>
      </c>
      <c r="V82">
        <f t="shared" si="35"/>
        <v>18</v>
      </c>
      <c r="W82" s="9">
        <f t="shared" si="35"/>
        <v>0</v>
      </c>
      <c r="X82">
        <f t="shared" si="35"/>
        <v>18</v>
      </c>
      <c r="Y82">
        <f t="shared" si="35"/>
        <v>36</v>
      </c>
      <c r="Z82">
        <f t="shared" si="35"/>
        <v>54</v>
      </c>
      <c r="AA82">
        <f t="shared" si="35"/>
        <v>72</v>
      </c>
      <c r="AB82">
        <f t="shared" si="35"/>
        <v>90</v>
      </c>
      <c r="AC82">
        <f t="shared" si="35"/>
        <v>108</v>
      </c>
      <c r="AE82" t="str">
        <f t="shared" si="28"/>
        <v xml:space="preserve"> {126, 108, 108, 90, 72, 54, 36, 18, 0, 18, 36, 54, 72, 90, 108}, // 7</v>
      </c>
    </row>
    <row r="83" spans="14:31" x14ac:dyDescent="0.2">
      <c r="N83">
        <v>8</v>
      </c>
      <c r="O83">
        <f t="shared" ref="O83:AC83" si="36">O65+O47</f>
        <v>108</v>
      </c>
      <c r="P83">
        <f t="shared" si="36"/>
        <v>126</v>
      </c>
      <c r="Q83">
        <f t="shared" si="36"/>
        <v>126</v>
      </c>
      <c r="R83">
        <f t="shared" si="36"/>
        <v>108</v>
      </c>
      <c r="S83">
        <f t="shared" si="36"/>
        <v>90</v>
      </c>
      <c r="T83">
        <f t="shared" si="36"/>
        <v>72</v>
      </c>
      <c r="U83">
        <f t="shared" si="36"/>
        <v>54</v>
      </c>
      <c r="V83">
        <f t="shared" si="36"/>
        <v>36</v>
      </c>
      <c r="W83">
        <f t="shared" si="36"/>
        <v>18</v>
      </c>
      <c r="X83" s="9">
        <f t="shared" si="36"/>
        <v>0</v>
      </c>
      <c r="Y83">
        <f t="shared" si="36"/>
        <v>18</v>
      </c>
      <c r="Z83">
        <f t="shared" si="36"/>
        <v>36</v>
      </c>
      <c r="AA83">
        <f t="shared" si="36"/>
        <v>54</v>
      </c>
      <c r="AB83">
        <f t="shared" si="36"/>
        <v>72</v>
      </c>
      <c r="AC83">
        <f t="shared" si="36"/>
        <v>90</v>
      </c>
      <c r="AE83" t="str">
        <f t="shared" si="28"/>
        <v xml:space="preserve"> {108, 126, 126, 108, 90, 72, 54, 36, 18, 0, 18, 36, 54, 72, 90}, // 8</v>
      </c>
    </row>
    <row r="84" spans="14:31" x14ac:dyDescent="0.2">
      <c r="N84">
        <v>9</v>
      </c>
      <c r="O84">
        <f t="shared" ref="O84:AC84" si="37">O66+O48</f>
        <v>90</v>
      </c>
      <c r="P84">
        <f t="shared" si="37"/>
        <v>108</v>
      </c>
      <c r="Q84">
        <f t="shared" si="37"/>
        <v>126</v>
      </c>
      <c r="R84">
        <f t="shared" si="37"/>
        <v>126</v>
      </c>
      <c r="S84">
        <f t="shared" si="37"/>
        <v>108</v>
      </c>
      <c r="T84">
        <f t="shared" si="37"/>
        <v>90</v>
      </c>
      <c r="U84">
        <f t="shared" si="37"/>
        <v>72</v>
      </c>
      <c r="V84">
        <f t="shared" si="37"/>
        <v>54</v>
      </c>
      <c r="W84">
        <f t="shared" si="37"/>
        <v>36</v>
      </c>
      <c r="X84">
        <f t="shared" si="37"/>
        <v>18</v>
      </c>
      <c r="Y84" s="9">
        <f t="shared" si="37"/>
        <v>0</v>
      </c>
      <c r="Z84">
        <f t="shared" si="37"/>
        <v>18</v>
      </c>
      <c r="AA84">
        <f t="shared" si="37"/>
        <v>36</v>
      </c>
      <c r="AB84">
        <f t="shared" si="37"/>
        <v>54</v>
      </c>
      <c r="AC84">
        <f t="shared" si="37"/>
        <v>72</v>
      </c>
      <c r="AE84" t="str">
        <f t="shared" si="28"/>
        <v xml:space="preserve"> {90, 108, 126, 126, 108, 90, 72, 54, 36, 18, 0, 18, 36, 54, 72}, // 9</v>
      </c>
    </row>
    <row r="85" spans="14:31" x14ac:dyDescent="0.2">
      <c r="N85">
        <v>10</v>
      </c>
      <c r="O85">
        <f t="shared" ref="O85:AC85" si="38">O67+O49</f>
        <v>72</v>
      </c>
      <c r="P85">
        <f t="shared" si="38"/>
        <v>90</v>
      </c>
      <c r="Q85">
        <f t="shared" si="38"/>
        <v>108</v>
      </c>
      <c r="R85">
        <f t="shared" si="38"/>
        <v>126</v>
      </c>
      <c r="S85">
        <f t="shared" si="38"/>
        <v>126</v>
      </c>
      <c r="T85">
        <f t="shared" si="38"/>
        <v>108</v>
      </c>
      <c r="U85">
        <f t="shared" si="38"/>
        <v>90</v>
      </c>
      <c r="V85">
        <f t="shared" si="38"/>
        <v>72</v>
      </c>
      <c r="W85">
        <f t="shared" si="38"/>
        <v>54</v>
      </c>
      <c r="X85">
        <f t="shared" si="38"/>
        <v>36</v>
      </c>
      <c r="Y85">
        <f t="shared" si="38"/>
        <v>18</v>
      </c>
      <c r="Z85" s="9">
        <f t="shared" si="38"/>
        <v>0</v>
      </c>
      <c r="AA85">
        <f t="shared" si="38"/>
        <v>18</v>
      </c>
      <c r="AB85">
        <f t="shared" si="38"/>
        <v>36</v>
      </c>
      <c r="AC85">
        <f t="shared" si="38"/>
        <v>54</v>
      </c>
      <c r="AE85" t="str">
        <f t="shared" si="28"/>
        <v xml:space="preserve"> {72, 90, 108, 126, 126, 108, 90, 72, 54, 36, 18, 0, 18, 36, 54}, // 10</v>
      </c>
    </row>
    <row r="86" spans="14:31" x14ac:dyDescent="0.2">
      <c r="N86">
        <v>11</v>
      </c>
      <c r="O86">
        <f t="shared" ref="O86:AC86" si="39">O68+O50</f>
        <v>54</v>
      </c>
      <c r="P86">
        <f t="shared" si="39"/>
        <v>72</v>
      </c>
      <c r="Q86">
        <f t="shared" si="39"/>
        <v>90</v>
      </c>
      <c r="R86">
        <f t="shared" si="39"/>
        <v>108</v>
      </c>
      <c r="S86">
        <f t="shared" si="39"/>
        <v>126</v>
      </c>
      <c r="T86">
        <f t="shared" si="39"/>
        <v>126</v>
      </c>
      <c r="U86">
        <f t="shared" si="39"/>
        <v>108</v>
      </c>
      <c r="V86">
        <f t="shared" si="39"/>
        <v>90</v>
      </c>
      <c r="W86">
        <f t="shared" si="39"/>
        <v>72</v>
      </c>
      <c r="X86">
        <f t="shared" si="39"/>
        <v>54</v>
      </c>
      <c r="Y86">
        <f t="shared" si="39"/>
        <v>36</v>
      </c>
      <c r="Z86">
        <f t="shared" si="39"/>
        <v>18</v>
      </c>
      <c r="AA86" s="9">
        <f t="shared" si="39"/>
        <v>0</v>
      </c>
      <c r="AB86">
        <f t="shared" si="39"/>
        <v>18</v>
      </c>
      <c r="AC86">
        <f t="shared" si="39"/>
        <v>36</v>
      </c>
      <c r="AE86" t="str">
        <f t="shared" si="28"/>
        <v xml:space="preserve"> {54, 72, 90, 108, 126, 126, 108, 90, 72, 54, 36, 18, 0, 18, 36}, // 11</v>
      </c>
    </row>
    <row r="87" spans="14:31" x14ac:dyDescent="0.2">
      <c r="N87">
        <v>12</v>
      </c>
      <c r="O87">
        <f t="shared" ref="O87:AC87" si="40">O69+O51</f>
        <v>36</v>
      </c>
      <c r="P87">
        <f t="shared" si="40"/>
        <v>54</v>
      </c>
      <c r="Q87">
        <f t="shared" si="40"/>
        <v>72</v>
      </c>
      <c r="R87">
        <f t="shared" si="40"/>
        <v>90</v>
      </c>
      <c r="S87">
        <f t="shared" si="40"/>
        <v>108</v>
      </c>
      <c r="T87">
        <f t="shared" si="40"/>
        <v>126</v>
      </c>
      <c r="U87">
        <f t="shared" si="40"/>
        <v>126</v>
      </c>
      <c r="V87">
        <f t="shared" si="40"/>
        <v>108</v>
      </c>
      <c r="W87">
        <f t="shared" si="40"/>
        <v>90</v>
      </c>
      <c r="X87">
        <f t="shared" si="40"/>
        <v>72</v>
      </c>
      <c r="Y87">
        <f t="shared" si="40"/>
        <v>54</v>
      </c>
      <c r="Z87">
        <f t="shared" si="40"/>
        <v>36</v>
      </c>
      <c r="AA87">
        <f t="shared" si="40"/>
        <v>18</v>
      </c>
      <c r="AB87" s="9">
        <f t="shared" si="40"/>
        <v>0</v>
      </c>
      <c r="AC87">
        <f t="shared" si="40"/>
        <v>18</v>
      </c>
      <c r="AE87" t="str">
        <f t="shared" si="28"/>
        <v xml:space="preserve"> {36, 54, 72, 90, 108, 126, 126, 108, 90, 72, 54, 36, 18, 0, 18}, // 12</v>
      </c>
    </row>
    <row r="88" spans="14:31" x14ac:dyDescent="0.2">
      <c r="N88">
        <v>13</v>
      </c>
      <c r="O88">
        <f t="shared" ref="O88:AC88" si="41">O70+O52</f>
        <v>18</v>
      </c>
      <c r="P88">
        <f t="shared" si="41"/>
        <v>36</v>
      </c>
      <c r="Q88">
        <f t="shared" si="41"/>
        <v>54</v>
      </c>
      <c r="R88">
        <f t="shared" si="41"/>
        <v>72</v>
      </c>
      <c r="S88">
        <f t="shared" si="41"/>
        <v>90</v>
      </c>
      <c r="T88">
        <f t="shared" si="41"/>
        <v>108</v>
      </c>
      <c r="U88">
        <f t="shared" si="41"/>
        <v>126</v>
      </c>
      <c r="V88">
        <f t="shared" si="41"/>
        <v>126</v>
      </c>
      <c r="W88">
        <f t="shared" si="41"/>
        <v>108</v>
      </c>
      <c r="X88">
        <f t="shared" si="41"/>
        <v>90</v>
      </c>
      <c r="Y88">
        <f t="shared" si="41"/>
        <v>72</v>
      </c>
      <c r="Z88">
        <f t="shared" si="41"/>
        <v>54</v>
      </c>
      <c r="AA88">
        <f t="shared" si="41"/>
        <v>36</v>
      </c>
      <c r="AB88">
        <f t="shared" si="41"/>
        <v>18</v>
      </c>
      <c r="AC88" s="9">
        <f t="shared" si="41"/>
        <v>0</v>
      </c>
      <c r="AE88" t="str">
        <f t="shared" si="28"/>
        <v xml:space="preserve"> {18, 36, 54, 72, 90, 108, 126, 126, 108, 90, 72, 54, 36, 18, 0}, // 13</v>
      </c>
    </row>
    <row r="98" spans="1:11" x14ac:dyDescent="0.2">
      <c r="B98" t="s">
        <v>62</v>
      </c>
    </row>
    <row r="100" spans="1:11" x14ac:dyDescent="0.2">
      <c r="C100" t="s">
        <v>23</v>
      </c>
      <c r="D100" t="s">
        <v>24</v>
      </c>
      <c r="G100" t="s">
        <v>23</v>
      </c>
      <c r="H100" t="s">
        <v>24</v>
      </c>
    </row>
    <row r="101" spans="1:11" x14ac:dyDescent="0.2">
      <c r="A101">
        <v>0</v>
      </c>
      <c r="C101" s="12">
        <v>28</v>
      </c>
      <c r="D101" s="12">
        <v>95</v>
      </c>
      <c r="G101">
        <f t="shared" ref="G101:G114" si="42">(MOD(C101,256)*256) + INT(C101/256)</f>
        <v>7168</v>
      </c>
      <c r="H101">
        <f t="shared" ref="H101:H108" si="43">(MOD(D101,256)*256) + INT(D101/256)</f>
        <v>24320</v>
      </c>
      <c r="K101" t="str">
        <f>_xlfn.CONCAT(G101,", ",H101,", // Port ",A101)</f>
        <v>7168, 24320, // Port 0</v>
      </c>
    </row>
    <row r="102" spans="1:11" x14ac:dyDescent="0.2">
      <c r="A102">
        <v>1</v>
      </c>
      <c r="C102" s="12">
        <v>29</v>
      </c>
      <c r="D102" s="12">
        <v>164</v>
      </c>
      <c r="G102">
        <f t="shared" si="42"/>
        <v>7424</v>
      </c>
      <c r="H102">
        <f t="shared" si="43"/>
        <v>41984</v>
      </c>
      <c r="K102" t="str">
        <f t="shared" ref="K102:K114" si="44">_xlfn.CONCAT(G102,", ",H102,", // Port ",A102)</f>
        <v>7424, 41984, // Port 1</v>
      </c>
    </row>
    <row r="103" spans="1:11" x14ac:dyDescent="0.2">
      <c r="A103">
        <v>2</v>
      </c>
      <c r="C103" s="12">
        <v>60</v>
      </c>
      <c r="D103" s="12">
        <v>238</v>
      </c>
      <c r="G103">
        <f t="shared" si="42"/>
        <v>15360</v>
      </c>
      <c r="H103">
        <f t="shared" si="43"/>
        <v>60928</v>
      </c>
      <c r="K103" t="str">
        <f t="shared" si="44"/>
        <v>15360, 60928, // Port 2</v>
      </c>
    </row>
    <row r="104" spans="1:11" x14ac:dyDescent="0.2">
      <c r="A104">
        <v>3</v>
      </c>
      <c r="C104" s="12">
        <v>190</v>
      </c>
      <c r="D104" s="12">
        <v>208</v>
      </c>
      <c r="G104">
        <f t="shared" si="42"/>
        <v>48640</v>
      </c>
      <c r="H104">
        <f t="shared" si="43"/>
        <v>53248</v>
      </c>
      <c r="K104" t="str">
        <f t="shared" si="44"/>
        <v>48640, 53248, // Port 3</v>
      </c>
    </row>
    <row r="105" spans="1:11" x14ac:dyDescent="0.2">
      <c r="A105">
        <v>4</v>
      </c>
      <c r="C105" s="12">
        <v>67</v>
      </c>
      <c r="D105" s="12">
        <v>334</v>
      </c>
      <c r="G105">
        <f t="shared" si="42"/>
        <v>17152</v>
      </c>
      <c r="H105">
        <f t="shared" si="43"/>
        <v>19969</v>
      </c>
      <c r="K105" t="str">
        <f t="shared" si="44"/>
        <v>17152, 19969, // Port 4</v>
      </c>
    </row>
    <row r="106" spans="1:11" x14ac:dyDescent="0.2">
      <c r="A106">
        <v>5</v>
      </c>
      <c r="C106" s="12">
        <v>156</v>
      </c>
      <c r="D106" s="12">
        <v>265</v>
      </c>
      <c r="G106">
        <f t="shared" si="42"/>
        <v>39936</v>
      </c>
      <c r="H106">
        <f t="shared" si="43"/>
        <v>2305</v>
      </c>
      <c r="K106" t="str">
        <f t="shared" si="44"/>
        <v>39936, 2305, // Port 5</v>
      </c>
    </row>
    <row r="107" spans="1:11" x14ac:dyDescent="0.2">
      <c r="A107">
        <v>6</v>
      </c>
      <c r="C107" s="12">
        <v>179</v>
      </c>
      <c r="D107" s="12">
        <v>360</v>
      </c>
      <c r="G107">
        <f t="shared" si="42"/>
        <v>45824</v>
      </c>
      <c r="H107">
        <f t="shared" si="43"/>
        <v>26625</v>
      </c>
      <c r="K107" t="str">
        <f t="shared" si="44"/>
        <v>45824, 26625, // Port 6</v>
      </c>
    </row>
    <row r="108" spans="1:11" x14ac:dyDescent="0.2">
      <c r="A108">
        <v>7</v>
      </c>
      <c r="C108" s="12">
        <v>256</v>
      </c>
      <c r="D108" s="12">
        <v>276</v>
      </c>
      <c r="G108">
        <f t="shared" si="42"/>
        <v>1</v>
      </c>
      <c r="H108">
        <f t="shared" si="43"/>
        <v>5121</v>
      </c>
      <c r="K108" t="str">
        <f t="shared" si="44"/>
        <v>1, 5121, // Port 7</v>
      </c>
    </row>
    <row r="109" spans="1:11" x14ac:dyDescent="0.2">
      <c r="A109">
        <v>8</v>
      </c>
      <c r="C109" s="12">
        <v>301</v>
      </c>
      <c r="D109" s="12">
        <v>337</v>
      </c>
      <c r="G109">
        <f t="shared" si="42"/>
        <v>11521</v>
      </c>
      <c r="H109">
        <f>(MOD(D109,256)*256) + INT(D109/256)</f>
        <v>20737</v>
      </c>
      <c r="K109" t="str">
        <f t="shared" si="44"/>
        <v>11521, 20737, // Port 8</v>
      </c>
    </row>
    <row r="110" spans="1:11" x14ac:dyDescent="0.2">
      <c r="A110">
        <v>9</v>
      </c>
      <c r="C110" s="12">
        <v>327</v>
      </c>
      <c r="D110" s="12">
        <v>198</v>
      </c>
      <c r="G110">
        <f t="shared" si="42"/>
        <v>18177</v>
      </c>
      <c r="H110">
        <f t="shared" ref="H110:H114" si="45">(MOD(D110,256)*256) + INT(D110/256)</f>
        <v>50688</v>
      </c>
      <c r="K110" t="str">
        <f t="shared" si="44"/>
        <v>18177, 50688, // Port 9</v>
      </c>
    </row>
    <row r="111" spans="1:11" x14ac:dyDescent="0.2">
      <c r="A111">
        <v>10</v>
      </c>
      <c r="C111" s="12">
        <v>324</v>
      </c>
      <c r="D111" s="12">
        <v>128</v>
      </c>
      <c r="G111">
        <f t="shared" si="42"/>
        <v>17409</v>
      </c>
      <c r="H111">
        <f t="shared" si="45"/>
        <v>32768</v>
      </c>
      <c r="K111" t="str">
        <f t="shared" si="44"/>
        <v>17409, 32768, // Port 10</v>
      </c>
    </row>
    <row r="112" spans="1:11" x14ac:dyDescent="0.2">
      <c r="A112">
        <v>11</v>
      </c>
      <c r="C112" s="12">
        <v>258</v>
      </c>
      <c r="D112" s="12">
        <v>59</v>
      </c>
      <c r="G112">
        <f t="shared" si="42"/>
        <v>513</v>
      </c>
      <c r="H112">
        <f t="shared" si="45"/>
        <v>15104</v>
      </c>
      <c r="K112" t="str">
        <f t="shared" si="44"/>
        <v>513, 15104, // Port 11</v>
      </c>
    </row>
    <row r="113" spans="1:11" x14ac:dyDescent="0.2">
      <c r="A113">
        <v>12</v>
      </c>
      <c r="C113" s="12">
        <v>193</v>
      </c>
      <c r="D113" s="12">
        <v>106</v>
      </c>
      <c r="G113">
        <f t="shared" si="42"/>
        <v>49408</v>
      </c>
      <c r="H113">
        <f t="shared" si="45"/>
        <v>27136</v>
      </c>
      <c r="K113" t="str">
        <f t="shared" si="44"/>
        <v>49408, 27136, // Port 12</v>
      </c>
    </row>
    <row r="114" spans="1:11" x14ac:dyDescent="0.2">
      <c r="A114">
        <v>13</v>
      </c>
      <c r="C114" s="12">
        <v>147</v>
      </c>
      <c r="D114" s="12">
        <v>12</v>
      </c>
      <c r="G114">
        <f t="shared" si="42"/>
        <v>37632</v>
      </c>
      <c r="H114">
        <f t="shared" si="45"/>
        <v>3072</v>
      </c>
      <c r="K114" t="str">
        <f t="shared" si="44"/>
        <v>37632, 3072, // Port 13</v>
      </c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33EDA-BDBF-4A49-8373-1513F25F3910}">
  <sheetPr codeName="Sheet3"/>
  <dimension ref="G26:V67"/>
  <sheetViews>
    <sheetView topLeftCell="B1" workbookViewId="0">
      <selection activeCell="J48" sqref="H48:J48"/>
    </sheetView>
  </sheetViews>
  <sheetFormatPr baseColWidth="10" defaultRowHeight="16" x14ac:dyDescent="0.2"/>
  <sheetData>
    <row r="26" spans="8:8" x14ac:dyDescent="0.2">
      <c r="H26" t="s">
        <v>30</v>
      </c>
    </row>
    <row r="27" spans="8:8" x14ac:dyDescent="0.2">
      <c r="H27" t="s">
        <v>31</v>
      </c>
    </row>
    <row r="28" spans="8:8" x14ac:dyDescent="0.2">
      <c r="H28" t="s">
        <v>32</v>
      </c>
    </row>
    <row r="29" spans="8:8" x14ac:dyDescent="0.2">
      <c r="H29" t="s">
        <v>33</v>
      </c>
    </row>
    <row r="31" spans="8:8" x14ac:dyDescent="0.2">
      <c r="H31" t="s">
        <v>34</v>
      </c>
    </row>
    <row r="32" spans="8:8" x14ac:dyDescent="0.2">
      <c r="H32" t="s">
        <v>35</v>
      </c>
    </row>
    <row r="33" spans="8:10" x14ac:dyDescent="0.2">
      <c r="H33" t="s">
        <v>36</v>
      </c>
    </row>
    <row r="34" spans="8:10" x14ac:dyDescent="0.2">
      <c r="H34" t="s">
        <v>37</v>
      </c>
    </row>
    <row r="36" spans="8:10" x14ac:dyDescent="0.2">
      <c r="H36" t="s">
        <v>38</v>
      </c>
    </row>
    <row r="37" spans="8:10" x14ac:dyDescent="0.2">
      <c r="H37" t="s">
        <v>39</v>
      </c>
    </row>
    <row r="38" spans="8:10" x14ac:dyDescent="0.2">
      <c r="H38" t="s">
        <v>40</v>
      </c>
    </row>
    <row r="39" spans="8:10" x14ac:dyDescent="0.2">
      <c r="H39" t="s">
        <v>41</v>
      </c>
    </row>
    <row r="40" spans="8:10" x14ac:dyDescent="0.2">
      <c r="H40" t="s">
        <v>42</v>
      </c>
    </row>
    <row r="41" spans="8:10" x14ac:dyDescent="0.2">
      <c r="H41" t="s">
        <v>43</v>
      </c>
    </row>
    <row r="42" spans="8:10" x14ac:dyDescent="0.2">
      <c r="H42" t="s">
        <v>44</v>
      </c>
    </row>
    <row r="44" spans="8:10" x14ac:dyDescent="0.2">
      <c r="H44" t="s">
        <v>45</v>
      </c>
    </row>
    <row r="48" spans="8:10" x14ac:dyDescent="0.2">
      <c r="H48">
        <v>18</v>
      </c>
      <c r="I48">
        <v>22</v>
      </c>
      <c r="J48">
        <v>35</v>
      </c>
    </row>
    <row r="51" spans="7:22" x14ac:dyDescent="0.2">
      <c r="G51" t="s">
        <v>46</v>
      </c>
      <c r="H51" t="s">
        <v>47</v>
      </c>
      <c r="I51" t="s">
        <v>48</v>
      </c>
      <c r="J51" t="s">
        <v>49</v>
      </c>
      <c r="K51" t="s">
        <v>50</v>
      </c>
      <c r="L51" t="s">
        <v>51</v>
      </c>
      <c r="M51" t="s">
        <v>52</v>
      </c>
      <c r="N51" t="s">
        <v>53</v>
      </c>
      <c r="O51" t="s">
        <v>54</v>
      </c>
      <c r="P51" t="s">
        <v>55</v>
      </c>
      <c r="Q51" t="s">
        <v>56</v>
      </c>
      <c r="R51" t="s">
        <v>57</v>
      </c>
      <c r="S51" t="s">
        <v>58</v>
      </c>
      <c r="T51" t="s">
        <v>59</v>
      </c>
      <c r="V51" t="s">
        <v>60</v>
      </c>
    </row>
    <row r="54" spans="7:22" x14ac:dyDescent="0.2">
      <c r="H54">
        <v>36</v>
      </c>
      <c r="I54">
        <v>18</v>
      </c>
      <c r="J54">
        <v>40</v>
      </c>
      <c r="K54">
        <v>65</v>
      </c>
      <c r="L54">
        <v>58</v>
      </c>
      <c r="M54">
        <v>98</v>
      </c>
      <c r="N54">
        <v>90</v>
      </c>
      <c r="O54">
        <v>123</v>
      </c>
      <c r="P54">
        <v>141</v>
      </c>
      <c r="Q54">
        <v>116</v>
      </c>
      <c r="R54">
        <v>92</v>
      </c>
      <c r="S54">
        <v>72</v>
      </c>
      <c r="T54">
        <v>46</v>
      </c>
      <c r="U54">
        <v>24</v>
      </c>
    </row>
    <row r="55" spans="7:22" x14ac:dyDescent="0.2">
      <c r="H55">
        <v>18</v>
      </c>
      <c r="I55">
        <v>36</v>
      </c>
      <c r="J55">
        <v>22</v>
      </c>
      <c r="K55">
        <v>47</v>
      </c>
      <c r="L55">
        <v>40</v>
      </c>
      <c r="M55">
        <v>80</v>
      </c>
      <c r="N55">
        <v>72</v>
      </c>
      <c r="O55">
        <v>105</v>
      </c>
      <c r="P55">
        <v>132</v>
      </c>
      <c r="Q55">
        <v>130</v>
      </c>
      <c r="R55">
        <v>110</v>
      </c>
      <c r="S55">
        <v>90</v>
      </c>
      <c r="T55">
        <v>64</v>
      </c>
      <c r="U55">
        <v>42</v>
      </c>
    </row>
    <row r="56" spans="7:22" x14ac:dyDescent="0.2">
      <c r="H56">
        <v>40</v>
      </c>
      <c r="I56">
        <v>22</v>
      </c>
      <c r="J56">
        <v>44</v>
      </c>
      <c r="K56">
        <v>25</v>
      </c>
      <c r="L56">
        <v>57</v>
      </c>
      <c r="M56">
        <v>97</v>
      </c>
      <c r="N56">
        <v>89</v>
      </c>
      <c r="O56">
        <v>122</v>
      </c>
      <c r="P56">
        <v>149</v>
      </c>
      <c r="Q56">
        <v>147</v>
      </c>
      <c r="R56">
        <v>132</v>
      </c>
      <c r="S56">
        <v>112</v>
      </c>
      <c r="T56">
        <v>86</v>
      </c>
      <c r="U56">
        <v>64</v>
      </c>
    </row>
    <row r="57" spans="7:22" x14ac:dyDescent="0.2">
      <c r="H57">
        <v>65</v>
      </c>
      <c r="I57">
        <v>47</v>
      </c>
      <c r="J57">
        <v>25</v>
      </c>
      <c r="K57">
        <v>50</v>
      </c>
      <c r="L57">
        <v>32</v>
      </c>
      <c r="M57">
        <v>72</v>
      </c>
      <c r="N57">
        <v>64</v>
      </c>
      <c r="O57">
        <v>97</v>
      </c>
      <c r="P57">
        <v>124</v>
      </c>
      <c r="Q57">
        <v>122</v>
      </c>
      <c r="R57">
        <v>146</v>
      </c>
      <c r="S57">
        <v>137</v>
      </c>
      <c r="T57">
        <v>111</v>
      </c>
      <c r="U57">
        <v>89</v>
      </c>
    </row>
    <row r="58" spans="7:22" x14ac:dyDescent="0.2">
      <c r="H58">
        <v>58</v>
      </c>
      <c r="I58">
        <v>40</v>
      </c>
      <c r="J58">
        <v>57</v>
      </c>
      <c r="K58">
        <v>32</v>
      </c>
      <c r="L58">
        <v>64</v>
      </c>
      <c r="M58">
        <v>40</v>
      </c>
      <c r="N58">
        <v>32</v>
      </c>
      <c r="O58">
        <v>65</v>
      </c>
      <c r="P58">
        <v>92</v>
      </c>
      <c r="Q58">
        <v>90</v>
      </c>
      <c r="R58">
        <v>114</v>
      </c>
      <c r="S58">
        <v>130</v>
      </c>
      <c r="T58">
        <v>104</v>
      </c>
      <c r="U58">
        <v>82</v>
      </c>
    </row>
    <row r="59" spans="7:22" x14ac:dyDescent="0.2">
      <c r="H59">
        <v>98</v>
      </c>
      <c r="I59">
        <v>80</v>
      </c>
      <c r="J59">
        <v>97</v>
      </c>
      <c r="K59">
        <v>72</v>
      </c>
      <c r="L59">
        <v>40</v>
      </c>
      <c r="M59">
        <v>70</v>
      </c>
      <c r="N59">
        <v>35</v>
      </c>
      <c r="O59">
        <v>68</v>
      </c>
      <c r="P59">
        <v>95</v>
      </c>
      <c r="Q59">
        <v>93</v>
      </c>
      <c r="R59">
        <v>117</v>
      </c>
      <c r="S59">
        <v>137</v>
      </c>
      <c r="T59">
        <v>144</v>
      </c>
      <c r="U59">
        <v>122</v>
      </c>
    </row>
    <row r="60" spans="7:22" x14ac:dyDescent="0.2">
      <c r="H60">
        <v>90</v>
      </c>
      <c r="I60">
        <v>72</v>
      </c>
      <c r="J60">
        <v>89</v>
      </c>
      <c r="K60">
        <v>64</v>
      </c>
      <c r="L60">
        <v>32</v>
      </c>
      <c r="M60">
        <v>35</v>
      </c>
      <c r="N60">
        <v>64</v>
      </c>
      <c r="O60">
        <v>33</v>
      </c>
      <c r="P60">
        <v>60</v>
      </c>
      <c r="Q60">
        <v>58</v>
      </c>
      <c r="R60">
        <v>82</v>
      </c>
      <c r="S60">
        <v>102</v>
      </c>
      <c r="T60">
        <v>128</v>
      </c>
      <c r="U60">
        <v>114</v>
      </c>
    </row>
    <row r="61" spans="7:22" x14ac:dyDescent="0.2">
      <c r="H61">
        <v>123</v>
      </c>
      <c r="I61">
        <v>105</v>
      </c>
      <c r="J61">
        <v>122</v>
      </c>
      <c r="K61">
        <v>97</v>
      </c>
      <c r="L61">
        <v>65</v>
      </c>
      <c r="M61">
        <v>68</v>
      </c>
      <c r="N61">
        <v>33</v>
      </c>
      <c r="O61">
        <v>50</v>
      </c>
      <c r="P61">
        <v>27</v>
      </c>
      <c r="Q61">
        <v>25</v>
      </c>
      <c r="R61">
        <v>49</v>
      </c>
      <c r="S61">
        <v>69</v>
      </c>
      <c r="T61">
        <v>95</v>
      </c>
      <c r="U61">
        <v>117</v>
      </c>
    </row>
    <row r="62" spans="7:22" x14ac:dyDescent="0.2">
      <c r="H62">
        <v>141</v>
      </c>
      <c r="I62">
        <v>132</v>
      </c>
      <c r="J62">
        <v>149</v>
      </c>
      <c r="K62">
        <v>124</v>
      </c>
      <c r="L62">
        <v>92</v>
      </c>
      <c r="M62">
        <v>95</v>
      </c>
      <c r="N62">
        <v>60</v>
      </c>
      <c r="O62">
        <v>27</v>
      </c>
      <c r="P62">
        <v>50</v>
      </c>
      <c r="Q62">
        <v>25</v>
      </c>
      <c r="R62">
        <v>49</v>
      </c>
      <c r="S62">
        <v>69</v>
      </c>
      <c r="T62">
        <v>95</v>
      </c>
      <c r="U62">
        <v>117</v>
      </c>
    </row>
    <row r="63" spans="7:22" x14ac:dyDescent="0.2">
      <c r="H63">
        <v>116</v>
      </c>
      <c r="I63">
        <v>130</v>
      </c>
      <c r="J63">
        <v>147</v>
      </c>
      <c r="K63">
        <v>122</v>
      </c>
      <c r="L63">
        <v>90</v>
      </c>
      <c r="M63">
        <v>93</v>
      </c>
      <c r="N63">
        <v>58</v>
      </c>
      <c r="O63">
        <v>25</v>
      </c>
      <c r="P63">
        <v>25</v>
      </c>
      <c r="Q63">
        <v>48</v>
      </c>
      <c r="R63">
        <v>24</v>
      </c>
      <c r="S63">
        <v>44</v>
      </c>
      <c r="T63">
        <v>70</v>
      </c>
      <c r="U63">
        <v>92</v>
      </c>
    </row>
    <row r="64" spans="7:22" x14ac:dyDescent="0.2">
      <c r="H64">
        <v>92</v>
      </c>
      <c r="I64">
        <v>110</v>
      </c>
      <c r="J64">
        <v>132</v>
      </c>
      <c r="K64">
        <v>146</v>
      </c>
      <c r="L64">
        <v>114</v>
      </c>
      <c r="M64">
        <v>117</v>
      </c>
      <c r="N64">
        <v>82</v>
      </c>
      <c r="O64">
        <v>49</v>
      </c>
      <c r="P64">
        <v>49</v>
      </c>
      <c r="Q64">
        <v>24</v>
      </c>
      <c r="R64">
        <v>40</v>
      </c>
      <c r="S64">
        <v>20</v>
      </c>
      <c r="T64">
        <v>46</v>
      </c>
      <c r="U64">
        <v>68</v>
      </c>
    </row>
    <row r="65" spans="8:21" x14ac:dyDescent="0.2">
      <c r="H65">
        <v>72</v>
      </c>
      <c r="I65">
        <v>90</v>
      </c>
      <c r="J65">
        <v>112</v>
      </c>
      <c r="K65">
        <v>137</v>
      </c>
      <c r="L65">
        <v>130</v>
      </c>
      <c r="M65">
        <v>137</v>
      </c>
      <c r="N65">
        <v>102</v>
      </c>
      <c r="O65">
        <v>69</v>
      </c>
      <c r="P65">
        <v>69</v>
      </c>
      <c r="Q65">
        <v>44</v>
      </c>
      <c r="R65">
        <v>20</v>
      </c>
      <c r="S65">
        <v>40</v>
      </c>
      <c r="T65">
        <v>26</v>
      </c>
      <c r="U65">
        <v>48</v>
      </c>
    </row>
    <row r="66" spans="8:21" x14ac:dyDescent="0.2">
      <c r="H66">
        <v>46</v>
      </c>
      <c r="I66">
        <v>64</v>
      </c>
      <c r="J66">
        <v>86</v>
      </c>
      <c r="K66">
        <v>111</v>
      </c>
      <c r="L66">
        <v>104</v>
      </c>
      <c r="M66">
        <v>144</v>
      </c>
      <c r="N66">
        <v>128</v>
      </c>
      <c r="O66">
        <v>95</v>
      </c>
      <c r="P66">
        <v>95</v>
      </c>
      <c r="Q66">
        <v>70</v>
      </c>
      <c r="R66">
        <v>46</v>
      </c>
      <c r="S66">
        <v>26</v>
      </c>
      <c r="T66">
        <v>44</v>
      </c>
      <c r="U66">
        <v>22</v>
      </c>
    </row>
    <row r="67" spans="8:21" x14ac:dyDescent="0.2">
      <c r="H67">
        <v>24</v>
      </c>
      <c r="I67">
        <v>42</v>
      </c>
      <c r="J67">
        <v>64</v>
      </c>
      <c r="K67">
        <v>89</v>
      </c>
      <c r="L67">
        <v>82</v>
      </c>
      <c r="M67">
        <v>122</v>
      </c>
      <c r="N67">
        <v>114</v>
      </c>
      <c r="O67">
        <v>117</v>
      </c>
      <c r="P67">
        <v>117</v>
      </c>
      <c r="Q67">
        <v>92</v>
      </c>
      <c r="R67">
        <v>68</v>
      </c>
      <c r="S67">
        <v>48</v>
      </c>
      <c r="T67">
        <v>22</v>
      </c>
      <c r="U67">
        <v>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Hidden</vt:lpstr>
      <vt:lpstr>Level_00</vt:lpstr>
      <vt:lpstr>Level_01</vt:lpstr>
      <vt:lpstr>Level_02</vt:lpstr>
      <vt:lpstr>Level_03</vt:lpstr>
      <vt:lpstr>Level_04</vt:lpstr>
      <vt:lpstr>Level_05</vt:lpstr>
      <vt:lpstr>Level_06</vt:lpstr>
      <vt:lpstr>Level_07</vt:lpstr>
      <vt:lpstr>Level_08</vt:lpstr>
      <vt:lpstr>Level_09</vt:lpstr>
      <vt:lpstr>Level_10</vt:lpstr>
      <vt:lpstr>Map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2025-02-06T09:18:31Z</dcterms:modified>
</cp:coreProperties>
</file>