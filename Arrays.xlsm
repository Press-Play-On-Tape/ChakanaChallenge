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6B8EB3CA-AA3B-8A4C-9929-FE2C671EF402}" xr6:coauthVersionLast="47" xr6:coauthVersionMax="47" xr10:uidLastSave="{00000000-0000-0000-0000-000000000000}"/>
  <bookViews>
    <workbookView xWindow="5540" yWindow="500" windowWidth="47420" windowHeight="30420" activeTab="2" xr2:uid="{50E1C641-7614-0542-B3D9-BEFC89310226}"/>
  </bookViews>
  <sheets>
    <sheet name="Hidden" sheetId="6" r:id="rId1"/>
    <sheet name="Level_00" sheetId="30" r:id="rId2"/>
    <sheet name="Level_01" sheetId="31" r:id="rId3"/>
    <sheet name="Level_02" sheetId="21" r:id="rId4"/>
    <sheet name="Level_03" sheetId="28" r:id="rId5"/>
    <sheet name="Level_04" sheetId="12" r:id="rId6"/>
    <sheet name="Level_05" sheetId="13" r:id="rId7"/>
    <sheet name="Level_06" sheetId="22" r:id="rId8"/>
    <sheet name="Level_07" sheetId="23" r:id="rId9"/>
    <sheet name="Level_08" sheetId="24" r:id="rId10"/>
    <sheet name="Level_09" sheetId="25" r:id="rId11"/>
    <sheet name="Level_10" sheetId="26" r:id="rId12"/>
    <sheet name="Map" sheetId="10" state="hidden" r:id="rId13"/>
    <sheet name="Sheet2" sheetId="11" state="hidden" r:id="rId14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1" i="31" l="1"/>
  <c r="F35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 a="1"/>
  <c r="F16" i="31" s="1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79" i="30"/>
  <c r="F35" i="30"/>
  <c r="F16" i="30" a="1"/>
  <c r="F16" i="30" s="1"/>
  <c r="F32" i="26" l="1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65" i="12"/>
  <c r="F128" i="28"/>
  <c r="F35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93" i="26" l="1"/>
  <c r="F177" i="25"/>
  <c r="F142" i="24"/>
  <c r="F100" i="23"/>
  <c r="F114" i="22"/>
  <c r="F121" i="21"/>
  <c r="F16" i="26" a="1"/>
  <c r="F16" i="26" s="1"/>
  <c r="F35" i="26"/>
  <c r="F16" i="25" a="1"/>
  <c r="F16" i="25" s="1"/>
  <c r="F35" i="25"/>
  <c r="F16" i="24" a="1"/>
  <c r="F16" i="24" s="1"/>
  <c r="F35" i="24"/>
  <c r="F16" i="23" a="1"/>
  <c r="F16" i="23" s="1"/>
  <c r="F35" i="23"/>
  <c r="F16" i="22" a="1"/>
  <c r="F16" i="22" s="1"/>
  <c r="F35" i="22"/>
  <c r="F16" i="21" a="1"/>
  <c r="F16" i="21" s="1"/>
  <c r="F35" i="21"/>
  <c r="F136" i="13" l="1"/>
  <c r="F135" i="13"/>
  <c r="F134" i="13"/>
  <c r="F133" i="13"/>
  <c r="F107" i="13"/>
  <c r="F35" i="13"/>
  <c r="F16" i="13" a="1"/>
  <c r="F16" i="13" s="1"/>
  <c r="F35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<sst xmlns="http://schemas.openxmlformats.org/spreadsheetml/2006/main" count="1712" uniqueCount="202">
  <si>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</si>
  <si>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</si>
  <si>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</si>
  <si>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</si>
  <si>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</si>
  <si>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</si>
  <si>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</si>
  <si>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</si>
  <si>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</si>
  <si>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</si>
  <si>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</si>
  <si>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</si>
  <si>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</si>
  <si>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</si>
  <si>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</si>
  <si>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</si>
  <si>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</si>
  <si>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</si>
  <si>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</si>
  <si>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</si>
  <si>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</si>
  <si>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</si>
  <si>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</si>
  <si>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</si>
  <si>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</si>
  <si>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</si>
  <si>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</si>
  <si>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</si>
  <si>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</si>
  <si>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</si>
  <si>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</si>
  <si>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</si>
  <si>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</si>
  <si>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</si>
  <si>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</si>
  <si>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</si>
  <si>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</si>
  <si>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</si>
  <si>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</si>
  <si>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</si>
  <si>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</si>
  <si>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</si>
  <si>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</si>
  <si>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</si>
  <si>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</si>
  <si>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</si>
  <si>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</si>
  <si>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</si>
  <si>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</si>
  <si>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</si>
  <si>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</si>
  <si>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</si>
  <si>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</si>
  <si>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</si>
  <si>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</si>
  <si>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</si>
  <si>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</si>
  <si>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</si>
  <si>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</si>
  <si>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</si>
  <si>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</si>
  <si>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</si>
  <si>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</si>
  <si>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</si>
  <si>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</si>
  <si>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</si>
  <si>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</si>
  <si>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</si>
  <si>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74,74,74,74,</t>
  </si>
  <si>
    <t>74,74,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</si>
  <si>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</si>
  <si>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</si>
  <si>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</si>
  <si>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</si>
  <si>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</si>
  <si>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</si>
  <si>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</si>
  <si>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</si>
  <si>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</si>
  <si>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</si>
  <si>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</si>
  <si>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</si>
  <si>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</si>
  <si>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</si>
  <si>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</si>
  <si>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</si>
  <si>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</si>
  <si>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</si>
  <si>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</si>
  <si>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</si>
  <si>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</si>
  <si>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</si>
  <si>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</si>
  <si>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</si>
  <si>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</si>
  <si>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</si>
  <si>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</si>
  <si>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</si>
  <si>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</si>
  <si>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</si>
  <si>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</si>
  <si>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</si>
  <si>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</si>
  <si>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</si>
  <si>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</si>
  <si>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</si>
  <si>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</si>
  <si>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</si>
  <si>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</si>
  <si>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</si>
  <si>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</si>
  <si>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</si>
  <si>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</si>
  <si>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</si>
  <si>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</si>
  <si>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</si>
  <si>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</si>
  <si>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</si>
  <si>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</si>
  <si>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</si>
  <si>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</si>
  <si>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</si>
  <si>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</si>
  <si>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</si>
  <si>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</si>
  <si>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</si>
  <si>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</si>
  <si>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</si>
  <si>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</si>
  <si>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</si>
  <si>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</si>
  <si>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</si>
  <si>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</si>
  <si>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</si>
  <si>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</si>
  <si>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</si>
  <si>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</si>
  <si>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</si>
  <si>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>12,12, 7, 7,</t>
  </si>
  <si>
    <t>12,12,12,12,</t>
  </si>
  <si>
    <t xml:space="preserve">34,35,34,35, 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</si>
  <si>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</si>
  <si>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</si>
  <si>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</si>
  <si>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</si>
  <si>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</si>
  <si>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</si>
  <si>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</si>
  <si>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</si>
  <si>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</si>
  <si>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 xml:space="preserve"> 8, 8,</t>
  </si>
  <si>
    <t xml:space="preserve"> 7, 7,</t>
  </si>
  <si>
    <t>12,12,</t>
  </si>
  <si>
    <t>34,35,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</si>
  <si>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</si>
  <si>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</si>
  <si>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</si>
  <si>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</si>
  <si>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</si>
  <si>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</si>
  <si>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</si>
  <si>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</si>
  <si>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</si>
  <si>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</si>
  <si>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</si>
  <si>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</si>
  <si>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</si>
  <si>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</si>
  <si>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</si>
  <si>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</si>
  <si>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</si>
  <si>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</si>
  <si>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</si>
  <si>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</si>
  <si>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</si>
  <si>
    <t xml:space="preserve"> 1, 1, 2, 2,</t>
  </si>
  <si>
    <t xml:space="preserve"> 0, 5, 6, 2, </t>
  </si>
  <si>
    <t xml:space="preserve">43,43,43,43, </t>
  </si>
  <si>
    <t xml:space="preserve"> 8, 8,12,12,</t>
  </si>
  <si>
    <t>63,63,63,63,</t>
  </si>
  <si>
    <t>73,73,73,73,</t>
  </si>
  <si>
    <t>43,43,</t>
  </si>
  <si>
    <t xml:space="preserve"> 1, 1,</t>
  </si>
  <si>
    <t xml:space="preserve"> 2, 2,</t>
  </si>
  <si>
    <t>33,33,</t>
  </si>
  <si>
    <t>31,31,</t>
  </si>
  <si>
    <t>32,32,</t>
  </si>
  <si>
    <t xml:space="preserve"> 0, 5,</t>
  </si>
  <si>
    <t xml:space="preserve"> 6, 2,</t>
  </si>
  <si>
    <t>63,63,</t>
  </si>
  <si>
    <t>73,73,</t>
  </si>
  <si>
    <t xml:space="preserve"> 4, 5, 1, 2,</t>
  </si>
  <si>
    <t>20, 0, 2,20,</t>
  </si>
  <si>
    <t xml:space="preserve">25,25,25,25, </t>
  </si>
  <si>
    <t>18,18,18,18,</t>
  </si>
  <si>
    <t>4,                             // ItemType::Punji</t>
  </si>
  <si>
    <t>25,25,</t>
  </si>
  <si>
    <t xml:space="preserve"> 4, 5,</t>
  </si>
  <si>
    <t xml:space="preserve"> 1, 2,</t>
  </si>
  <si>
    <t>20, 0,</t>
  </si>
  <si>
    <t xml:space="preserve"> 2,20,</t>
  </si>
  <si>
    <t>18,18,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</si>
</sst>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73.png"/><Relationship Id="rId66" Type="http://schemas.openxmlformats.org/officeDocument/2006/relationships/image" Target="../media/image62.png"/><Relationship Id="rId74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4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6.png"/><Relationship Id="rId75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72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5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5.png"/><Relationship Id="rId74" Type="http://schemas.openxmlformats.org/officeDocument/2006/relationships/image" Target="../media/image73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png"/><Relationship Id="rId13" Type="http://schemas.openxmlformats.org/officeDocument/2006/relationships/image" Target="../media/image88.png"/><Relationship Id="rId3" Type="http://schemas.openxmlformats.org/officeDocument/2006/relationships/image" Target="../media/image78.png"/><Relationship Id="rId7" Type="http://schemas.openxmlformats.org/officeDocument/2006/relationships/image" Target="../media/image82.png"/><Relationship Id="rId12" Type="http://schemas.openxmlformats.org/officeDocument/2006/relationships/image" Target="../media/image87.png"/><Relationship Id="rId2" Type="http://schemas.openxmlformats.org/officeDocument/2006/relationships/image" Target="../media/image77.png"/><Relationship Id="rId1" Type="http://schemas.openxmlformats.org/officeDocument/2006/relationships/image" Target="../media/image76.png"/><Relationship Id="rId6" Type="http://schemas.openxmlformats.org/officeDocument/2006/relationships/image" Target="../media/image81.png"/><Relationship Id="rId11" Type="http://schemas.openxmlformats.org/officeDocument/2006/relationships/image" Target="../media/image86.png"/><Relationship Id="rId5" Type="http://schemas.openxmlformats.org/officeDocument/2006/relationships/image" Target="../media/image80.png"/><Relationship Id="rId10" Type="http://schemas.openxmlformats.org/officeDocument/2006/relationships/image" Target="../media/image85.png"/><Relationship Id="rId4" Type="http://schemas.openxmlformats.org/officeDocument/2006/relationships/image" Target="../media/image79.png"/><Relationship Id="rId9" Type="http://schemas.openxmlformats.org/officeDocument/2006/relationships/image" Target="../media/image84.png"/><Relationship Id="rId14" Type="http://schemas.openxmlformats.org/officeDocument/2006/relationships/image" Target="../media/image8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48D36F4-B14F-DF42-8279-3AF3C0F3B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E31B784-C0F4-5F44-A1C7-7E78A11A9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ED7B80E-7C67-094B-B787-DE78ADE6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B4C44B9-6005-364A-9228-8D12283D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3EE7E4B2-09C8-D349-BC3C-76EC25E16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AF55E44-A499-8C48-A1DA-C8AAAC8A8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54035BB-102B-744B-8B8F-C7EF8F7C5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A1295D7-8B5F-BC45-9B6A-F07CE4B63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87DAD08-51E0-2949-9DD4-B0BCA35B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BE7F536-E9E3-194E-AB15-FE7A46881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526E753-9246-984A-A97A-2C2A3A3B7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0225A05-B8F4-EE4D-8F9E-AC45F3B8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5C4B157-585C-1342-922B-C72879A6F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E39F0B8-AC4C-C24C-8595-4E224AA81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A807710-AE55-1C4E-8149-E08C413D9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6F0B612-21A0-9D4D-BB9B-C3DD1CED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CAD9A5E-F290-2A4E-B989-CDCF2D911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CCBA3D7-24EC-774A-8513-DF0EF7FD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58254D3-3472-DD49-9E74-2F5DC1AB7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7BC8AB0-16B0-424D-92F7-355D42F45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34BE02-2926-7E41-B873-0F99771CD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6D953C56-5833-4A48-AB88-2A38E434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E40ED5C-0C6D-F040-9C84-5688CF2F6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4ED3ED9-740C-D34C-B9FC-5ABAD93B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A7DF3FF8-21A9-4D45-87AD-16A6ACC0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04B4D2-6291-5A45-ABC2-92A03B617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774C5DA-1439-4449-BB55-72319C34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7C5330C-2B19-7842-AD7B-5C7172CA5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93AB9AA-5FE6-4144-8820-CEDD3263D3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CD71CE-5101-2141-A1CB-1D0115FF39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59C9D63-0F2F-2942-864E-B4E941318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E468C97-0543-6B4F-B117-6AAC6968E7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73788128-AF0A-2349-9E49-084D13504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9D40D9D-341D-9D45-9980-AE90E96A14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0874B8-A25E-E543-9844-6585D67C77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174B44-0781-6D48-B3AA-DC789E0148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B3B0E3C-970A-8D41-9BE9-51BD512C06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74A63B1-1D35-BB4D-B6E1-612CF68D79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C6C6D074-3767-1648-B92F-FDBFE49275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0BF3FD4-F728-3D4C-B1D0-60BDC0D7A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312E79E-67F2-6247-B632-3A6E115B36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6665E6B-0677-DE45-ACFC-13A1347D1D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3E7ECD1-C172-4645-A3E2-FBBB1DE3C4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729D9E-180E-F047-913D-3891A0A89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468EBE1-F665-634B-9BF1-B5E0400DF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E4E416-54F1-E649-B526-0B888B95A9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1D89BC-68DC-5647-ACC9-4DC0D5D1FD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051C824-4FF3-D944-A09C-44EAC023E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EA0EDAD-2074-5744-95CA-08315F576A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0F12819-C1B2-1546-943D-C8CE361B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42F6DF13-6820-4844-9A18-F553A872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A7FD9AE-4B5C-874F-B946-5DAB2D4C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A080FA2-509B-9642-9CAD-5C4815AC2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F88FC22-0AFC-E346-ABCF-F97AFE60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1E24A73-E6BC-AF4C-9CD4-96F9F91F5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38E7062-B479-E546-ABAF-845C45A48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B292E7CD-D5A6-504F-BF9D-9878E4560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03465CF-09DA-1F4D-B384-7AAE7F7D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B0005043-5639-8740-B20B-EC7BFD7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A0C2F85-0ED1-8446-AF38-C71485143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DDBFBD-29B3-2648-B0D1-0980EB5E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E5C1DCF2-AA0E-B847-9B94-B4470CF04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04B00D-476B-1744-9340-DC8C6C36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9" name="Picture 68" descr="18,18,18,18,">
          <a:extLst>
            <a:ext uri="{FF2B5EF4-FFF2-40B4-BE49-F238E27FC236}">
              <a16:creationId xmlns:a16="http://schemas.microsoft.com/office/drawing/2014/main" id="{EB142DD8-AB46-FE4C-923F-164D5D3F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0" name="Picture 69" descr="Item:Poker,Pos:1">
          <a:extLst>
            <a:ext uri="{FF2B5EF4-FFF2-40B4-BE49-F238E27FC236}">
              <a16:creationId xmlns:a16="http://schemas.microsoft.com/office/drawing/2014/main" id="{A9D69DA5-9057-7441-8F58-54BDEBFEA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1" name="Picture 70" descr=" 9,10, 2, 1,">
          <a:extLst>
            <a:ext uri="{FF2B5EF4-FFF2-40B4-BE49-F238E27FC236}">
              <a16:creationId xmlns:a16="http://schemas.microsoft.com/office/drawing/2014/main" id="{D3C75B9D-212C-4B4F-AE16-7F64A3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72" name="Picture 156" descr=" 0, 0, 3, 3,">
          <a:extLst>
            <a:ext uri="{FF2B5EF4-FFF2-40B4-BE49-F238E27FC236}">
              <a16:creationId xmlns:a16="http://schemas.microsoft.com/office/drawing/2014/main" id="{EAD54B30-6F98-9541-8801-8FBC279863CA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73" name="Picture 157" descr=" 2, 2, 3, 3,">
          <a:extLst>
            <a:ext uri="{FF2B5EF4-FFF2-40B4-BE49-F238E27FC236}">
              <a16:creationId xmlns:a16="http://schemas.microsoft.com/office/drawing/2014/main" id="{4CBADF81-CADA-7C40-A124-661D357CE846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74" name="Picture 73" descr="42,42,42,42, ">
          <a:extLst>
            <a:ext uri="{FF2B5EF4-FFF2-40B4-BE49-F238E27FC236}">
              <a16:creationId xmlns:a16="http://schemas.microsoft.com/office/drawing/2014/main" id="{02820D8E-2E3E-1047-B98F-47157A0D7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4255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75" name="Picture 74" descr="43,43,43,43, ">
          <a:extLst>
            <a:ext uri="{FF2B5EF4-FFF2-40B4-BE49-F238E27FC236}">
              <a16:creationId xmlns:a16="http://schemas.microsoft.com/office/drawing/2014/main" id="{FDD79D86-8DCF-AC46-9BAA-A852E3432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441399" y="10394949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C6DBD5B0-42DA-FD41-87AC-C03773808979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0499BD2-301E-C24F-AFCB-5486CB639398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AE480CF8-2BC6-9342-A14D-D2958D540069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958D73-2847-904F-90CC-0D5B9EAFF794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8026C107-825C-5145-9290-38D9F2378017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E49327A2-9D74-5241-A7B9-F8769BC8F911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BAD20CDA-E397-974B-AA54-81FB441A61F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095A07CC-A68E-5A47-A1E8-D324199D14DE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8A4F305-4A1A-1B49-8D9C-2B86B4493A74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236EA614-AE55-F844-859C-22158238BE77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D7803AAD-8F32-7B4F-A0BC-630E46989C1C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96581585-E29D-C849-AA31-55D0215848D7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55F80E9C-6864-014A-8F48-EF2B1FBF8F22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4F89813-FFC5-6246-A606-F0E11FF198AB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7D3D8D5D-056D-4A4F-99E3-8FFFA7461D2A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D8F56EE-76D4-7F45-94D4-6481C3AE372A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E7455D1-C8B8-874A-8CB5-1FE4DA59E55D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78C33BF-3E0A-6D40-ACA5-A5607399DA13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898A005A-29F4-B04B-B2BB-46BD600AA6EA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9A90D6E-EC85-9243-A8F8-A9F214679564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16859731-1963-AB40-AD75-9FFADEFB91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4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A2B262C-F126-4644-9D3E-251A8768701A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21480B1C-A344-2046-A291-F18BA6B84BF5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4A0D904F-2C13-7248-A079-AA778405DD30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657CBAA9-87AD-8D47-A3C3-B726A4A49AFD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D4222F2C-B2F6-DC49-A656-5C2DE1ACF86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30AF01F-973F-7148-A334-1E4B6E589673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2C868B5-0D19-1E46-B34B-C30CE9593B9B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7B052790-0630-AB42-9CA2-09174825CD21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D8A13FC9-9199-554A-B0E2-D680101C0849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10B2D07-315B-E144-8159-5942B176B401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1DFBCF8-A012-C745-A029-49BD398AECB7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2FBF020C-1106-044F-9276-8CBF4E074FDD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41D3C8C-4CEB-6D41-9129-70CC4FD05408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78DF187-779D-F940-92C3-310ED0C1C06A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83D319D-5120-274D-8503-2A622C759EDA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51381FC7-47AE-134C-BC3B-ABFAA2C9D133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DAE4F456-DB76-0A48-9592-D25262F31650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10690D1-1063-6B4F-9783-08B94AF901E4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2B63FF42-ED22-F743-A2CA-AC805ACB0CF5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EC3BBC2B-2C78-844D-BA78-E47EA975DF3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515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17" name="Picture 116" descr="33,33,31,31,">
          <a:extLst>
            <a:ext uri="{FF2B5EF4-FFF2-40B4-BE49-F238E27FC236}">
              <a16:creationId xmlns:a16="http://schemas.microsoft.com/office/drawing/2014/main" id="{0A1D098D-1D7D-0244-A4A1-8C0C147855B0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18" name="Picture 117" descr="31,31,31,31,">
          <a:extLst>
            <a:ext uri="{FF2B5EF4-FFF2-40B4-BE49-F238E27FC236}">
              <a16:creationId xmlns:a16="http://schemas.microsoft.com/office/drawing/2014/main" id="{EC60F679-BE5F-B34C-9ECF-1789DE081527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19" name="Picture 118" descr="31,31,31,31,">
          <a:extLst>
            <a:ext uri="{FF2B5EF4-FFF2-40B4-BE49-F238E27FC236}">
              <a16:creationId xmlns:a16="http://schemas.microsoft.com/office/drawing/2014/main" id="{DAB10207-180D-B64A-A6CD-DC551E9B4C3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FA654E00-331B-264B-A779-01A94CE274B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21" name="Picture 120" descr="31,31,31,31,">
          <a:extLst>
            <a:ext uri="{FF2B5EF4-FFF2-40B4-BE49-F238E27FC236}">
              <a16:creationId xmlns:a16="http://schemas.microsoft.com/office/drawing/2014/main" id="{5CDDD5D5-18DB-8D4F-85B6-F5A43EFD3906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22" name="Picture 121" descr="Item:Key1,Pos:1">
          <a:extLst>
            <a:ext uri="{FF2B5EF4-FFF2-40B4-BE49-F238E27FC236}">
              <a16:creationId xmlns:a16="http://schemas.microsoft.com/office/drawing/2014/main" id="{21054A98-CBAF-344F-8627-D6E1A3DACEA5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5988050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23" name="Picture 122" descr="Item:LockedDoor,Pos:1">
          <a:extLst>
            <a:ext uri="{FF2B5EF4-FFF2-40B4-BE49-F238E27FC236}">
              <a16:creationId xmlns:a16="http://schemas.microsoft.com/office/drawing/2014/main" id="{52247C94-77FD-054E-B465-38AB261D8102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485100" y="609282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24" name="Picture 123" descr="Item:Chakana,Pos:1">
          <a:extLst>
            <a:ext uri="{FF2B5EF4-FFF2-40B4-BE49-F238E27FC236}">
              <a16:creationId xmlns:a16="http://schemas.microsoft.com/office/drawing/2014/main" id="{5C07AFA2-02F3-C74C-B8E1-4ED40FE47117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155150" y="606107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25" name="Picture 124" descr="Item:SwingingVine">
          <a:extLst>
            <a:ext uri="{FF2B5EF4-FFF2-40B4-BE49-F238E27FC236}">
              <a16:creationId xmlns:a16="http://schemas.microsoft.com/office/drawing/2014/main" id="{0323ECDD-4B76-AB42-B78F-D8C472537A22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689850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26" name="Picture 125" descr="31,31,32,32,">
          <a:extLst>
            <a:ext uri="{FF2B5EF4-FFF2-40B4-BE49-F238E27FC236}">
              <a16:creationId xmlns:a16="http://schemas.microsoft.com/office/drawing/2014/main" id="{D7AD38D8-C34A-8A45-97E2-05268C2DEFD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27" name="Picture 126" descr="31,31,32,32,">
          <a:extLst>
            <a:ext uri="{FF2B5EF4-FFF2-40B4-BE49-F238E27FC236}">
              <a16:creationId xmlns:a16="http://schemas.microsoft.com/office/drawing/2014/main" id="{21BAB0EB-2FCE-C540-9E76-992906930169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515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C40D6CEB-563F-4747-9BA7-0589E83D452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6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2FA68330-B30C-DE4A-9383-9326C3D8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4413DF0E-3E52-C240-81EF-644AB9F09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F94EFECB-3AAD-B549-8ECC-3604A4195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32" name="Picture 131" descr=" 0, 5, 6, 2, ">
          <a:extLst>
            <a:ext uri="{FF2B5EF4-FFF2-40B4-BE49-F238E27FC236}">
              <a16:creationId xmlns:a16="http://schemas.microsoft.com/office/drawing/2014/main" id="{82F22DCD-FA8C-FF49-AEE8-D6871D785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33" name="Picture 132" descr=" 0, 5, 6, 2, ">
          <a:extLst>
            <a:ext uri="{FF2B5EF4-FFF2-40B4-BE49-F238E27FC236}">
              <a16:creationId xmlns:a16="http://schemas.microsoft.com/office/drawing/2014/main" id="{43018C6B-E08C-FD47-A662-3B003E310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C6A033BA-E993-EF42-B73E-192E6C7EB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35" name="Picture 134" descr=" 9, 0, 2,11, ">
          <a:extLst>
            <a:ext uri="{FF2B5EF4-FFF2-40B4-BE49-F238E27FC236}">
              <a16:creationId xmlns:a16="http://schemas.microsoft.com/office/drawing/2014/main" id="{0D5F3795-1C08-2240-94DD-A62C6AF07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0F47A99-6656-A642-B9D0-DEDC6242D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075150" y="6934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37" name="Picture 136" descr=" 0, 0, 1, 1">
          <a:extLst>
            <a:ext uri="{FF2B5EF4-FFF2-40B4-BE49-F238E27FC236}">
              <a16:creationId xmlns:a16="http://schemas.microsoft.com/office/drawing/2014/main" id="{E6DC2254-F544-9149-B1DF-6558F4601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1491AD52-AFE5-0948-9FD2-A56CD2743D93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39" name="Picture 138" descr="Item:Chakana_Small,Pos:1,Data:5">
          <a:extLst>
            <a:ext uri="{FF2B5EF4-FFF2-40B4-BE49-F238E27FC236}">
              <a16:creationId xmlns:a16="http://schemas.microsoft.com/office/drawing/2014/main" id="{60601D5F-69AA-8045-A0A9-3619308B6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CB8DBC36-C465-C64B-9483-E3F933A5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141" name="Picture 140" descr=" 0, 5, 6, 2, ">
          <a:extLst>
            <a:ext uri="{FF2B5EF4-FFF2-40B4-BE49-F238E27FC236}">
              <a16:creationId xmlns:a16="http://schemas.microsoft.com/office/drawing/2014/main" id="{9A04F24C-9F56-2F48-90D0-C1EB620D3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9627850" y="69500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9E1B5921-0FAA-BF40-AB63-21D8A1A4E96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BA20DD29-C906-ED43-9157-D388126FFDD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AC132705-83C0-D24A-AF19-50BA867AEB5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C0A2D0D7-826E-4645-8843-3FDF87D7E207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3FE371DF-F796-584C-BC3C-503A172B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9596100" y="904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E9AC492E-4247-494A-A303-35E5C96C5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15249" y="888999"/>
          <a:ext cx="80327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8" name="Picture 147" descr=" 0, 0,28,28,">
          <a:extLst>
            <a:ext uri="{FF2B5EF4-FFF2-40B4-BE49-F238E27FC236}">
              <a16:creationId xmlns:a16="http://schemas.microsoft.com/office/drawing/2014/main" id="{53A7AD84-1B40-134D-ACD6-52DE64F9C4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9" name="Picture 148" descr=" 0, 0,27,27,">
          <a:extLst>
            <a:ext uri="{FF2B5EF4-FFF2-40B4-BE49-F238E27FC236}">
              <a16:creationId xmlns:a16="http://schemas.microsoft.com/office/drawing/2014/main" id="{0B7E19C2-ECA1-CB43-8FE8-05C193661CE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50" name="Picture 149" descr="28,28, 2, 2,">
          <a:extLst>
            <a:ext uri="{FF2B5EF4-FFF2-40B4-BE49-F238E27FC236}">
              <a16:creationId xmlns:a16="http://schemas.microsoft.com/office/drawing/2014/main" id="{B07F42DF-3AF7-E54E-8947-DAEC14B2FA1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3DE009E2-5F56-D144-84A5-B5FAFCE1EF8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93250"/>
          <a:ext cx="776113" cy="77611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F58A2-3D45-A04B-9769-93F2D4727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421B2B-4C11-C04E-98CA-532128F00B9C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C110370-842C-5641-A325-0CF54FD72432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31D2EA07-E093-1D47-B4C9-A41DB0D6D59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B543661-1412-D949-BAD2-CB15E75120A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2897256-3D6A-7044-A033-68F9A5F337DA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1BD02B9-EBC2-E444-87E9-65C6F468E2E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FCCD9B2-BB8F-004B-AC72-7069438598C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76300D5-F929-4142-B96B-766846040FED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10F2712-4EAE-FB4D-973C-A4167C3FBE83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CE539F1-7CA8-0346-80FA-6883A2320E57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03EE5C-E8DB-E045-B9D7-1022988CE1D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801AE75-100B-EA4C-85A3-1304FB869EF4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DD209976-C039-C148-92A7-38CB203DBE93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F5BEFEE-3CB1-8548-879F-8E03BD2E3BEA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76F7413-38FF-D74B-A748-A2C1843C49C1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89655FB-283D-5543-AA88-96E415F4F181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9037F73-9467-D64D-9193-A50D01551C74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F666BAA-BE86-F640-B171-028AB1B7A6D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70C25B3-32AE-A94B-90CE-D8AD39144F22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8937FA2-7F0F-3C4E-AE2E-D5FFFAA7D687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488B4AE-58EF-8E44-8E96-6498F6C4137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40D6F07-ACBD-5F49-93FF-0B966E616D0D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3DEE96-1C03-B340-97BB-507ADBA5465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64BFF79-B562-F245-AABB-2DDC80451409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E81DC425-7214-1E41-B353-DAED0DF223F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1626CDB-929F-4D4F-AE31-050A41FECAF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5E68ACF-2DA2-7A47-AA5C-DF1C5274A476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A4652CD-E928-ED45-817E-9ECB350F5326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EEEF040-9757-CB4A-9334-2C0DAE00E3A3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748905E-9E35-AC43-A1CA-540A5D02FC45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9CF8CFF-7E28-494D-AE3A-7731827C234D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DAF2D22-01D5-5244-BAE2-C016EF5AF69B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A3666B2-834D-5944-9233-EF6EAF8A287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4934AE83-D3A4-6D43-8AE6-CDCE9716E962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C13F869-C7FC-8346-909B-252A2CDED261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43C612F-5700-1E4B-8FA4-1F0B8D91FA6B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7869342-CBBA-5D40-B6E9-52C3BF86F085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BA1A861-25BB-B74A-BEE0-8C06626F98F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25CB23E-0B40-074B-A816-760E7C122815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5FBFA9B-DFD4-4042-9083-22E84C8E758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FF743E38-1FB3-F14C-A6DD-9BF97965E8E4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262B340-2AE4-EC48-9E8F-58D7E1813D36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46AACAD-6B4B-7040-81A8-DA0DE6FC444C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96783A6-C625-6749-B9AD-1D5FA95B7E8C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13BA7C5-BEBB-6040-ADC9-911C97996E47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FA750CD-6D80-774B-8455-52EAF6A319C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BC8F7D8-D23F-2F45-9578-9BEEFE8D55CD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7E73C01-C64E-6B40-8CBB-7846B0C0AAE6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2010A6D-FD82-B849-80FA-152E295717B5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E9E05BBD-EEEF-8847-ACDD-CC25477E507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92B0701-2F7D-9B43-8E56-C93A02879BD6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05879867-C8CB-6B41-8CEF-0C00130EFA0C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BA51B2E0-BC38-7C45-B781-8454771A1DE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4C6B013-0518-2045-9837-65185D4D3DCA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7053FFF-5728-7741-A124-C98EB513A217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2A179D07-82A0-694C-A2FD-9CF008C6106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76B0BD67-6F8D-F34E-8EF1-4789275590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B17AC8CB-FCED-9F44-A9F6-37DC5000B08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B7BC9BC-C3D7-644C-BC36-F42D4805575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37F3F07B-1D99-9543-831A-2A621DBFE976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83C04DF-7D8E-4E46-A5BD-803FA713871C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2B0BFF38-DF5C-DB42-AEFA-2D3D70F90606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09B2373-AAC3-164F-86DE-5526850CFF6B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A53E013C-BA52-AE43-879A-2E1B443C0A07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0DF12E60-F561-2D49-B468-4F55F7059B37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E0E1718-845A-3742-8338-6F3E46D3CFD2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6477D0EA-C2E0-434A-A9DC-5382DDA8A7FB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07A9A0F-73A7-B949-AD97-6C6706B0E0C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1EFF11A-3E09-2744-9ADD-C057A5F20179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FB8F097-83D6-714C-8F08-30CAE284E435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C2B6F0B0-F87C-4A42-BAF4-0CCFE261C29C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F44157FD-79DF-7847-A1BE-332CDE277ED4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DF239401-B98B-F04B-A33A-54231171EA84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8E41AFA8-8141-824E-A66D-E86C39EB5625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C79DA35F-2ABF-B74D-B6AD-5C253F02B947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E6EF07F-0B9B-E546-88C0-809ED191C05F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901358C6-5EF5-844F-9F89-0EA1C2E339B6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3DAD4ED-D614-E04D-B66C-150D161DCB21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AA29AD99-BF9F-1F47-AB9B-3EC73B876537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AB907EB9-0973-174B-97D2-66FA619C7046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BEBBF055-68B0-C245-BF11-479B26298B66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4DB95EA2-8D6B-894C-94F0-66018A09A7D5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7B7F5E51-C9E3-494D-ABF1-F42CBE0EC88C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7AD59712-F73F-B341-8AD5-7CC2E775DC92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69564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77B9D15-E336-B840-A169-28D7A3F42CD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E6D13B33-96E3-DF49-A74F-DE2E3173D9C5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3C5D7621-74A4-F54C-8D78-57C37891277A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A44C121F-B586-9344-B7AE-F7A61DBC3EC5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EB41345F-591B-E54F-9E16-D50966B5EE3B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E143AA14-3618-7C46-90AC-10C880F0BC55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4623581F-5C7C-5345-9526-53CDE2D2FC7E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E53B9F8D-7C16-D14E-BF79-55E9557CD48E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F380EECB-C316-174F-A523-D220F1C154DF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8EEB192A-F913-FF45-A8DA-187458A078BB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FFD65BA7-D771-8A44-88FB-1E9B194F48DE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0060509-7ACF-594D-B6F8-59847A525FC8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A56E2EA8-3E03-3448-AB9F-CC2B4997B87C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67B6AD51-3A87-3F4C-B9D2-2EA463E606A6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5AE464A-215C-B547-8F57-D845A8C4A7FF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2D78A014-83AB-E246-9EE2-47B1685D829C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425CD84-4AB7-DF44-AB05-501635AB71FB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C2DB383-D639-494D-927F-C49F33989556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86892813-9E11-4949-B91C-07C5638161E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E9A274E8-5C05-B04E-93E1-06050FE3450A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5BC331C3-AB78-DB4A-8FA4-89C8618F94F3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F2E05896-A3C3-0E44-B1B6-2B419D52337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3DE8A46C-BE87-C743-8566-1FAACE3AA1D2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BDEB95-EB5E-9040-877E-4C2FE2594F62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D29C1383-3833-2046-9B98-279010DE887D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8BC6212-61A2-C34F-BB50-5DAB7C083B53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F1BAD0E5-34A5-FC40-A5A1-B5C1149ABE7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4E270B5-0474-F341-B715-BD991B9C80A1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AD5A7BF3-1F15-7846-9132-91620D5112D1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568E902-7A56-2A4C-A994-954BBB715A7E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EB144FB0-8C5E-A843-B874-2585193BE1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586270D-1A15-D845-97E0-D6C5461B9165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B26565F-C105-F54D-991F-500F4E65884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318A91B-ECEE-0445-85F2-2CEA59ACF4C4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614B532-F711-DF45-B6E5-25A537BF1152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3333152-E197-8646-B6F2-23D9FF22B07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127661C-D571-B744-987C-A8D88719877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C6CF8939-14A0-E343-B6F5-2CC8FDA81B12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3C0579B-23B4-2B41-8FF5-16EE312A4440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547569F5-04FE-D844-A68E-6524CC1CB2A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D859C8AD-30BE-ED44-9C26-9BB3586F9F81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8E599F5C-EA63-D944-B852-1C32BBB41564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17">
          <a:extLst>
            <a:ext uri="{FF2B5EF4-FFF2-40B4-BE49-F238E27FC236}">
              <a16:creationId xmlns:a16="http://schemas.microsoft.com/office/drawing/2014/main" id="{81B1EA50-F220-9B44-98F9-340DB08E00A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E5F2B866-FA74-624A-A5E6-E25F37FB0795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1E28AE4-65A1-3D4F-97AC-7BB5540A5B2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D38AC3E9-8DD9-684D-BC22-BE0D0C7060E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E1DB60F5-EF90-854C-A5F1-A0F709A9DC70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F3E013C-46B6-F546-B761-6274BB3E06B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505263C9-2620-CA4C-8D5D-CEE27B76BA9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FAF2A2C-6754-9143-89D5-DEA882E5218E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9881CD7D-3134-9248-AB67-965AED1BD077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7</xdr:row>
      <xdr:rowOff>47625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167177F0-F7A9-D14D-9E2B-000A71066510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721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B6E21B1-AFE5-4D44-A3BD-C0A584BB9E11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BCE840C7-1726-4F40-80D2-A0DB06AD323E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AC6C3017-8261-7742-942B-CF2EB96F88B3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1AACFAEF-87BF-EB41-A225-0E863EF4100A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F6EE19CE-7BC2-2448-967F-781B79FA6681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E4B294F-C15B-F944-B3CB-440D87EC05E4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BCCC2EDC-76BA-E940-878A-A8E4B443D79A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FE285EB-FBD3-264B-9B8D-A9F2255E9A03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A2844421-065C-DD42-B47D-F6C2391C555E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66B3BAE-E091-7E49-8F43-9A3C23659AD6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1B9EAC9C-7C38-2845-9B79-6DEE05B868FE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868900" y="60452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4AA107BB-7A7D-594B-BE0B-6F9967361E51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0" y="69088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1E7175B3-0119-9B4B-A7A8-B12001F9DAE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BFE03542-586C-4A4C-8499-F0C40BD3F751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47625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E726A28C-183C-4246-ACDC-E2E5AE33496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928475" y="695642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10</xdr:col>
      <xdr:colOff>0</xdr:colOff>
      <xdr:row>5</xdr:row>
      <xdr:rowOff>0</xdr:rowOff>
    </xdr:from>
    <xdr:to>
      <xdr:col>10</xdr:col>
      <xdr:colOff>785091</xdr:colOff>
      <xdr:row>5</xdr:row>
      <xdr:rowOff>819727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DC6FA41F-6846-7B43-A109-6C6D26AD2CEC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09000" y="431800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1FFFAA5C-4638-1046-A729-70F443201AB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899E2E13-D65E-D347-8A8A-2DF76BFBD097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8F9D392B-19B9-8448-9F46-D2C0A2CC23A6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9525</xdr:colOff>
      <xdr:row>5</xdr:row>
      <xdr:rowOff>25400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48112068-77A9-3245-A276-4A7C7685840F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658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65A240E2-B888-BC45-B1C9-62CC4AB6083A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1,Data:1">
          <a:extLst>
            <a:ext uri="{FF2B5EF4-FFF2-40B4-BE49-F238E27FC236}">
              <a16:creationId xmlns:a16="http://schemas.microsoft.com/office/drawing/2014/main" id="{95667353-FDB2-084C-B684-1F1EEC8F4428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2">
          <a:extLst>
            <a:ext uri="{FF2B5EF4-FFF2-40B4-BE49-F238E27FC236}">
              <a16:creationId xmlns:a16="http://schemas.microsoft.com/office/drawing/2014/main" id="{248E8C8B-0F4E-5647-A6F6-CCD54D46A3EA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3AA8DB49-E27E-474C-AF58-C7069C60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21F0B42A-B476-FB4F-906D-0655423F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A4CADB5-60DA-DF4C-8B72-7BCBFAF2A827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D257E92E-76D6-F14A-BB5D-B3937689C3FD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3</xdr:row>
      <xdr:rowOff>31750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7ED20195-1495-8F45-944A-142EE2343FF5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88050" y="2622550"/>
          <a:ext cx="808185" cy="808183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3</xdr:row>
      <xdr:rowOff>41275</xdr:rowOff>
    </xdr:from>
    <xdr:ext cx="808185" cy="808183"/>
    <xdr:pic>
      <xdr:nvPicPr>
        <xdr:cNvPr id="167" name="Picture 166" descr="Item:Punji,Pos:1">
          <a:extLst>
            <a:ext uri="{FF2B5EF4-FFF2-40B4-BE49-F238E27FC236}">
              <a16:creationId xmlns:a16="http://schemas.microsoft.com/office/drawing/2014/main" id="{BBB98D86-C93C-2C47-A08D-E45F742021BC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7715250" y="263207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B90FF2E0-4527-EC48-8165-B32183EDB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E7C6FEC9-F81D-504F-8845-E266B2AE3FD6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070C17D5-F1A0-0D45-855A-8ACF83B666BF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AD3EE4D0-898A-5546-B7E1-8B42995C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E1C9C099-38C7-F441-950A-E6D8F9BCC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2B04FD11-51AB-4F4A-BFD0-BFB41DA8058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79375</xdr:colOff>
      <xdr:row>8</xdr:row>
      <xdr:rowOff>15875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A6E3C99A-8FAB-CD46-8710-D7758122B06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91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DBF439A4-F592-204B-AAD3-D59C6C0A9808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8E60553-3795-6747-B5D5-4EAF2D2EC1AD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5" name="Picture 74" descr="Enemy:Archer_LH,Pos:1">
          <a:extLst>
            <a:ext uri="{FF2B5EF4-FFF2-40B4-BE49-F238E27FC236}">
              <a16:creationId xmlns:a16="http://schemas.microsoft.com/office/drawing/2014/main" id="{BD8C1E78-C524-6142-A4F8-F3D7D1970425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5707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CE83BD9E-27A5-5B46-AEF1-B1C5F3D9FE24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5F5939C9-503D-A24A-98C5-5757810398CC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7544E2C7-AA70-D241-B580-11CD2E30B57B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AEBB378E-7826-084B-B1D8-0FD9A6144367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BF3A7A3E-96D3-BB4B-9CAF-E2D471B7B03F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13A6B37-1630-5847-B294-1FECAB146F46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DA0E42AB-2101-F441-8564-D8EE50D4B359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8AC51FF9-F392-C04C-AB92-220F51B8D4B7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F182B67-6A0E-FB49-A971-2DEB40FA081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0DDBA12A-51F8-204C-A13C-AC9A0ABD52CE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7DD2E88-AABA-0248-9711-F9C9228BFAEB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3E2ABE18-7454-1E4E-B5F1-3D194AACB2D6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0481D71F-FE64-A24B-A779-E1EC3F3D0AE2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474A40E-6D62-724E-88F6-DE207DDAEB4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8" name="Picture 97" descr="Item:Potion,Pos:1">
          <a:extLst>
            <a:ext uri="{FF2B5EF4-FFF2-40B4-BE49-F238E27FC236}">
              <a16:creationId xmlns:a16="http://schemas.microsoft.com/office/drawing/2014/main" id="{F7742B56-4B50-8C4F-9E67-6310CA1929B3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9" name="Picture 98" descr="Item:Potion,Pos:1">
          <a:extLst>
            <a:ext uri="{FF2B5EF4-FFF2-40B4-BE49-F238E27FC236}">
              <a16:creationId xmlns:a16="http://schemas.microsoft.com/office/drawing/2014/main" id="{07900447-E6A5-8A45-8ED2-B2F05BDAC158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100" name="Picture 99" descr="Item:Potion,Pos:1">
          <a:extLst>
            <a:ext uri="{FF2B5EF4-FFF2-40B4-BE49-F238E27FC236}">
              <a16:creationId xmlns:a16="http://schemas.microsoft.com/office/drawing/2014/main" id="{D1DFDFF4-6A11-4F45-9A00-176A39A42522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101" name="Picture 100" descr=" 8, 8, 7, 7,">
          <a:extLst>
            <a:ext uri="{FF2B5EF4-FFF2-40B4-BE49-F238E27FC236}">
              <a16:creationId xmlns:a16="http://schemas.microsoft.com/office/drawing/2014/main" id="{57B8E9E7-9771-A044-A30F-CF16E5AF3D8D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BD18AF01-58CA-884A-BAD7-B696077A04A7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AEC3327F-5D32-7846-B631-12D7ADC2101D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C4DFA2B1-6D1C-3C41-8FE5-06DB1191E8EB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5" name="Picture 104" descr="12,12,12,12,">
          <a:extLst>
            <a:ext uri="{FF2B5EF4-FFF2-40B4-BE49-F238E27FC236}">
              <a16:creationId xmlns:a16="http://schemas.microsoft.com/office/drawing/2014/main" id="{27FFB864-211D-9F45-8564-B9F707D3499D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6" name="Picture 105" descr="12,12,12,12,">
          <a:extLst>
            <a:ext uri="{FF2B5EF4-FFF2-40B4-BE49-F238E27FC236}">
              <a16:creationId xmlns:a16="http://schemas.microsoft.com/office/drawing/2014/main" id="{73F4EE4B-5256-454C-86A4-7E452BF08C60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7" name="Picture 106" descr="12,12,12,12,">
          <a:extLst>
            <a:ext uri="{FF2B5EF4-FFF2-40B4-BE49-F238E27FC236}">
              <a16:creationId xmlns:a16="http://schemas.microsoft.com/office/drawing/2014/main" id="{2E988E6B-E1AA-C143-B2C6-13705BD8C774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45F439ED-BC51-8D4E-B16D-330924D065BA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9" name="Picture 108" descr="Item:Sword,Pos:1">
          <a:extLst>
            <a:ext uri="{FF2B5EF4-FFF2-40B4-BE49-F238E27FC236}">
              <a16:creationId xmlns:a16="http://schemas.microsoft.com/office/drawing/2014/main" id="{8BD4C17E-5EB8-8E41-91F1-CA0564493911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10" name="Picture 109" descr="Item:Trebochet_Left,Pos:1">
          <a:extLst>
            <a:ext uri="{FF2B5EF4-FFF2-40B4-BE49-F238E27FC236}">
              <a16:creationId xmlns:a16="http://schemas.microsoft.com/office/drawing/2014/main" id="{DE2B6CFE-4EDC-9642-A285-3EA554F07364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11" name="Picture 110" descr="Enemy:SwordFighter_LH,Pos:1">
          <a:extLst>
            <a:ext uri="{FF2B5EF4-FFF2-40B4-BE49-F238E27FC236}">
              <a16:creationId xmlns:a16="http://schemas.microsoft.com/office/drawing/2014/main" id="{CBD39ECA-06DF-F145-A707-FD3801CBEF8E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76581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12" name="Picture 111" descr="Enemy:Archer_LH,Pos:1">
          <a:extLst>
            <a:ext uri="{FF2B5EF4-FFF2-40B4-BE49-F238E27FC236}">
              <a16:creationId xmlns:a16="http://schemas.microsoft.com/office/drawing/2014/main" id="{2E9C17E2-C55D-1542-A094-6497517C2B4B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653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13" name="Picture 112" descr="Item:SwingyThing,Pos:1">
          <a:extLst>
            <a:ext uri="{FF2B5EF4-FFF2-40B4-BE49-F238E27FC236}">
              <a16:creationId xmlns:a16="http://schemas.microsoft.com/office/drawing/2014/main" id="{6D41387C-B720-554A-93FC-E28636E86B8D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4064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F747E0B-D94F-8E45-B33E-01A8E7C5E0FB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A5531D2-07AA-A041-BD61-A0204F99100A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6" name="Picture 115" descr=" 0,22,22, 2,">
          <a:extLst>
            <a:ext uri="{FF2B5EF4-FFF2-40B4-BE49-F238E27FC236}">
              <a16:creationId xmlns:a16="http://schemas.microsoft.com/office/drawing/2014/main" id="{8BE9097D-144A-564A-9B9F-AD5B3048D58F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A68BA47F-E1DD-824F-A817-F8EB77A439B4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B2B6F0C-F222-7448-809D-55E8B2EE2453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C3991FE-F043-244B-ACE1-54FF348E9DA4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22" name="Picture 121" descr="Item:LifeSaver,Pos:1">
          <a:extLst>
            <a:ext uri="{FF2B5EF4-FFF2-40B4-BE49-F238E27FC236}">
              <a16:creationId xmlns:a16="http://schemas.microsoft.com/office/drawing/2014/main" id="{0C0778E7-E569-3041-B068-DAC0AA152E81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1016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DABF5A-6962-3249-95B6-A30F2B0685C8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2AB5C551-04E9-E048-9EC5-E776E1CF542F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83ED938-ABF0-C841-A50A-F65EA8AFB659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D7719411-76ED-7442-98AF-73913F8AE6D0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57E98B89-C561-AC40-9D34-500F318E2887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8" name="Picture 127" descr=" 0, 0,38,38,">
          <a:extLst>
            <a:ext uri="{FF2B5EF4-FFF2-40B4-BE49-F238E27FC236}">
              <a16:creationId xmlns:a16="http://schemas.microsoft.com/office/drawing/2014/main" id="{1ADA1F50-F86B-564E-B718-07D61175C2BB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8128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DB38725B-261F-FD40-922D-A514642BB2C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30" name="Picture 129" descr=" 0, 0,40,40,">
          <a:extLst>
            <a:ext uri="{FF2B5EF4-FFF2-40B4-BE49-F238E27FC236}">
              <a16:creationId xmlns:a16="http://schemas.microsoft.com/office/drawing/2014/main" id="{0C95F74C-2768-D343-8FB3-4898FF88E72B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5193A1CB-0ECD-B941-8172-B626363E70C8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758F86A3-DA0C-384B-9A1F-607C3A233601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76FFFDAE-F77B-DB4B-B924-B390F7CAD3EA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28C7A667-B6E7-3942-87CE-1918F5FC7D6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1E995FF6-7AB1-5048-AA43-3ABAD36B67FB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091DD6F-ABA8-D948-B8C0-9F58DA43B73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9" name="Picture 148" descr="Item:Lever_RH,Pos:1,Data:1">
          <a:extLst>
            <a:ext uri="{FF2B5EF4-FFF2-40B4-BE49-F238E27FC236}">
              <a16:creationId xmlns:a16="http://schemas.microsoft.com/office/drawing/2014/main" id="{F195B9BA-2BF5-1240-AA0D-4C7FCD2EBF46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1016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EF2DF065-7D00-1246-B932-1083BF86768B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93599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668EF65C-2E0D-3D41-A121-51341DEC49D7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52" name="Picture 151" descr="Item:Lever_LH,Pos:1,Data:1">
          <a:extLst>
            <a:ext uri="{FF2B5EF4-FFF2-40B4-BE49-F238E27FC236}">
              <a16:creationId xmlns:a16="http://schemas.microsoft.com/office/drawing/2014/main" id="{175E2420-4E73-0647-BA15-233C669E1CA2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1016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2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4" name="Picture 153" descr=" 9, 0, 2,11, ">
          <a:extLst>
            <a:ext uri="{FF2B5EF4-FFF2-40B4-BE49-F238E27FC236}">
              <a16:creationId xmlns:a16="http://schemas.microsoft.com/office/drawing/2014/main" id="{D5DADAC4-A97F-8442-AB4B-2017542BE0F0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090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5" name="Picture 154" descr=" 9, 0, 2,11, ">
          <a:extLst>
            <a:ext uri="{FF2B5EF4-FFF2-40B4-BE49-F238E27FC236}">
              <a16:creationId xmlns:a16="http://schemas.microsoft.com/office/drawing/2014/main" id="{258CF880-42F1-C14A-BB15-7212FB5A2C16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A77B20BD-756E-CC4B-90C6-AFD06143D19D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CD49D877-32B6-E640-9620-D754B145BFF3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8" name="Picture 157" descr=" 0,22,22, 2,">
          <a:extLst>
            <a:ext uri="{FF2B5EF4-FFF2-40B4-BE49-F238E27FC236}">
              <a16:creationId xmlns:a16="http://schemas.microsoft.com/office/drawing/2014/main" id="{E2E3DECD-5D12-6645-8296-865CDE1B5611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BDB47A2B-CAD8-244C-A2E6-7C3156F7E6BD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6DDADED4-0019-7446-BC22-5416A3121513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5F09E63-FA8C-5F48-AF1C-329CF770DE20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C2C11449-9C81-F947-814D-C9DBBF6369C3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2703670-496C-354A-AEA6-2E65ACE0142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4" name="Picture 163" descr=" 8, 8, 7, 7,">
          <a:extLst>
            <a:ext uri="{FF2B5EF4-FFF2-40B4-BE49-F238E27FC236}">
              <a16:creationId xmlns:a16="http://schemas.microsoft.com/office/drawing/2014/main" id="{8707BEDD-68F9-554F-8280-5699DE006662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5" name="Picture 164" descr="12,12, 7, 7,">
          <a:extLst>
            <a:ext uri="{FF2B5EF4-FFF2-40B4-BE49-F238E27FC236}">
              <a16:creationId xmlns:a16="http://schemas.microsoft.com/office/drawing/2014/main" id="{CA5534F2-2FD2-7744-8929-6BAFA7D8A232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6" name="Picture 165" descr="12,12,12,12,">
          <a:extLst>
            <a:ext uri="{FF2B5EF4-FFF2-40B4-BE49-F238E27FC236}">
              <a16:creationId xmlns:a16="http://schemas.microsoft.com/office/drawing/2014/main" id="{CDA3FC95-E2CE-0447-8D3F-A48ED93C0634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7" name="Picture 166" descr="12,12,12,12,">
          <a:extLst>
            <a:ext uri="{FF2B5EF4-FFF2-40B4-BE49-F238E27FC236}">
              <a16:creationId xmlns:a16="http://schemas.microsoft.com/office/drawing/2014/main" id="{B7863A39-1104-9344-97BF-F831C367ED3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8" name="Picture 167" descr="Item:Chakana,Pos:1">
          <a:extLst>
            <a:ext uri="{FF2B5EF4-FFF2-40B4-BE49-F238E27FC236}">
              <a16:creationId xmlns:a16="http://schemas.microsoft.com/office/drawing/2014/main" id="{1A86FEBD-ED30-A54A-AEB1-5CCC29B72B5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1016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9" name="Picture 168" descr=" 0, 0, 3, 3,">
          <a:extLst>
            <a:ext uri="{FF2B5EF4-FFF2-40B4-BE49-F238E27FC236}">
              <a16:creationId xmlns:a16="http://schemas.microsoft.com/office/drawing/2014/main" id="{5179DEE4-5AFB-D54F-A607-E2412AF507A0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05400" y="1016000"/>
          <a:ext cx="793750" cy="793750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0" name="Picture 169" descr=" 0, 0,28,28,">
          <a:extLst>
            <a:ext uri="{FF2B5EF4-FFF2-40B4-BE49-F238E27FC236}">
              <a16:creationId xmlns:a16="http://schemas.microsoft.com/office/drawing/2014/main" id="{7B8C28BC-60B4-BD47-91F6-7CC0419AE94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1" name="Picture 170" descr=" 0, 0,27,27,">
          <a:extLst>
            <a:ext uri="{FF2B5EF4-FFF2-40B4-BE49-F238E27FC236}">
              <a16:creationId xmlns:a16="http://schemas.microsoft.com/office/drawing/2014/main" id="{0E2156CB-FFA7-704D-AADA-8441A0E33AD4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2" name="Picture 171" descr="28,28, 2, 2,">
          <a:extLst>
            <a:ext uri="{FF2B5EF4-FFF2-40B4-BE49-F238E27FC236}">
              <a16:creationId xmlns:a16="http://schemas.microsoft.com/office/drawing/2014/main" id="{6B96972F-5ADB-C445-89AC-5E7D1EFE237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BE7138C4-A0BA-7943-930A-20DFFF8F87F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ED8B37F-90B1-0749-A4C7-D650822B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3AB551A3-4FEF-4140-A474-F14EBB1C5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AC9796B-55A9-CB44-9E94-70D92A590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98EFAE23-E3CF-7B4D-98DA-DA822D3E8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1,Data:2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1,Data:3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2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2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79375</xdr:colOff>
      <xdr:row>11</xdr:row>
      <xdr:rowOff>47625</xdr:rowOff>
    </xdr:from>
    <xdr:to>
      <xdr:col>32</xdr:col>
      <xdr:colOff>15875</xdr:colOff>
      <xdr:row>11</xdr:row>
      <xdr:rowOff>841375</xdr:rowOff>
    </xdr:to>
    <xdr:pic>
      <xdr:nvPicPr>
        <xdr:cNvPr id="171" name="Picture 170" descr="42,42,42,42, ">
          <a:extLst>
            <a:ext uri="{FF2B5EF4-FFF2-40B4-BE49-F238E27FC236}">
              <a16:creationId xmlns:a16="http://schemas.microsoft.com/office/drawing/2014/main" id="{0C618CFA-DAD5-E349-9F40-4DD644026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457275" y="95472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95249</xdr:colOff>
      <xdr:row>12</xdr:row>
      <xdr:rowOff>31749</xdr:rowOff>
    </xdr:from>
    <xdr:to>
      <xdr:col>32</xdr:col>
      <xdr:colOff>47624</xdr:colOff>
      <xdr:row>12</xdr:row>
      <xdr:rowOff>841374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5B8876B1-4AB2-9F4E-873A-21AB8AD3A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473149" y="10394949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69" name="Picture 68" descr="42,42,42,42, ">
          <a:extLst>
            <a:ext uri="{FF2B5EF4-FFF2-40B4-BE49-F238E27FC236}">
              <a16:creationId xmlns:a16="http://schemas.microsoft.com/office/drawing/2014/main" id="{8EA516E7-C4AB-F94E-8778-73402F41D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4AC137BA-0420-4345-98F9-47A61C206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31750</xdr:rowOff>
    </xdr:from>
    <xdr:to>
      <xdr:col>31</xdr:col>
      <xdr:colOff>841375</xdr:colOff>
      <xdr:row>11</xdr:row>
      <xdr:rowOff>825500</xdr:rowOff>
    </xdr:to>
    <xdr:pic>
      <xdr:nvPicPr>
        <xdr:cNvPr id="78" name="Picture 77" descr="42,42,42,42, ">
          <a:extLst>
            <a:ext uri="{FF2B5EF4-FFF2-40B4-BE49-F238E27FC236}">
              <a16:creationId xmlns:a16="http://schemas.microsoft.com/office/drawing/2014/main" id="{CD4B79F5-7E04-6C48-A304-265D70589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6622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15874</xdr:rowOff>
    </xdr:from>
    <xdr:to>
      <xdr:col>32</xdr:col>
      <xdr:colOff>15874</xdr:colOff>
      <xdr:row>12</xdr:row>
      <xdr:rowOff>825499</xdr:rowOff>
    </xdr:to>
    <xdr:pic>
      <xdr:nvPicPr>
        <xdr:cNvPr id="81" name="Picture 80" descr="43,43,43,43, ">
          <a:extLst>
            <a:ext uri="{FF2B5EF4-FFF2-40B4-BE49-F238E27FC236}">
              <a16:creationId xmlns:a16="http://schemas.microsoft.com/office/drawing/2014/main" id="{9ACF3EF9-DF69-B842-8F7F-1916794E8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638249" y="10302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02" name="Picture 101" descr=" 0, 0,28,28,">
          <a:extLst>
            <a:ext uri="{FF2B5EF4-FFF2-40B4-BE49-F238E27FC236}">
              <a16:creationId xmlns:a16="http://schemas.microsoft.com/office/drawing/2014/main" id="{5C57EFE1-5BCE-9C42-AD9F-9CCFDDD3C507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03" name="Picture 102" descr=" 0, 0,27,27,">
          <a:extLst>
            <a:ext uri="{FF2B5EF4-FFF2-40B4-BE49-F238E27FC236}">
              <a16:creationId xmlns:a16="http://schemas.microsoft.com/office/drawing/2014/main" id="{31B96A79-7B37-4A47-8AB4-44C16EFC81CA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27" name="Picture 126" descr="28,28, 2, 2,">
          <a:extLst>
            <a:ext uri="{FF2B5EF4-FFF2-40B4-BE49-F238E27FC236}">
              <a16:creationId xmlns:a16="http://schemas.microsoft.com/office/drawing/2014/main" id="{7BB7E7A4-3788-C343-862C-F22A774F164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41" name="Picture 140" descr="27,27, 2, 2,">
          <a:extLst>
            <a:ext uri="{FF2B5EF4-FFF2-40B4-BE49-F238E27FC236}">
              <a16:creationId xmlns:a16="http://schemas.microsoft.com/office/drawing/2014/main" id="{D1F4412A-51D2-3949-AB01-BBC9E5EED7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4303BFB9-6390-3B4C-9B25-711886023B75}"/>
            </a:ext>
            <a:ext uri="{147F2762-F138-4A5C-976F-8EAC2B608ADB}">
              <a16:predDERef xmlns:a16="http://schemas.microsoft.com/office/drawing/2014/main" pred="{7953E1B0-2670-4B94-81E4-81CD1D6BF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BE76E52-85D7-6C49-B29D-FD38D312A124}"/>
            </a:ext>
            <a:ext uri="{147F2762-F138-4A5C-976F-8EAC2B608ADB}">
              <a16:predDERef xmlns:a16="http://schemas.microsoft.com/office/drawing/2014/main" pred="{5913F6F9-1F06-4AD4-8619-C7913C4A5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78A8B97E-FF89-F549-8581-35B1AF41F285}"/>
            </a:ext>
            <a:ext uri="{147F2762-F138-4A5C-976F-8EAC2B608ADB}">
              <a16:predDERef xmlns:a16="http://schemas.microsoft.com/office/drawing/2014/main" pred="{4D828624-6C56-4175-B9B4-FD46E1A24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26F4B63-6668-0C43-B8D0-9CE9A86DEC8B}"/>
            </a:ext>
            <a:ext uri="{147F2762-F138-4A5C-976F-8EAC2B608ADB}">
              <a16:predDERef xmlns:a16="http://schemas.microsoft.com/office/drawing/2014/main" pred="{672E58D1-8226-420C-812B-C05A47CDB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15875</xdr:rowOff>
    </xdr:from>
    <xdr:to>
      <xdr:col>32</xdr:col>
      <xdr:colOff>0</xdr:colOff>
      <xdr:row>11</xdr:row>
      <xdr:rowOff>809625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3F50BDDD-861B-3844-911E-CF2EFD30C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38250" y="9445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11</xdr:row>
      <xdr:rowOff>857249</xdr:rowOff>
    </xdr:from>
    <xdr:to>
      <xdr:col>32</xdr:col>
      <xdr:colOff>31749</xdr:colOff>
      <xdr:row>12</xdr:row>
      <xdr:rowOff>809624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77E00AB8-E414-DE44-BCAC-039A1B897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54124" y="10286999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9E691AB-1B8C-DE4F-8FC4-4BE614C5BF5A}"/>
            </a:ext>
            <a:ext uri="{147F2762-F138-4A5C-976F-8EAC2B608ADB}">
              <a16:predDERef xmlns:a16="http://schemas.microsoft.com/office/drawing/2014/main" pred="{B004BB92-EF0B-490D-AC6D-567A67F7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B4CF7A2F-7D46-AD4A-958F-A0ABB72DC0F6}"/>
            </a:ext>
            <a:ext uri="{147F2762-F138-4A5C-976F-8EAC2B608ADB}">
              <a16:predDERef xmlns:a16="http://schemas.microsoft.com/office/drawing/2014/main" pred="{F09BD3B2-7CF2-4F38-A634-D001FAE62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CEC4E55-BB60-734A-A73A-4DDB2490D876}"/>
            </a:ext>
            <a:ext uri="{147F2762-F138-4A5C-976F-8EAC2B608ADB}">
              <a16:predDERef xmlns:a16="http://schemas.microsoft.com/office/drawing/2014/main" pred="{F8DC15CB-AEC5-448F-8550-3D9F22016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D4097ED-D257-2047-90A7-CA89D1C6C341}"/>
            </a:ext>
            <a:ext uri="{147F2762-F138-4A5C-976F-8EAC2B608ADB}">
              <a16:predDERef xmlns:a16="http://schemas.microsoft.com/office/drawing/2014/main" pred="{6BD20ABE-E8BF-48FE-92C7-8E7A31A8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63500</xdr:rowOff>
    </xdr:from>
    <xdr:to>
      <xdr:col>32</xdr:col>
      <xdr:colOff>0</xdr:colOff>
      <xdr:row>12</xdr:row>
      <xdr:rowOff>0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03A375C1-CD4E-9746-9839-3EB23C64A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38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47624</xdr:rowOff>
    </xdr:from>
    <xdr:to>
      <xdr:col>32</xdr:col>
      <xdr:colOff>31749</xdr:colOff>
      <xdr:row>12</xdr:row>
      <xdr:rowOff>857249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FC07F92A-2671-C34E-B5AA-251808A65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54124" y="1033462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58FB80B-C42B-204D-81FB-269C216523D2}"/>
            </a:ext>
            <a:ext uri="{147F2762-F138-4A5C-976F-8EAC2B608ADB}">
              <a16:predDERef xmlns:a16="http://schemas.microsoft.com/office/drawing/2014/main" pred="{59ECD177-43E5-4378-8654-40404D91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E665A3BC-2FAE-8E4E-92CF-C72B44D0D618}"/>
            </a:ext>
            <a:ext uri="{147F2762-F138-4A5C-976F-8EAC2B608ADB}">
              <a16:predDERef xmlns:a16="http://schemas.microsoft.com/office/drawing/2014/main" pred="{C2D5868A-5927-4865-9EEE-2BD9D5DF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5EAC1117-6E94-224D-9FF0-9CA47660F38E}"/>
            </a:ext>
            <a:ext uri="{147F2762-F138-4A5C-976F-8EAC2B608ADB}">
              <a16:predDERef xmlns:a16="http://schemas.microsoft.com/office/drawing/2014/main" pred="{2043681C-2575-448D-92B6-B2D9E56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7CDF5A84-34B3-B842-AA52-72479CED7E18}"/>
            </a:ext>
            <a:ext uri="{147F2762-F138-4A5C-976F-8EAC2B608ADB}">
              <a16:predDERef xmlns:a16="http://schemas.microsoft.com/office/drawing/2014/main" pred="{FBDDCCA9-8EB9-4749-895F-A7C8E555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171" name="Picture 170" descr="42,42,42,42, ">
          <a:extLst>
            <a:ext uri="{FF2B5EF4-FFF2-40B4-BE49-F238E27FC236}">
              <a16:creationId xmlns:a16="http://schemas.microsoft.com/office/drawing/2014/main" id="{612B40DB-0E31-EA4A-B504-CA7593C35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2DAB788A-231C-7847-97C1-711600B4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1C77D86E-38C6-E54E-BF36-AD130B2D5023}"/>
            </a:ext>
            <a:ext uri="{147F2762-F138-4A5C-976F-8EAC2B608ADB}">
              <a16:predDERef xmlns:a16="http://schemas.microsoft.com/office/drawing/2014/main" pred="{15EE7831-EF7E-4806-85B2-5914329C2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7BCF27AE-CA6F-3142-A4AE-C467C38B4171}"/>
            </a:ext>
            <a:ext uri="{147F2762-F138-4A5C-976F-8EAC2B608ADB}">
              <a16:predDERef xmlns:a16="http://schemas.microsoft.com/office/drawing/2014/main" pred="{958E926A-5BDD-4083-857B-20B4BA69D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FD20663A-8356-B642-91E1-BF4649AD4E6A}"/>
            </a:ext>
            <a:ext uri="{147F2762-F138-4A5C-976F-8EAC2B608ADB}">
              <a16:predDERef xmlns:a16="http://schemas.microsoft.com/office/drawing/2014/main" pred="{C1F3110D-A33A-434E-B8B7-8F76EB261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B9859E6-D652-F040-AE0E-D017DC22CD56}"/>
            </a:ext>
            <a:ext uri="{147F2762-F138-4A5C-976F-8EAC2B608ADB}">
              <a16:predDERef xmlns:a16="http://schemas.microsoft.com/office/drawing/2014/main" pred="{65B4C5B1-7E80-4FCF-9D37-957410A72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47625</xdr:rowOff>
    </xdr:from>
    <xdr:to>
      <xdr:col>32</xdr:col>
      <xdr:colOff>0</xdr:colOff>
      <xdr:row>11</xdr:row>
      <xdr:rowOff>841375</xdr:rowOff>
    </xdr:to>
    <xdr:pic>
      <xdr:nvPicPr>
        <xdr:cNvPr id="157" name="Picture 156" descr="42,42,42,42, ">
          <a:extLst>
            <a:ext uri="{FF2B5EF4-FFF2-40B4-BE49-F238E27FC236}">
              <a16:creationId xmlns:a16="http://schemas.microsoft.com/office/drawing/2014/main" id="{EEF1750D-1DC2-ED49-BB66-3F2157069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38250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31749</xdr:rowOff>
    </xdr:from>
    <xdr:to>
      <xdr:col>32</xdr:col>
      <xdr:colOff>31749</xdr:colOff>
      <xdr:row>12</xdr:row>
      <xdr:rowOff>841374</xdr:rowOff>
    </xdr:to>
    <xdr:pic>
      <xdr:nvPicPr>
        <xdr:cNvPr id="158" name="Picture 157" descr="43,43,43,43, ">
          <a:extLst>
            <a:ext uri="{FF2B5EF4-FFF2-40B4-BE49-F238E27FC236}">
              <a16:creationId xmlns:a16="http://schemas.microsoft.com/office/drawing/2014/main" id="{ECFC1F24-5B24-7343-B15A-D0844D9C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54124" y="10318749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24F411C-6468-F940-8237-7D52753AA719}"/>
            </a:ext>
            <a:ext uri="{147F2762-F138-4A5C-976F-8EAC2B608ADB}">
              <a16:predDERef xmlns:a16="http://schemas.microsoft.com/office/drawing/2014/main" pred="{57C2236F-5C7C-4212-9B51-00987EFB8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11A0A671-1B64-974A-AB80-342FB457AD83}"/>
            </a:ext>
            <a:ext uri="{147F2762-F138-4A5C-976F-8EAC2B608ADB}">
              <a16:predDERef xmlns:a16="http://schemas.microsoft.com/office/drawing/2014/main" pred="{3D03D897-5D39-4154-869B-3A7C4992F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90FF1003-A996-7440-99A3-0AFDFBE23F1B}"/>
            </a:ext>
            <a:ext uri="{147F2762-F138-4A5C-976F-8EAC2B608ADB}">
              <a16:predDERef xmlns:a16="http://schemas.microsoft.com/office/drawing/2014/main" pred="{68CE7299-393C-4165-8D40-C37CE9975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05E11A6-BEA1-DE4C-9AFC-E66E8400B455}"/>
            </a:ext>
            <a:ext uri="{147F2762-F138-4A5C-976F-8EAC2B608ADB}">
              <a16:predDERef xmlns:a16="http://schemas.microsoft.com/office/drawing/2014/main" pred="{39E9D872-E54E-48F3-8404-BDB498ABF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09" name="Picture 108" descr="42,42,42,42, ">
          <a:extLst>
            <a:ext uri="{FF2B5EF4-FFF2-40B4-BE49-F238E27FC236}">
              <a16:creationId xmlns:a16="http://schemas.microsoft.com/office/drawing/2014/main" id="{4A9FFF0C-3545-F545-BC68-EC88826BA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06500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31</xdr:col>
      <xdr:colOff>857249</xdr:colOff>
      <xdr:row>12</xdr:row>
      <xdr:rowOff>825499</xdr:rowOff>
    </xdr:to>
    <xdr:pic>
      <xdr:nvPicPr>
        <xdr:cNvPr id="110" name="Picture 109" descr="43,43,43,43, ">
          <a:extLst>
            <a:ext uri="{FF2B5EF4-FFF2-40B4-BE49-F238E27FC236}">
              <a16:creationId xmlns:a16="http://schemas.microsoft.com/office/drawing/2014/main" id="{2C4CFA6B-A107-4A41-906F-C8E09D512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22374" y="103028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11" name="Picture 110" descr=" 0, 0,28,28,">
          <a:extLst>
            <a:ext uri="{FF2B5EF4-FFF2-40B4-BE49-F238E27FC236}">
              <a16:creationId xmlns:a16="http://schemas.microsoft.com/office/drawing/2014/main" id="{49F25B13-BF82-CB4E-AF5D-DB2CCFE2A2E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12" name="Picture 111" descr=" 0, 0,27,27,">
          <a:extLst>
            <a:ext uri="{FF2B5EF4-FFF2-40B4-BE49-F238E27FC236}">
              <a16:creationId xmlns:a16="http://schemas.microsoft.com/office/drawing/2014/main" id="{0D78BE4A-889F-2540-B607-90461FF2C4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13" name="Picture 112" descr="28,28, 2, 2,">
          <a:extLst>
            <a:ext uri="{FF2B5EF4-FFF2-40B4-BE49-F238E27FC236}">
              <a16:creationId xmlns:a16="http://schemas.microsoft.com/office/drawing/2014/main" id="{0A3B94F8-A6B0-9B48-8ECF-AF0A804F007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14" name="Picture 113" descr="27,27, 2, 2,">
          <a:extLst>
            <a:ext uri="{FF2B5EF4-FFF2-40B4-BE49-F238E27FC236}">
              <a16:creationId xmlns:a16="http://schemas.microsoft.com/office/drawing/2014/main" id="{6DF21A15-91EF-C443-8801-F1A80306D35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2" sqref="F2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6</v>
      </c>
      <c r="M13" s="6" t="s">
        <v>175</v>
      </c>
      <c r="N13" s="6" t="s">
        <v>6</v>
      </c>
      <c r="O13" s="6" t="s">
        <v>6</v>
      </c>
      <c r="P13" s="6" t="s">
        <v>6</v>
      </c>
      <c r="Q13" s="6" t="s">
        <v>6</v>
      </c>
      <c r="R13" s="6" t="s">
        <v>6</v>
      </c>
      <c r="S13" s="6" t="s">
        <v>6</v>
      </c>
      <c r="T13" s="6" t="s">
        <v>6</v>
      </c>
      <c r="U13" s="6" t="s">
        <v>6</v>
      </c>
      <c r="V13" s="6" t="s">
        <v>6</v>
      </c>
      <c r="W13" s="6" t="s">
        <v>6</v>
      </c>
      <c r="X13" s="6" t="s">
        <v>66</v>
      </c>
      <c r="Y13" s="6" t="s">
        <v>68</v>
      </c>
      <c r="Z13" s="4" t="s">
        <v>68</v>
      </c>
      <c r="AA13" s="4" t="s">
        <v>68</v>
      </c>
      <c r="AB13" s="4" t="s">
        <v>82</v>
      </c>
      <c r="AC13" s="4" t="s">
        <v>83</v>
      </c>
      <c r="AD13" s="4" t="s">
        <v>6</v>
      </c>
      <c r="AE13" s="2"/>
    </row>
    <row r="14" spans="3:31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6</v>
      </c>
      <c r="J14" s="6" t="s">
        <v>6</v>
      </c>
      <c r="K14" s="6" t="s">
        <v>6</v>
      </c>
      <c r="L14" s="6" t="s">
        <v>6</v>
      </c>
      <c r="M14" s="4" t="s">
        <v>4</v>
      </c>
      <c r="N14" s="4" t="s">
        <v>6</v>
      </c>
      <c r="O14" s="6" t="s">
        <v>6</v>
      </c>
      <c r="P14" s="6" t="s">
        <v>6</v>
      </c>
      <c r="Q14" s="6" t="s">
        <v>6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6</v>
      </c>
      <c r="X14" s="6" t="s">
        <v>4</v>
      </c>
      <c r="Y14" s="6" t="s">
        <v>6</v>
      </c>
      <c r="Z14" s="4" t="s">
        <v>6</v>
      </c>
      <c r="AA14" s="4" t="s">
        <v>6</v>
      </c>
      <c r="AB14" s="4" t="s">
        <v>178</v>
      </c>
      <c r="AC14" s="4" t="s">
        <v>175</v>
      </c>
      <c r="AD14" s="4" t="s">
        <v>6</v>
      </c>
      <c r="AE14" s="2"/>
    </row>
    <row r="15" spans="3:31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6</v>
      </c>
      <c r="J15" s="6" t="s">
        <v>6</v>
      </c>
      <c r="K15" s="6" t="s">
        <v>6</v>
      </c>
      <c r="L15" s="4" t="s">
        <v>6</v>
      </c>
      <c r="M15" s="4" t="s">
        <v>2</v>
      </c>
      <c r="N15" s="4" t="s">
        <v>175</v>
      </c>
      <c r="O15" s="6" t="s">
        <v>192</v>
      </c>
      <c r="P15" s="6" t="s">
        <v>6</v>
      </c>
      <c r="Q15" s="6" t="s">
        <v>6</v>
      </c>
      <c r="R15" s="6" t="s">
        <v>82</v>
      </c>
      <c r="S15" s="6" t="s">
        <v>83</v>
      </c>
      <c r="T15" s="6" t="s">
        <v>140</v>
      </c>
      <c r="U15" s="6" t="s">
        <v>179</v>
      </c>
      <c r="V15" s="6" t="s">
        <v>180</v>
      </c>
      <c r="W15" s="6" t="s">
        <v>180</v>
      </c>
      <c r="X15" s="4" t="s">
        <v>2</v>
      </c>
      <c r="Y15" s="6" t="s">
        <v>6</v>
      </c>
      <c r="Z15" s="6" t="s">
        <v>6</v>
      </c>
      <c r="AA15" s="4" t="s">
        <v>175</v>
      </c>
      <c r="AB15" s="4" t="s">
        <v>139</v>
      </c>
      <c r="AC15" s="4" t="s">
        <v>175</v>
      </c>
      <c r="AD15" s="4" t="s">
        <v>6</v>
      </c>
      <c r="AE15" s="2"/>
    </row>
    <row r="16" spans="3:31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6</v>
      </c>
      <c r="J16" s="4" t="s">
        <v>6</v>
      </c>
      <c r="K16" s="4" t="s">
        <v>6</v>
      </c>
      <c r="L16" s="4" t="s">
        <v>6</v>
      </c>
      <c r="M16" s="4" t="s">
        <v>6</v>
      </c>
      <c r="N16" s="4" t="s">
        <v>6</v>
      </c>
      <c r="O16" s="4" t="s">
        <v>177</v>
      </c>
      <c r="P16" s="4" t="s">
        <v>192</v>
      </c>
      <c r="Q16" s="4" t="s">
        <v>6</v>
      </c>
      <c r="R16" s="4" t="s">
        <v>175</v>
      </c>
      <c r="S16" s="4" t="s">
        <v>6</v>
      </c>
      <c r="T16" s="4" t="s">
        <v>6</v>
      </c>
      <c r="U16" s="4" t="s">
        <v>175</v>
      </c>
      <c r="V16" s="4" t="s">
        <v>6</v>
      </c>
      <c r="W16" s="4" t="s">
        <v>6</v>
      </c>
      <c r="X16" s="4" t="s">
        <v>2</v>
      </c>
      <c r="Y16" s="6" t="s">
        <v>6</v>
      </c>
      <c r="Z16" s="4" t="s">
        <v>6</v>
      </c>
      <c r="AA16" s="4" t="s">
        <v>6</v>
      </c>
      <c r="AB16" s="4" t="s">
        <v>6</v>
      </c>
      <c r="AC16" s="6" t="s">
        <v>6</v>
      </c>
      <c r="AD16" s="4" t="s">
        <v>6</v>
      </c>
      <c r="AE16" s="2"/>
    </row>
    <row r="17" spans="5:31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139</v>
      </c>
      <c r="L17" s="4" t="s">
        <v>175</v>
      </c>
      <c r="M17" s="4" t="s">
        <v>6</v>
      </c>
      <c r="N17" s="4" t="s">
        <v>6</v>
      </c>
      <c r="O17" s="4" t="s">
        <v>6</v>
      </c>
      <c r="P17" s="4" t="s">
        <v>177</v>
      </c>
      <c r="Q17" s="4" t="s">
        <v>66</v>
      </c>
      <c r="R17" s="4" t="s">
        <v>68</v>
      </c>
      <c r="S17" s="4" t="s">
        <v>68</v>
      </c>
      <c r="T17" s="6" t="s">
        <v>68</v>
      </c>
      <c r="U17" s="6" t="s">
        <v>175</v>
      </c>
      <c r="V17" s="6" t="s">
        <v>6</v>
      </c>
      <c r="W17" s="6" t="s">
        <v>6</v>
      </c>
      <c r="X17" s="4" t="s">
        <v>2</v>
      </c>
      <c r="Y17" s="6" t="s">
        <v>6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6</v>
      </c>
      <c r="AE17" s="2"/>
    </row>
    <row r="18" spans="5:31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6</v>
      </c>
      <c r="K18" s="6" t="s">
        <v>138</v>
      </c>
      <c r="L18" s="4" t="s">
        <v>175</v>
      </c>
      <c r="M18" s="4" t="s">
        <v>6</v>
      </c>
      <c r="N18" s="6" t="s">
        <v>6</v>
      </c>
      <c r="O18" s="6" t="s">
        <v>192</v>
      </c>
      <c r="P18" s="6" t="s">
        <v>6</v>
      </c>
      <c r="Q18" s="6" t="s">
        <v>6</v>
      </c>
      <c r="R18" s="6" t="s">
        <v>6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3</v>
      </c>
      <c r="Y18" s="4" t="s">
        <v>6</v>
      </c>
      <c r="Z18" s="4" t="s">
        <v>6</v>
      </c>
      <c r="AA18" s="4" t="s">
        <v>6</v>
      </c>
      <c r="AB18" s="4" t="s">
        <v>6</v>
      </c>
      <c r="AC18" s="6" t="s">
        <v>6</v>
      </c>
      <c r="AD18" s="4" t="s">
        <v>6</v>
      </c>
      <c r="AE18" s="2"/>
    </row>
    <row r="19" spans="5:31" ht="39" customHeight="1" x14ac:dyDescent="0.2">
      <c r="E19" s="1">
        <v>6</v>
      </c>
      <c r="F19" s="4" t="s">
        <v>6</v>
      </c>
      <c r="G19" s="4" t="s">
        <v>6</v>
      </c>
      <c r="H19" s="6" t="s">
        <v>6</v>
      </c>
      <c r="I19" s="6" t="s">
        <v>193</v>
      </c>
      <c r="J19" s="6" t="s">
        <v>191</v>
      </c>
      <c r="K19" s="6" t="s">
        <v>82</v>
      </c>
      <c r="L19" s="6" t="s">
        <v>83</v>
      </c>
      <c r="M19" s="4" t="s">
        <v>6</v>
      </c>
      <c r="N19" s="4" t="s">
        <v>6</v>
      </c>
      <c r="O19" s="4" t="s">
        <v>177</v>
      </c>
      <c r="P19" s="4" t="s">
        <v>192</v>
      </c>
      <c r="Q19" s="6" t="s">
        <v>6</v>
      </c>
      <c r="R19" s="6" t="s">
        <v>6</v>
      </c>
      <c r="S19" s="6" t="s">
        <v>6</v>
      </c>
      <c r="T19" s="6" t="s">
        <v>6</v>
      </c>
      <c r="U19" s="4" t="s">
        <v>6</v>
      </c>
      <c r="V19" s="4" t="s">
        <v>176</v>
      </c>
      <c r="W19" s="4" t="s">
        <v>175</v>
      </c>
      <c r="X19" s="6" t="s">
        <v>6</v>
      </c>
      <c r="Y19" s="6" t="s">
        <v>6</v>
      </c>
      <c r="Z19" s="6" t="s">
        <v>6</v>
      </c>
      <c r="AA19" s="4" t="s">
        <v>6</v>
      </c>
      <c r="AB19" s="4" t="s">
        <v>6</v>
      </c>
      <c r="AC19" s="6" t="s">
        <v>6</v>
      </c>
      <c r="AD19" s="4" t="s">
        <v>6</v>
      </c>
      <c r="AE19" s="2"/>
    </row>
    <row r="20" spans="5:31" ht="39" customHeight="1" x14ac:dyDescent="0.2">
      <c r="E20" s="1">
        <v>7</v>
      </c>
      <c r="F20" s="4" t="s">
        <v>191</v>
      </c>
      <c r="G20" s="6" t="s">
        <v>66</v>
      </c>
      <c r="H20" s="6" t="s">
        <v>68</v>
      </c>
      <c r="I20" s="6" t="s">
        <v>68</v>
      </c>
      <c r="J20" s="6" t="s">
        <v>68</v>
      </c>
      <c r="K20" s="6" t="s">
        <v>82</v>
      </c>
      <c r="L20" s="6" t="s">
        <v>83</v>
      </c>
      <c r="M20" s="6" t="s">
        <v>6</v>
      </c>
      <c r="N20" s="6" t="s">
        <v>6</v>
      </c>
      <c r="O20" s="6" t="s">
        <v>6</v>
      </c>
      <c r="P20" s="6" t="s">
        <v>194</v>
      </c>
      <c r="Q20" s="6" t="s">
        <v>192</v>
      </c>
      <c r="R20" s="6" t="s">
        <v>6</v>
      </c>
      <c r="S20" s="6" t="s">
        <v>6</v>
      </c>
      <c r="T20" s="6" t="s">
        <v>6</v>
      </c>
      <c r="U20" s="6" t="s">
        <v>176</v>
      </c>
      <c r="V20" s="6" t="s">
        <v>82</v>
      </c>
      <c r="W20" s="6" t="s">
        <v>83</v>
      </c>
      <c r="X20" s="6" t="s">
        <v>6</v>
      </c>
      <c r="Y20" s="6" t="s">
        <v>6</v>
      </c>
      <c r="Z20" s="6" t="s">
        <v>6</v>
      </c>
      <c r="AA20" s="6" t="s">
        <v>6</v>
      </c>
      <c r="AB20" s="6" t="s">
        <v>6</v>
      </c>
      <c r="AC20" s="6" t="s">
        <v>6</v>
      </c>
      <c r="AD20" s="4" t="s">
        <v>6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1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182</v>
      </c>
      <c r="N24" t="s">
        <v>5</v>
      </c>
      <c r="O24" t="s">
        <v>5</v>
      </c>
      <c r="P24" t="s">
        <v>5</v>
      </c>
      <c r="Q24" t="s">
        <v>5</v>
      </c>
      <c r="R24" t="s">
        <v>5</v>
      </c>
      <c r="S24" t="s">
        <v>5</v>
      </c>
      <c r="T24" t="s">
        <v>5</v>
      </c>
      <c r="U24" t="s">
        <v>5</v>
      </c>
      <c r="V24" t="s">
        <v>5</v>
      </c>
      <c r="W24" t="s">
        <v>5</v>
      </c>
      <c r="X24" t="s">
        <v>67</v>
      </c>
      <c r="Y24" t="s">
        <v>69</v>
      </c>
      <c r="Z24" t="s">
        <v>69</v>
      </c>
      <c r="AA24" t="s">
        <v>69</v>
      </c>
      <c r="AB24" t="s">
        <v>84</v>
      </c>
      <c r="AC24" t="s">
        <v>85</v>
      </c>
      <c r="AD24" t="s">
        <v>5</v>
      </c>
      <c r="AE24" s="2"/>
    </row>
    <row r="25" spans="5:31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183</v>
      </c>
      <c r="N25" t="s">
        <v>5</v>
      </c>
      <c r="O25" t="s">
        <v>5</v>
      </c>
      <c r="P25" t="s">
        <v>5</v>
      </c>
      <c r="Q25" t="s">
        <v>5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5</v>
      </c>
      <c r="X25" t="s">
        <v>67</v>
      </c>
      <c r="Y25" t="s">
        <v>69</v>
      </c>
      <c r="Z25" t="s">
        <v>69</v>
      </c>
      <c r="AA25" t="s">
        <v>69</v>
      </c>
      <c r="AB25" t="s">
        <v>84</v>
      </c>
      <c r="AC25" t="s">
        <v>85</v>
      </c>
      <c r="AD25" t="s">
        <v>5</v>
      </c>
      <c r="AE25" s="2"/>
    </row>
    <row r="26" spans="5:31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5</v>
      </c>
      <c r="J26" t="s">
        <v>5</v>
      </c>
      <c r="K26" t="s">
        <v>5</v>
      </c>
      <c r="L26" t="s">
        <v>5</v>
      </c>
      <c r="M26" t="s">
        <v>184</v>
      </c>
      <c r="N26" t="s">
        <v>5</v>
      </c>
      <c r="O26" t="s">
        <v>5</v>
      </c>
      <c r="P26" t="s">
        <v>5</v>
      </c>
      <c r="Q26" t="s">
        <v>5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5</v>
      </c>
      <c r="X26" t="s">
        <v>184</v>
      </c>
      <c r="Y26" t="s">
        <v>5</v>
      </c>
      <c r="Z26" t="s">
        <v>5</v>
      </c>
      <c r="AA26" t="s">
        <v>5</v>
      </c>
      <c r="AB26" t="s">
        <v>150</v>
      </c>
      <c r="AC26" t="s">
        <v>182</v>
      </c>
      <c r="AD26" t="s">
        <v>5</v>
      </c>
      <c r="AE26" s="2"/>
    </row>
    <row r="27" spans="5:31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5</v>
      </c>
      <c r="J27" t="s">
        <v>5</v>
      </c>
      <c r="K27" t="s">
        <v>5</v>
      </c>
      <c r="L27" t="s">
        <v>5</v>
      </c>
      <c r="M27" t="s">
        <v>185</v>
      </c>
      <c r="N27" t="s">
        <v>5</v>
      </c>
      <c r="O27" t="s">
        <v>5</v>
      </c>
      <c r="P27" t="s">
        <v>5</v>
      </c>
      <c r="Q27" t="s">
        <v>5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5</v>
      </c>
      <c r="X27" t="s">
        <v>185</v>
      </c>
      <c r="Y27" t="s">
        <v>5</v>
      </c>
      <c r="Z27" t="s">
        <v>5</v>
      </c>
      <c r="AA27" t="s">
        <v>5</v>
      </c>
      <c r="AB27" t="s">
        <v>152</v>
      </c>
      <c r="AC27" t="s">
        <v>183</v>
      </c>
      <c r="AD27" t="s">
        <v>5</v>
      </c>
      <c r="AE27" s="2"/>
    </row>
    <row r="28" spans="5:31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5</v>
      </c>
      <c r="J28" t="s">
        <v>5</v>
      </c>
      <c r="K28" t="s">
        <v>5</v>
      </c>
      <c r="L28" t="s">
        <v>5</v>
      </c>
      <c r="M28" t="s">
        <v>185</v>
      </c>
      <c r="N28" t="s">
        <v>182</v>
      </c>
      <c r="O28" t="s">
        <v>199</v>
      </c>
      <c r="P28" t="s">
        <v>5</v>
      </c>
      <c r="Q28" t="s">
        <v>5</v>
      </c>
      <c r="R28" t="s">
        <v>84</v>
      </c>
      <c r="S28" t="s">
        <v>85</v>
      </c>
      <c r="T28" t="s">
        <v>153</v>
      </c>
      <c r="U28" t="s">
        <v>189</v>
      </c>
      <c r="V28" t="s">
        <v>190</v>
      </c>
      <c r="W28" t="s">
        <v>190</v>
      </c>
      <c r="X28" t="s">
        <v>185</v>
      </c>
      <c r="Y28" t="s">
        <v>5</v>
      </c>
      <c r="Z28" t="s">
        <v>5</v>
      </c>
      <c r="AA28" t="s">
        <v>182</v>
      </c>
      <c r="AB28" t="s">
        <v>152</v>
      </c>
      <c r="AC28" t="s">
        <v>182</v>
      </c>
      <c r="AD28" t="s">
        <v>5</v>
      </c>
      <c r="AE28" s="2"/>
    </row>
    <row r="29" spans="5:31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5</v>
      </c>
      <c r="J29" t="s">
        <v>5</v>
      </c>
      <c r="K29" t="s">
        <v>5</v>
      </c>
      <c r="L29" t="s">
        <v>5</v>
      </c>
      <c r="M29" t="s">
        <v>185</v>
      </c>
      <c r="N29" t="s">
        <v>183</v>
      </c>
      <c r="O29" t="s">
        <v>200</v>
      </c>
      <c r="P29" t="s">
        <v>5</v>
      </c>
      <c r="Q29" t="s">
        <v>5</v>
      </c>
      <c r="R29" t="s">
        <v>84</v>
      </c>
      <c r="S29" t="s">
        <v>85</v>
      </c>
      <c r="T29" t="s">
        <v>153</v>
      </c>
      <c r="U29" t="s">
        <v>189</v>
      </c>
      <c r="V29" t="s">
        <v>190</v>
      </c>
      <c r="W29" t="s">
        <v>190</v>
      </c>
      <c r="X29" t="s">
        <v>185</v>
      </c>
      <c r="Y29" t="s">
        <v>5</v>
      </c>
      <c r="Z29" t="s">
        <v>5</v>
      </c>
      <c r="AA29" t="s">
        <v>183</v>
      </c>
      <c r="AB29" t="s">
        <v>152</v>
      </c>
      <c r="AC29" t="s">
        <v>183</v>
      </c>
      <c r="AD29" t="s">
        <v>5</v>
      </c>
      <c r="AE29" s="2"/>
    </row>
    <row r="30" spans="5:31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5</v>
      </c>
      <c r="J30" t="s">
        <v>5</v>
      </c>
      <c r="K30" t="s">
        <v>5</v>
      </c>
      <c r="L30" t="s">
        <v>5</v>
      </c>
      <c r="M30" t="s">
        <v>5</v>
      </c>
      <c r="N30" t="s">
        <v>5</v>
      </c>
      <c r="O30" t="s">
        <v>181</v>
      </c>
      <c r="P30" t="s">
        <v>199</v>
      </c>
      <c r="Q30" t="s">
        <v>5</v>
      </c>
      <c r="R30" t="s">
        <v>182</v>
      </c>
      <c r="S30" t="s">
        <v>5</v>
      </c>
      <c r="T30" t="s">
        <v>5</v>
      </c>
      <c r="U30" t="s">
        <v>182</v>
      </c>
      <c r="V30" t="s">
        <v>5</v>
      </c>
      <c r="W30" t="s">
        <v>5</v>
      </c>
      <c r="X30" t="s">
        <v>185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s="2"/>
    </row>
    <row r="31" spans="5:31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181</v>
      </c>
      <c r="P31" t="s">
        <v>200</v>
      </c>
      <c r="Q31" t="s">
        <v>5</v>
      </c>
      <c r="R31" t="s">
        <v>183</v>
      </c>
      <c r="S31" t="s">
        <v>5</v>
      </c>
      <c r="T31" t="s">
        <v>5</v>
      </c>
      <c r="U31" t="s">
        <v>183</v>
      </c>
      <c r="V31" t="s">
        <v>5</v>
      </c>
      <c r="W31" t="s">
        <v>5</v>
      </c>
      <c r="X31" t="s">
        <v>185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s="2"/>
    </row>
    <row r="32" spans="5:31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152</v>
      </c>
      <c r="L32" t="s">
        <v>182</v>
      </c>
      <c r="M32" t="s">
        <v>5</v>
      </c>
      <c r="N32" t="s">
        <v>5</v>
      </c>
      <c r="O32" t="s">
        <v>5</v>
      </c>
      <c r="P32" t="s">
        <v>181</v>
      </c>
      <c r="Q32" t="s">
        <v>67</v>
      </c>
      <c r="R32" t="s">
        <v>69</v>
      </c>
      <c r="S32" t="s">
        <v>69</v>
      </c>
      <c r="T32" t="s">
        <v>69</v>
      </c>
      <c r="U32" t="s">
        <v>182</v>
      </c>
      <c r="V32" t="s">
        <v>5</v>
      </c>
      <c r="W32" t="s">
        <v>5</v>
      </c>
      <c r="X32" t="s">
        <v>185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152</v>
      </c>
      <c r="L33" t="s">
        <v>183</v>
      </c>
      <c r="M33" t="s">
        <v>5</v>
      </c>
      <c r="N33" t="s">
        <v>5</v>
      </c>
      <c r="O33" t="s">
        <v>5</v>
      </c>
      <c r="P33" t="s">
        <v>181</v>
      </c>
      <c r="Q33" t="s">
        <v>67</v>
      </c>
      <c r="R33" t="s">
        <v>69</v>
      </c>
      <c r="S33" t="s">
        <v>69</v>
      </c>
      <c r="T33" t="s">
        <v>69</v>
      </c>
      <c r="U33" t="s">
        <v>183</v>
      </c>
      <c r="V33" t="s">
        <v>5</v>
      </c>
      <c r="W33" t="s">
        <v>5</v>
      </c>
      <c r="X33" t="s">
        <v>185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5</v>
      </c>
      <c r="K34" t="s">
        <v>152</v>
      </c>
      <c r="L34" t="s">
        <v>182</v>
      </c>
      <c r="M34" t="s">
        <v>5</v>
      </c>
      <c r="N34" t="s">
        <v>5</v>
      </c>
      <c r="O34" t="s">
        <v>199</v>
      </c>
      <c r="P34" t="s">
        <v>5</v>
      </c>
      <c r="Q34" t="s">
        <v>5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185</v>
      </c>
      <c r="Y34" t="s">
        <v>5</v>
      </c>
      <c r="Z34" t="s">
        <v>5</v>
      </c>
      <c r="AA34" t="s">
        <v>5</v>
      </c>
      <c r="AB34" t="s">
        <v>5</v>
      </c>
      <c r="AC34" t="s">
        <v>5</v>
      </c>
      <c r="AD34" t="s">
        <v>5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5</v>
      </c>
      <c r="K35" t="s">
        <v>151</v>
      </c>
      <c r="L35" t="s">
        <v>183</v>
      </c>
      <c r="M35" t="s">
        <v>5</v>
      </c>
      <c r="N35" t="s">
        <v>5</v>
      </c>
      <c r="O35" t="s">
        <v>200</v>
      </c>
      <c r="P35" t="s">
        <v>5</v>
      </c>
      <c r="Q35" t="s">
        <v>5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186</v>
      </c>
      <c r="Y35" t="s">
        <v>5</v>
      </c>
      <c r="Z35" t="s">
        <v>5</v>
      </c>
      <c r="AA35" t="s">
        <v>5</v>
      </c>
      <c r="AB35" t="s">
        <v>5</v>
      </c>
      <c r="AC35" t="s">
        <v>5</v>
      </c>
      <c r="AD35" t="s">
        <v>5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196</v>
      </c>
      <c r="J36" t="s">
        <v>197</v>
      </c>
      <c r="K36" t="s">
        <v>84</v>
      </c>
      <c r="L36" t="s">
        <v>85</v>
      </c>
      <c r="M36" t="s">
        <v>5</v>
      </c>
      <c r="N36" t="s">
        <v>5</v>
      </c>
      <c r="O36" t="s">
        <v>181</v>
      </c>
      <c r="P36" t="s">
        <v>199</v>
      </c>
      <c r="Q36" t="s">
        <v>5</v>
      </c>
      <c r="R36" t="s">
        <v>5</v>
      </c>
      <c r="S36" t="s">
        <v>5</v>
      </c>
      <c r="T36" t="s">
        <v>5</v>
      </c>
      <c r="U36" t="s">
        <v>5</v>
      </c>
      <c r="V36" t="s">
        <v>187</v>
      </c>
      <c r="W36" t="s">
        <v>182</v>
      </c>
      <c r="X36" t="s">
        <v>5</v>
      </c>
      <c r="Y36" t="s">
        <v>5</v>
      </c>
      <c r="Z36" t="s">
        <v>5</v>
      </c>
      <c r="AA36" t="s">
        <v>5</v>
      </c>
      <c r="AB36" t="s">
        <v>5</v>
      </c>
      <c r="AC36" t="s">
        <v>5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5</v>
      </c>
      <c r="I37" t="s">
        <v>196</v>
      </c>
      <c r="J37" t="s">
        <v>198</v>
      </c>
      <c r="K37" t="s">
        <v>84</v>
      </c>
      <c r="L37" t="s">
        <v>85</v>
      </c>
      <c r="M37" t="s">
        <v>5</v>
      </c>
      <c r="N37" t="s">
        <v>5</v>
      </c>
      <c r="O37" t="s">
        <v>181</v>
      </c>
      <c r="P37" t="s">
        <v>200</v>
      </c>
      <c r="Q37" t="s">
        <v>5</v>
      </c>
      <c r="R37" t="s">
        <v>5</v>
      </c>
      <c r="S37" t="s">
        <v>5</v>
      </c>
      <c r="T37" t="s">
        <v>5</v>
      </c>
      <c r="U37" t="s">
        <v>5</v>
      </c>
      <c r="V37" t="s">
        <v>188</v>
      </c>
      <c r="W37" t="s">
        <v>183</v>
      </c>
      <c r="X37" t="s">
        <v>5</v>
      </c>
      <c r="Y37" t="s">
        <v>5</v>
      </c>
      <c r="Z37" t="s">
        <v>5</v>
      </c>
      <c r="AA37" t="s">
        <v>5</v>
      </c>
      <c r="AB37" t="s">
        <v>5</v>
      </c>
      <c r="AC37" t="s">
        <v>5</v>
      </c>
      <c r="AD37" t="s">
        <v>5</v>
      </c>
      <c r="AE37" s="2"/>
    </row>
    <row r="38" spans="5:31" ht="39" customHeight="1" x14ac:dyDescent="0.2">
      <c r="E38" s="1">
        <v>14</v>
      </c>
      <c r="F38" t="s">
        <v>197</v>
      </c>
      <c r="G38" t="s">
        <v>67</v>
      </c>
      <c r="H38" t="s">
        <v>69</v>
      </c>
      <c r="I38" t="s">
        <v>69</v>
      </c>
      <c r="J38" t="s">
        <v>69</v>
      </c>
      <c r="K38" t="s">
        <v>84</v>
      </c>
      <c r="L38" t="s">
        <v>85</v>
      </c>
      <c r="M38" t="s">
        <v>5</v>
      </c>
      <c r="N38" t="s">
        <v>5</v>
      </c>
      <c r="O38" t="s">
        <v>5</v>
      </c>
      <c r="P38" t="s">
        <v>201</v>
      </c>
      <c r="Q38" t="s">
        <v>199</v>
      </c>
      <c r="R38" t="s">
        <v>5</v>
      </c>
      <c r="S38" t="s">
        <v>5</v>
      </c>
      <c r="T38" t="s">
        <v>5</v>
      </c>
      <c r="U38" t="s">
        <v>187</v>
      </c>
      <c r="V38" t="s">
        <v>84</v>
      </c>
      <c r="W38" t="s">
        <v>85</v>
      </c>
      <c r="X38" t="s">
        <v>5</v>
      </c>
      <c r="Y38" t="s">
        <v>5</v>
      </c>
      <c r="Z38" t="s">
        <v>5</v>
      </c>
      <c r="AA38" t="s">
        <v>5</v>
      </c>
      <c r="AB38" t="s">
        <v>5</v>
      </c>
      <c r="AC38" t="s">
        <v>5</v>
      </c>
      <c r="AD38" t="s">
        <v>5</v>
      </c>
      <c r="AE38" s="2"/>
    </row>
    <row r="39" spans="5:31" ht="39" customHeight="1" x14ac:dyDescent="0.2">
      <c r="E39" s="1">
        <v>15</v>
      </c>
      <c r="F39" t="s">
        <v>198</v>
      </c>
      <c r="G39" t="s">
        <v>67</v>
      </c>
      <c r="H39" t="s">
        <v>69</v>
      </c>
      <c r="I39" t="s">
        <v>69</v>
      </c>
      <c r="J39" t="s">
        <v>69</v>
      </c>
      <c r="K39" t="s">
        <v>84</v>
      </c>
      <c r="L39" t="s">
        <v>85</v>
      </c>
      <c r="M39" t="s">
        <v>5</v>
      </c>
      <c r="N39" t="s">
        <v>5</v>
      </c>
      <c r="O39" t="s">
        <v>5</v>
      </c>
      <c r="P39" t="s">
        <v>201</v>
      </c>
      <c r="Q39" t="s">
        <v>200</v>
      </c>
      <c r="R39" t="s">
        <v>5</v>
      </c>
      <c r="S39" t="s">
        <v>5</v>
      </c>
      <c r="T39" t="s">
        <v>5</v>
      </c>
      <c r="U39" t="s">
        <v>188</v>
      </c>
      <c r="V39" t="s">
        <v>84</v>
      </c>
      <c r="W39" t="s">
        <v>85</v>
      </c>
      <c r="X39" t="s">
        <v>5</v>
      </c>
      <c r="Y39" t="s">
        <v>5</v>
      </c>
      <c r="Z39" t="s">
        <v>5</v>
      </c>
      <c r="AA39" t="s">
        <v>5</v>
      </c>
      <c r="AB39" t="s">
        <v>5</v>
      </c>
      <c r="AC39" t="s">
        <v>5</v>
      </c>
      <c r="AD39" t="s">
        <v>5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A948-75D7-6E41-98E2-ECBCF64F17BF}">
  <sheetPr codeName="Sheet7"/>
  <dimension ref="C1:AE259"/>
  <sheetViews>
    <sheetView zoomScale="80" zoomScaleNormal="80" workbookViewId="0">
      <selection activeCell="F17" sqref="F17:F3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87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Level_05_Enemies[]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BAAB-2E1A-6E46-9443-B9A07B0E4A71}">
  <sheetPr codeName="Sheet22"/>
  <dimension ref="C1:AE259"/>
  <sheetViews>
    <sheetView tabSelected="1" zoomScale="80" zoomScaleNormal="80" workbookViewId="0">
      <selection activeCell="AC33" sqref="AC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99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133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134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88</v>
      </c>
    </row>
    <row r="79" spans="6:15" ht="18" customHeight="1" x14ac:dyDescent="0.25">
      <c r="F79" s="7" t="s">
        <v>109</v>
      </c>
    </row>
    <row r="80" spans="6:15" ht="18" customHeight="1" x14ac:dyDescent="0.25">
      <c r="F80" s="7" t="s">
        <v>102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95</v>
      </c>
    </row>
    <row r="87" spans="6:6" ht="18" customHeight="1" x14ac:dyDescent="0.25">
      <c r="F87" s="7" t="s">
        <v>97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119</v>
      </c>
    </row>
    <row r="93" spans="6:6" ht="18" customHeight="1" x14ac:dyDescent="0.25">
      <c r="F93" s="7" t="s">
        <v>104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195</v>
      </c>
    </row>
    <row r="100" spans="6:6" ht="18" customHeight="1" x14ac:dyDescent="0.25">
      <c r="F100" s="7" t="s">
        <v>70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195</v>
      </c>
    </row>
    <row r="107" spans="6:6" ht="18" customHeight="1" x14ac:dyDescent="0.25">
      <c r="F107" s="7" t="s">
        <v>87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Level_05_Enemies[] = {</v>
      </c>
    </row>
    <row r="122" spans="6:6" ht="18" customHeight="1" x14ac:dyDescent="0.25">
      <c r="F122" s="7" t="s">
        <v>18</v>
      </c>
    </row>
    <row r="123" spans="6:6" ht="18" customHeight="1" x14ac:dyDescent="0.25">
      <c r="F123" s="7" t="s">
        <v>15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19</v>
      </c>
    </row>
    <row r="126" spans="6:6" ht="18" customHeight="1" x14ac:dyDescent="0.25">
      <c r="F126" s="7" t="s">
        <v>20</v>
      </c>
    </row>
    <row r="127" spans="6:6" ht="18" customHeight="1" x14ac:dyDescent="0.25">
      <c r="F127" s="7"/>
    </row>
    <row r="128" spans="6:6" ht="18" customHeight="1" x14ac:dyDescent="0.25">
      <c r="F128" s="7" t="s">
        <v>18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19</v>
      </c>
    </row>
    <row r="132" spans="6:6" ht="18" customHeight="1" x14ac:dyDescent="0.25">
      <c r="F132" s="7" t="s">
        <v>20</v>
      </c>
    </row>
    <row r="133" spans="6:6" ht="18" customHeight="1" x14ac:dyDescent="0.25">
      <c r="F133" s="7"/>
    </row>
    <row r="134" spans="6:6" ht="18" customHeight="1" x14ac:dyDescent="0.25">
      <c r="F134" s="7" t="s">
        <v>18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19</v>
      </c>
    </row>
    <row r="138" spans="6:6" ht="18" customHeight="1" x14ac:dyDescent="0.25">
      <c r="F138" s="7" t="s">
        <v>20</v>
      </c>
    </row>
    <row r="139" spans="6:6" ht="18" customHeight="1" x14ac:dyDescent="0.25">
      <c r="F139" s="7"/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15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19</v>
      </c>
    </row>
    <row r="144" spans="6:6" ht="18" customHeight="1" x14ac:dyDescent="0.25">
      <c r="F144" s="7" t="s">
        <v>20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zoomScale="80" zoomScaleNormal="80" workbookViewId="0">
      <selection activeCell="F17" sqref="F17:F3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117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141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142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102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103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103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114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119</v>
      </c>
    </row>
    <row r="107" spans="6:6" ht="18" customHeight="1" x14ac:dyDescent="0.25">
      <c r="F107" s="7" t="s">
        <v>114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Level_05_Enemies[] = {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143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76</v>
      </c>
    </row>
    <row r="126" spans="6:6" ht="18" customHeight="1" x14ac:dyDescent="0.25">
      <c r="F126" s="7" t="s">
        <v>75</v>
      </c>
    </row>
    <row r="127" spans="6:6" ht="18" customHeight="1" x14ac:dyDescent="0.25">
      <c r="F127" s="7"/>
    </row>
    <row r="128" spans="6:6" ht="18" customHeight="1" x14ac:dyDescent="0.25">
      <c r="F128" s="7" t="s">
        <v>144</v>
      </c>
    </row>
    <row r="129" spans="6:6" ht="18" customHeight="1" x14ac:dyDescent="0.25">
      <c r="F129" s="7" t="s">
        <v>145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146</v>
      </c>
    </row>
    <row r="132" spans="6:6" ht="18" customHeight="1" x14ac:dyDescent="0.25">
      <c r="F132" s="7" t="s">
        <v>147</v>
      </c>
    </row>
    <row r="133" spans="6:6" ht="18" customHeight="1" x14ac:dyDescent="0.25">
      <c r="F133" s="7"/>
    </row>
    <row r="134" spans="6:6" ht="18" customHeight="1" x14ac:dyDescent="0.25">
      <c r="F134" s="7" t="s">
        <v>122</v>
      </c>
    </row>
    <row r="135" spans="6:6" ht="18" customHeight="1" x14ac:dyDescent="0.25">
      <c r="F135" s="7" t="s">
        <v>148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123</v>
      </c>
    </row>
    <row r="138" spans="6:6" ht="18" customHeight="1" x14ac:dyDescent="0.25">
      <c r="F138" s="7" t="s">
        <v>124</v>
      </c>
    </row>
    <row r="139" spans="6:6" ht="18" customHeight="1" x14ac:dyDescent="0.25">
      <c r="F139" s="7"/>
    </row>
    <row r="140" spans="6:6" ht="18" customHeight="1" x14ac:dyDescent="0.25">
      <c r="F140" s="7" t="s">
        <v>74</v>
      </c>
    </row>
    <row r="141" spans="6:6" ht="18" customHeight="1" x14ac:dyDescent="0.25">
      <c r="F141" s="7" t="s">
        <v>149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76</v>
      </c>
    </row>
    <row r="144" spans="6:6" ht="18" customHeight="1" x14ac:dyDescent="0.25">
      <c r="F144" s="7" t="s">
        <v>75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129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116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128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130</v>
      </c>
    </row>
    <row r="100" spans="6:6" ht="18" customHeight="1" x14ac:dyDescent="0.25">
      <c r="F100" s="7" t="s">
        <v>118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113</v>
      </c>
    </row>
    <row r="107" spans="6:6" ht="18" customHeight="1" x14ac:dyDescent="0.25">
      <c r="F107" s="7" t="s">
        <v>117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132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195</v>
      </c>
    </row>
    <row r="114" spans="6:6" ht="18" customHeight="1" x14ac:dyDescent="0.25">
      <c r="F114" s="7" t="s">
        <v>136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65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17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 t="s">
        <v>12</v>
      </c>
    </row>
    <row r="127" spans="6:6" ht="18" customHeight="1" x14ac:dyDescent="0.25">
      <c r="F127" s="7"/>
    </row>
    <row r="128" spans="6:6" ht="18" customHeight="1" x14ac:dyDescent="0.25">
      <c r="F128" s="7" t="str">
        <f ca="1">_xlfn.CONCAT("uint16_t ", _xlfn.TEXTAFTER(CELL("filename"),"]"), "_Enemies[] = {")</f>
        <v>uint16_t Level_05_Enemies[] = {</v>
      </c>
    </row>
    <row r="129" spans="6:6" ht="18" customHeight="1" x14ac:dyDescent="0.25">
      <c r="F129" s="7" t="s">
        <v>18</v>
      </c>
    </row>
    <row r="130" spans="6:6" ht="18" customHeight="1" x14ac:dyDescent="0.25">
      <c r="F130" s="7" t="s">
        <v>15</v>
      </c>
    </row>
    <row r="131" spans="6:6" ht="18" customHeight="1" x14ac:dyDescent="0.25">
      <c r="F131" s="7" t="s">
        <v>16</v>
      </c>
    </row>
    <row r="132" spans="6:6" ht="18" customHeight="1" x14ac:dyDescent="0.25">
      <c r="F132" s="7" t="s">
        <v>19</v>
      </c>
    </row>
    <row r="133" spans="6:6" ht="18" customHeight="1" x14ac:dyDescent="0.25">
      <c r="F133" s="7" t="s">
        <v>20</v>
      </c>
    </row>
    <row r="134" spans="6:6" ht="18" customHeight="1" x14ac:dyDescent="0.25">
      <c r="F134" s="7"/>
    </row>
    <row r="135" spans="6:6" ht="18" customHeight="1" x14ac:dyDescent="0.25">
      <c r="F135" s="7" t="s">
        <v>18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16</v>
      </c>
    </row>
    <row r="138" spans="6:6" ht="18" customHeight="1" x14ac:dyDescent="0.25">
      <c r="F138" s="7" t="s">
        <v>19</v>
      </c>
    </row>
    <row r="139" spans="6:6" ht="18" customHeight="1" x14ac:dyDescent="0.25">
      <c r="F139" s="7" t="s">
        <v>20</v>
      </c>
    </row>
    <row r="140" spans="6:6" ht="18" customHeight="1" x14ac:dyDescent="0.25">
      <c r="F140" s="7"/>
    </row>
    <row r="141" spans="6:6" ht="18" customHeight="1" x14ac:dyDescent="0.25">
      <c r="F141" s="7" t="s">
        <v>18</v>
      </c>
    </row>
    <row r="142" spans="6:6" ht="18" customHeight="1" x14ac:dyDescent="0.25">
      <c r="F142" s="7" t="s">
        <v>15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19</v>
      </c>
    </row>
    <row r="145" spans="6:6" ht="18" customHeight="1" x14ac:dyDescent="0.25">
      <c r="F145" s="7" t="s">
        <v>20</v>
      </c>
    </row>
    <row r="146" spans="6:6" ht="18" customHeight="1" x14ac:dyDescent="0.25">
      <c r="F146" s="7"/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16</v>
      </c>
    </row>
    <row r="150" spans="6:6" ht="18" customHeight="1" x14ac:dyDescent="0.25">
      <c r="F150" s="7" t="s">
        <v>19</v>
      </c>
    </row>
    <row r="151" spans="6:6" ht="18" customHeight="1" x14ac:dyDescent="0.25">
      <c r="F151" s="7" t="s">
        <v>20</v>
      </c>
    </row>
    <row r="152" spans="6:6" ht="18" customHeight="1" x14ac:dyDescent="0.25">
      <c r="F152" s="7" t="s">
        <v>12</v>
      </c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4" zoomScale="80" zoomScaleNormal="80" workbookViewId="0">
      <selection activeCell="F17" sqref="F17:F3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65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17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 t="s">
        <v>12</v>
      </c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tr">
        <f ca="1">_xlfn.CONCAT("uint16_t ", _xlfn.TEXTAFTER(CELL("filename"),"]"), "_Enemies[] = {")</f>
        <v>uint16_t Level_05_Enemies[] = {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15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16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19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20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18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15</v>
      </c>
    </row>
    <row r="74" spans="6:15" ht="18" customHeight="1" x14ac:dyDescent="0.25">
      <c r="F74" s="7" t="s">
        <v>16</v>
      </c>
    </row>
    <row r="75" spans="6:15" ht="18" customHeight="1" x14ac:dyDescent="0.25">
      <c r="F75" s="8" t="s">
        <v>19</v>
      </c>
    </row>
    <row r="76" spans="6:15" ht="18" customHeight="1" x14ac:dyDescent="0.25">
      <c r="F76" s="8" t="s">
        <v>20</v>
      </c>
    </row>
    <row r="77" spans="6:15" ht="18" customHeight="1" x14ac:dyDescent="0.25">
      <c r="F77" s="7"/>
    </row>
    <row r="78" spans="6:15" ht="18" customHeight="1" x14ac:dyDescent="0.25">
      <c r="F78" s="7" t="s">
        <v>18</v>
      </c>
    </row>
    <row r="79" spans="6:15" ht="18" customHeight="1" x14ac:dyDescent="0.25">
      <c r="F79" s="7" t="s">
        <v>15</v>
      </c>
    </row>
    <row r="80" spans="6:15" ht="18" customHeight="1" x14ac:dyDescent="0.25">
      <c r="F80" s="7" t="s">
        <v>16</v>
      </c>
    </row>
    <row r="81" spans="6:6" ht="18" customHeight="1" x14ac:dyDescent="0.25">
      <c r="F81" s="7" t="s">
        <v>19</v>
      </c>
    </row>
    <row r="82" spans="6:6" ht="18" customHeight="1" x14ac:dyDescent="0.25">
      <c r="F82" s="7" t="s">
        <v>20</v>
      </c>
    </row>
    <row r="83" spans="6:6" ht="18" customHeight="1" x14ac:dyDescent="0.25">
      <c r="F83" s="7"/>
    </row>
    <row r="84" spans="6:6" ht="18" customHeight="1" x14ac:dyDescent="0.25">
      <c r="F84" s="7" t="s">
        <v>18</v>
      </c>
    </row>
    <row r="85" spans="6:6" ht="18" customHeight="1" x14ac:dyDescent="0.25">
      <c r="F85" s="7" t="s">
        <v>15</v>
      </c>
    </row>
    <row r="86" spans="6:6" ht="18" customHeight="1" x14ac:dyDescent="0.25">
      <c r="F86" s="7" t="s">
        <v>16</v>
      </c>
    </row>
    <row r="87" spans="6:6" ht="18" customHeight="1" x14ac:dyDescent="0.25">
      <c r="F87" s="7" t="s">
        <v>19</v>
      </c>
    </row>
    <row r="88" spans="6:6" ht="18" customHeight="1" x14ac:dyDescent="0.25">
      <c r="F88" s="7" t="s">
        <v>20</v>
      </c>
    </row>
    <row r="89" spans="6:6" ht="18" customHeight="1" x14ac:dyDescent="0.25">
      <c r="F89" s="7" t="s">
        <v>12</v>
      </c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I14" sqref="I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101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73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105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80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111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89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Level_05_Enemies[] = {</v>
      </c>
    </row>
    <row r="108" spans="6:6" ht="18" customHeight="1" x14ac:dyDescent="0.25">
      <c r="F108" s="7" t="s">
        <v>74</v>
      </c>
    </row>
    <row r="109" spans="6:6" ht="18" customHeight="1" x14ac:dyDescent="0.25">
      <c r="F109" s="7" t="s">
        <v>107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76</v>
      </c>
    </row>
    <row r="112" spans="6:6" ht="18" customHeight="1" x14ac:dyDescent="0.25">
      <c r="F112" s="7" t="s">
        <v>75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 t="str">
        <f ca="1">_xlfn.CONCAT("uint16_t ", _xlfn.TEXTAFTER(CELL("filename"),"]"), "_PlayerStart[] = {")</f>
        <v>uint16_t Level_05_PlayerStart[] = {</v>
      </c>
    </row>
    <row r="134" spans="6:6" ht="18" customHeight="1" x14ac:dyDescent="0.25">
      <c r="F134" s="7" t="str">
        <f>_xlfn.CONCAT($F$11, ",")</f>
        <v>,</v>
      </c>
    </row>
    <row r="135" spans="6:6" ht="18" customHeight="1" x14ac:dyDescent="0.25">
      <c r="F135" s="7" t="str">
        <f>_xlfn.CONCAT($H$11, ",")</f>
        <v>,</v>
      </c>
    </row>
    <row r="136" spans="6:6" ht="18" customHeight="1" x14ac:dyDescent="0.25">
      <c r="F136" s="7" t="str">
        <f>_xlfn.CONCAT($J$11, ",")</f>
        <v>,</v>
      </c>
    </row>
    <row r="137" spans="6:6" ht="18" customHeight="1" x14ac:dyDescent="0.25">
      <c r="F137" s="7" t="s">
        <v>12</v>
      </c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112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80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112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154</v>
      </c>
    </row>
    <row r="79" spans="6:15" ht="18" customHeight="1" x14ac:dyDescent="0.25">
      <c r="F79" s="7" t="s">
        <v>137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115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88</v>
      </c>
    </row>
    <row r="100" spans="6:6" ht="18" customHeight="1" x14ac:dyDescent="0.25">
      <c r="F100" s="7" t="s">
        <v>120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Level_05_Enemies[]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J14" sqref="J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137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105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98</v>
      </c>
    </row>
    <row r="79" spans="6:15" ht="18" customHeight="1" x14ac:dyDescent="0.25">
      <c r="F79" s="7" t="s">
        <v>121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99</v>
      </c>
    </row>
    <row r="86" spans="6:6" ht="18" customHeight="1" x14ac:dyDescent="0.25">
      <c r="F86" s="7" t="s">
        <v>121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Level_05_Enemies[] = {</v>
      </c>
    </row>
    <row r="101" spans="6:6" ht="18" customHeight="1" x14ac:dyDescent="0.25">
      <c r="F101" s="7" t="s">
        <v>122</v>
      </c>
    </row>
    <row r="102" spans="6:6" ht="18" customHeight="1" x14ac:dyDescent="0.25">
      <c r="F102" s="7" t="s">
        <v>157</v>
      </c>
    </row>
    <row r="103" spans="6:6" ht="18" customHeight="1" x14ac:dyDescent="0.25">
      <c r="F103" s="7" t="s">
        <v>105</v>
      </c>
    </row>
    <row r="104" spans="6:6" ht="18" customHeight="1" x14ac:dyDescent="0.25">
      <c r="F104" s="7" t="s">
        <v>123</v>
      </c>
    </row>
    <row r="105" spans="6:6" ht="18" customHeight="1" x14ac:dyDescent="0.25">
      <c r="F105" s="7" t="s">
        <v>124</v>
      </c>
    </row>
    <row r="106" spans="6:6" ht="18" customHeight="1" x14ac:dyDescent="0.25">
      <c r="F106" s="7"/>
    </row>
    <row r="107" spans="6:6" ht="18" customHeight="1" x14ac:dyDescent="0.25">
      <c r="F107" s="7" t="s">
        <v>74</v>
      </c>
    </row>
    <row r="108" spans="6:6" ht="18" customHeight="1" x14ac:dyDescent="0.25">
      <c r="F108" s="7" t="s">
        <v>158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76</v>
      </c>
    </row>
    <row r="111" spans="6:6" ht="18" customHeight="1" x14ac:dyDescent="0.25">
      <c r="F111" s="7" t="s">
        <v>75</v>
      </c>
    </row>
    <row r="112" spans="6:6" ht="18" customHeight="1" x14ac:dyDescent="0.25">
      <c r="F112" s="7"/>
    </row>
    <row r="113" spans="6:6" ht="18" customHeight="1" x14ac:dyDescent="0.25">
      <c r="F113" s="7" t="s">
        <v>74</v>
      </c>
    </row>
    <row r="114" spans="6:6" ht="18" customHeight="1" x14ac:dyDescent="0.25">
      <c r="F114" s="7" t="s">
        <v>148</v>
      </c>
    </row>
    <row r="115" spans="6:6" ht="18" customHeight="1" x14ac:dyDescent="0.25">
      <c r="F115" s="7" t="s">
        <v>105</v>
      </c>
    </row>
    <row r="116" spans="6:6" ht="18" customHeight="1" x14ac:dyDescent="0.25">
      <c r="F116" s="7" t="s">
        <v>159</v>
      </c>
    </row>
    <row r="117" spans="6:6" ht="18" customHeight="1" x14ac:dyDescent="0.25">
      <c r="F117" s="7" t="s">
        <v>160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L14" sqref="L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99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71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130</v>
      </c>
    </row>
    <row r="107" spans="6:6" ht="18" customHeight="1" x14ac:dyDescent="0.25">
      <c r="F107" s="7" t="s">
        <v>95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119</v>
      </c>
    </row>
    <row r="114" spans="6:6" ht="18" customHeight="1" x14ac:dyDescent="0.25">
      <c r="F114" s="7" t="s">
        <v>120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137</v>
      </c>
    </row>
    <row r="122" spans="6:6" ht="18" customHeight="1" x14ac:dyDescent="0.25">
      <c r="F122" s="7" t="s">
        <v>78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106</v>
      </c>
    </row>
    <row r="128" spans="6:6" ht="18" customHeight="1" x14ac:dyDescent="0.25">
      <c r="F128" s="7" t="s">
        <v>109</v>
      </c>
    </row>
    <row r="129" spans="6:6" ht="18" customHeight="1" x14ac:dyDescent="0.25">
      <c r="F129" s="7" t="s">
        <v>78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Level_05_Enemies[] = {</v>
      </c>
    </row>
    <row r="143" spans="6:6" ht="18" customHeight="1" x14ac:dyDescent="0.25">
      <c r="F143" s="7" t="s">
        <v>74</v>
      </c>
    </row>
    <row r="144" spans="6:6" ht="18" customHeight="1" x14ac:dyDescent="0.25">
      <c r="F144" s="7" t="s">
        <v>107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76</v>
      </c>
    </row>
    <row r="147" spans="6:6" ht="18" customHeight="1" x14ac:dyDescent="0.25">
      <c r="F147" s="7" t="s">
        <v>75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H14" sqref="H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141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142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156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161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162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95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142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163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105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164</v>
      </c>
    </row>
    <row r="86" spans="6:6" ht="18" customHeight="1" x14ac:dyDescent="0.25">
      <c r="F86" s="7" t="s">
        <v>136</v>
      </c>
    </row>
    <row r="87" spans="6:6" ht="18" customHeight="1" x14ac:dyDescent="0.25">
      <c r="F87" s="7" t="s">
        <v>105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163</v>
      </c>
    </row>
    <row r="93" spans="6:6" ht="18" customHeight="1" x14ac:dyDescent="0.25">
      <c r="F93" s="7" t="s">
        <v>109</v>
      </c>
    </row>
    <row r="94" spans="6:6" ht="18" customHeight="1" x14ac:dyDescent="0.25">
      <c r="F94" s="7" t="s">
        <v>105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164</v>
      </c>
    </row>
    <row r="100" spans="6:6" ht="18" customHeight="1" x14ac:dyDescent="0.25">
      <c r="F100" s="7" t="s">
        <v>109</v>
      </c>
    </row>
    <row r="101" spans="6:6" ht="18" customHeight="1" x14ac:dyDescent="0.25">
      <c r="F101" s="7" t="s">
        <v>105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118</v>
      </c>
    </row>
    <row r="108" spans="6:6" ht="18" customHeight="1" x14ac:dyDescent="0.25">
      <c r="F108" s="7" t="s">
        <v>90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141</v>
      </c>
    </row>
    <row r="114" spans="6:6" ht="18" customHeight="1" x14ac:dyDescent="0.25">
      <c r="F114" s="7" t="s">
        <v>109</v>
      </c>
    </row>
    <row r="115" spans="6:6" ht="18" customHeight="1" x14ac:dyDescent="0.25">
      <c r="F115" s="7" t="s">
        <v>90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142</v>
      </c>
    </row>
    <row r="121" spans="6:6" ht="18" customHeight="1" x14ac:dyDescent="0.25">
      <c r="F121" s="7" t="s">
        <v>109</v>
      </c>
    </row>
    <row r="122" spans="6:6" ht="18" customHeight="1" x14ac:dyDescent="0.25">
      <c r="F122" s="7" t="s">
        <v>90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141</v>
      </c>
    </row>
    <row r="128" spans="6:6" ht="18" customHeight="1" x14ac:dyDescent="0.25">
      <c r="F128" s="7" t="s">
        <v>71</v>
      </c>
    </row>
    <row r="129" spans="6:6" ht="18" customHeight="1" x14ac:dyDescent="0.25">
      <c r="F129" s="7" t="s">
        <v>90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142</v>
      </c>
    </row>
    <row r="135" spans="6:6" ht="18" customHeight="1" x14ac:dyDescent="0.25">
      <c r="F135" s="7" t="s">
        <v>71</v>
      </c>
    </row>
    <row r="136" spans="6:6" ht="18" customHeight="1" x14ac:dyDescent="0.25">
      <c r="F136" s="7" t="s">
        <v>90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73</v>
      </c>
    </row>
    <row r="142" spans="6:6" ht="18" customHeight="1" x14ac:dyDescent="0.25">
      <c r="F142" s="7" t="s">
        <v>120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73</v>
      </c>
    </row>
    <row r="149" spans="6:6" ht="18" customHeight="1" x14ac:dyDescent="0.25">
      <c r="F149" s="7" t="s">
        <v>104</v>
      </c>
    </row>
    <row r="150" spans="6:6" ht="18" customHeight="1" x14ac:dyDescent="0.25">
      <c r="F150" s="7" t="s">
        <v>102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73</v>
      </c>
    </row>
    <row r="156" spans="6:6" ht="18" customHeight="1" x14ac:dyDescent="0.25">
      <c r="F156" s="7" t="s">
        <v>87</v>
      </c>
    </row>
    <row r="157" spans="6:6" ht="18" customHeight="1" x14ac:dyDescent="0.25">
      <c r="F157" s="7" t="s">
        <v>102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73</v>
      </c>
    </row>
    <row r="163" spans="6:6" ht="18" customHeight="1" x14ac:dyDescent="0.25">
      <c r="F163" s="7" t="s">
        <v>89</v>
      </c>
    </row>
    <row r="164" spans="6:6" ht="18" customHeight="1" x14ac:dyDescent="0.25">
      <c r="F164" s="7" t="s">
        <v>97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Level_05_Enemies[] = {</v>
      </c>
    </row>
    <row r="178" spans="6:6" ht="18" customHeight="1" x14ac:dyDescent="0.25">
      <c r="F178" s="7" t="s">
        <v>144</v>
      </c>
    </row>
    <row r="179" spans="6:6" ht="18" customHeight="1" x14ac:dyDescent="0.25">
      <c r="F179" s="7" t="s">
        <v>165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146</v>
      </c>
    </row>
    <row r="182" spans="6:6" ht="18" customHeight="1" x14ac:dyDescent="0.25">
      <c r="F182" s="7" t="s">
        <v>147</v>
      </c>
    </row>
    <row r="183" spans="6:6" ht="18" customHeight="1" x14ac:dyDescent="0.25">
      <c r="F183" s="7"/>
    </row>
    <row r="184" spans="6:6" ht="18" customHeight="1" x14ac:dyDescent="0.25">
      <c r="F184" s="7" t="s">
        <v>122</v>
      </c>
    </row>
    <row r="185" spans="6:6" ht="18" customHeight="1" x14ac:dyDescent="0.25">
      <c r="F185" s="7" t="s">
        <v>125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123</v>
      </c>
    </row>
    <row r="188" spans="6:6" ht="18" customHeight="1" x14ac:dyDescent="0.25">
      <c r="F188" s="7" t="s">
        <v>124</v>
      </c>
    </row>
    <row r="189" spans="6:6" ht="18" customHeight="1" x14ac:dyDescent="0.25">
      <c r="F189" s="7"/>
    </row>
    <row r="190" spans="6:6" ht="18" customHeight="1" x14ac:dyDescent="0.25">
      <c r="F190" s="7" t="s">
        <v>122</v>
      </c>
    </row>
    <row r="191" spans="6:6" ht="18" customHeight="1" x14ac:dyDescent="0.25">
      <c r="F191" s="7" t="s">
        <v>166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123</v>
      </c>
    </row>
    <row r="194" spans="6:6" ht="18" customHeight="1" x14ac:dyDescent="0.25">
      <c r="F194" s="7" t="s">
        <v>124</v>
      </c>
    </row>
    <row r="195" spans="6:6" ht="18" customHeight="1" x14ac:dyDescent="0.25">
      <c r="F195" s="7"/>
    </row>
    <row r="196" spans="6:6" ht="18" customHeight="1" x14ac:dyDescent="0.25">
      <c r="F196" s="7" t="s">
        <v>74</v>
      </c>
    </row>
    <row r="197" spans="6:6" ht="18" customHeight="1" x14ac:dyDescent="0.25">
      <c r="F197" s="7" t="s">
        <v>167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76</v>
      </c>
    </row>
    <row r="200" spans="6:6" ht="18" customHeight="1" x14ac:dyDescent="0.25">
      <c r="F200" s="7" t="s">
        <v>75</v>
      </c>
    </row>
    <row r="201" spans="6:6" ht="18" customHeight="1" x14ac:dyDescent="0.25">
      <c r="F201" s="7"/>
    </row>
    <row r="202" spans="6:6" ht="18" customHeight="1" x14ac:dyDescent="0.25">
      <c r="F202" s="7" t="s">
        <v>144</v>
      </c>
    </row>
    <row r="203" spans="6:6" ht="18" customHeight="1" x14ac:dyDescent="0.25">
      <c r="F203" s="7" t="s">
        <v>168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146</v>
      </c>
    </row>
    <row r="206" spans="6:6" ht="18" customHeight="1" x14ac:dyDescent="0.25">
      <c r="F206" s="7" t="s">
        <v>147</v>
      </c>
    </row>
    <row r="207" spans="6:6" ht="18" customHeight="1" x14ac:dyDescent="0.25">
      <c r="F207" s="7"/>
    </row>
    <row r="208" spans="6:6" ht="18" customHeight="1" x14ac:dyDescent="0.25">
      <c r="F208" s="7" t="s">
        <v>144</v>
      </c>
    </row>
    <row r="209" spans="6:6" ht="18" customHeight="1" x14ac:dyDescent="0.25">
      <c r="F209" s="7" t="s">
        <v>166</v>
      </c>
    </row>
    <row r="210" spans="6:6" ht="18" customHeight="1" x14ac:dyDescent="0.25">
      <c r="F210" s="7" t="s">
        <v>102</v>
      </c>
    </row>
    <row r="211" spans="6:6" ht="18" customHeight="1" x14ac:dyDescent="0.25">
      <c r="F211" s="7" t="s">
        <v>169</v>
      </c>
    </row>
    <row r="212" spans="6:6" ht="18" customHeight="1" x14ac:dyDescent="0.25">
      <c r="F212" s="7" t="s">
        <v>170</v>
      </c>
    </row>
    <row r="213" spans="6:6" ht="18" customHeight="1" x14ac:dyDescent="0.25">
      <c r="F213" s="7"/>
    </row>
    <row r="214" spans="6:6" ht="18" customHeight="1" x14ac:dyDescent="0.25">
      <c r="F214" s="7" t="s">
        <v>144</v>
      </c>
    </row>
    <row r="215" spans="6:6" ht="18" customHeight="1" x14ac:dyDescent="0.25">
      <c r="F215" s="7" t="s">
        <v>171</v>
      </c>
    </row>
    <row r="216" spans="6:6" ht="18" customHeight="1" x14ac:dyDescent="0.25">
      <c r="F216" s="7" t="s">
        <v>102</v>
      </c>
    </row>
    <row r="217" spans="6:6" ht="18" customHeight="1" x14ac:dyDescent="0.25">
      <c r="F217" s="7" t="s">
        <v>169</v>
      </c>
    </row>
    <row r="218" spans="6:6" ht="18" customHeight="1" x14ac:dyDescent="0.25">
      <c r="F218" s="7" t="s">
        <v>170</v>
      </c>
    </row>
    <row r="219" spans="6:6" ht="18" customHeight="1" x14ac:dyDescent="0.25">
      <c r="F219" s="7"/>
    </row>
    <row r="220" spans="6:6" ht="18" customHeight="1" x14ac:dyDescent="0.25">
      <c r="F220" s="7" t="s">
        <v>74</v>
      </c>
    </row>
    <row r="221" spans="6:6" ht="18" customHeight="1" x14ac:dyDescent="0.25">
      <c r="F221" s="7" t="s">
        <v>172</v>
      </c>
    </row>
    <row r="222" spans="6:6" ht="18" customHeight="1" x14ac:dyDescent="0.25">
      <c r="F222" s="7" t="s">
        <v>102</v>
      </c>
    </row>
    <row r="223" spans="6:6" ht="18" customHeight="1" x14ac:dyDescent="0.25">
      <c r="F223" s="7" t="s">
        <v>159</v>
      </c>
    </row>
    <row r="224" spans="6:6" ht="18" customHeight="1" x14ac:dyDescent="0.25">
      <c r="F224" s="7" t="s">
        <v>160</v>
      </c>
    </row>
    <row r="225" spans="6:6" ht="18" customHeight="1" x14ac:dyDescent="0.25">
      <c r="F225" s="7"/>
    </row>
    <row r="226" spans="6:6" ht="18" customHeight="1" x14ac:dyDescent="0.25">
      <c r="F226" s="7" t="s">
        <v>144</v>
      </c>
    </row>
    <row r="227" spans="6:6" ht="18" customHeight="1" x14ac:dyDescent="0.25">
      <c r="F227" s="7" t="s">
        <v>173</v>
      </c>
    </row>
    <row r="228" spans="6:6" ht="18" customHeight="1" x14ac:dyDescent="0.25">
      <c r="F228" s="7" t="s">
        <v>97</v>
      </c>
    </row>
    <row r="229" spans="6:6" ht="18" customHeight="1" x14ac:dyDescent="0.25">
      <c r="F229" s="7" t="s">
        <v>146</v>
      </c>
    </row>
    <row r="230" spans="6:6" ht="18" customHeight="1" x14ac:dyDescent="0.25">
      <c r="F230" s="7" t="s">
        <v>147</v>
      </c>
    </row>
    <row r="231" spans="6:6" ht="18" customHeight="1" x14ac:dyDescent="0.25">
      <c r="F231" s="7"/>
    </row>
    <row r="232" spans="6:6" ht="18" customHeight="1" x14ac:dyDescent="0.25">
      <c r="F232" s="7" t="s">
        <v>122</v>
      </c>
    </row>
    <row r="233" spans="6:6" ht="18" customHeight="1" x14ac:dyDescent="0.25">
      <c r="F233" s="7" t="s">
        <v>135</v>
      </c>
    </row>
    <row r="234" spans="6:6" ht="18" customHeight="1" x14ac:dyDescent="0.25">
      <c r="F234" s="7" t="s">
        <v>97</v>
      </c>
    </row>
    <row r="235" spans="6:6" ht="18" customHeight="1" x14ac:dyDescent="0.25">
      <c r="F235" s="7" t="s">
        <v>123</v>
      </c>
    </row>
    <row r="236" spans="6:6" ht="18" customHeight="1" x14ac:dyDescent="0.25">
      <c r="F236" s="7" t="s">
        <v>124</v>
      </c>
    </row>
    <row r="237" spans="6:6" ht="18" customHeight="1" x14ac:dyDescent="0.25">
      <c r="F237" s="7"/>
    </row>
    <row r="238" spans="6:6" ht="18" customHeight="1" x14ac:dyDescent="0.25">
      <c r="F238" s="7" t="s">
        <v>74</v>
      </c>
    </row>
    <row r="239" spans="6:6" ht="18" customHeight="1" x14ac:dyDescent="0.25">
      <c r="F239" s="7" t="s">
        <v>172</v>
      </c>
    </row>
    <row r="240" spans="6:6" ht="18" customHeight="1" x14ac:dyDescent="0.25">
      <c r="F240" s="7" t="s">
        <v>97</v>
      </c>
    </row>
    <row r="241" spans="6:6" ht="18" customHeight="1" x14ac:dyDescent="0.25">
      <c r="F241" s="7" t="s">
        <v>76</v>
      </c>
    </row>
    <row r="242" spans="6:6" ht="18" customHeight="1" x14ac:dyDescent="0.25">
      <c r="F242" s="7" t="s">
        <v>75</v>
      </c>
    </row>
    <row r="243" spans="6:6" ht="18" customHeight="1" x14ac:dyDescent="0.25">
      <c r="F243" s="7"/>
    </row>
    <row r="244" spans="6:6" ht="18" customHeight="1" x14ac:dyDescent="0.25">
      <c r="F244" s="7" t="s">
        <v>74</v>
      </c>
    </row>
    <row r="245" spans="6:6" ht="18" customHeight="1" x14ac:dyDescent="0.2">
      <c r="F245" t="s">
        <v>174</v>
      </c>
    </row>
    <row r="246" spans="6:6" ht="18" customHeight="1" x14ac:dyDescent="0.2">
      <c r="F246" t="s">
        <v>97</v>
      </c>
    </row>
    <row r="247" spans="6:6" ht="18" customHeight="1" x14ac:dyDescent="0.2">
      <c r="F247" t="s">
        <v>76</v>
      </c>
    </row>
    <row r="248" spans="6:6" ht="18" customHeight="1" x14ac:dyDescent="0.2">
      <c r="F248" t="s">
        <v>75</v>
      </c>
    </row>
    <row r="249" spans="6:6" ht="18" customHeight="1" x14ac:dyDescent="0.2"/>
    <row r="250" spans="6:6" ht="18" customHeight="1" x14ac:dyDescent="0.2">
      <c r="F250" t="s">
        <v>144</v>
      </c>
    </row>
    <row r="251" spans="6:6" ht="18" customHeight="1" x14ac:dyDescent="0.2">
      <c r="F251" t="s">
        <v>145</v>
      </c>
    </row>
    <row r="252" spans="6:6" ht="18" customHeight="1" x14ac:dyDescent="0.2">
      <c r="F252" t="s">
        <v>97</v>
      </c>
    </row>
    <row r="253" spans="6:6" ht="18" customHeight="1" x14ac:dyDescent="0.2">
      <c r="F253" t="s">
        <v>146</v>
      </c>
    </row>
    <row r="254" spans="6:6" ht="18" customHeight="1" x14ac:dyDescent="0.2">
      <c r="F254" t="s">
        <v>147</v>
      </c>
    </row>
    <row r="255" spans="6:6" ht="18" customHeight="1" x14ac:dyDescent="0.2"/>
    <row r="256" spans="6:6" ht="18" customHeight="1" x14ac:dyDescent="0.2">
      <c r="F256" t="s">
        <v>122</v>
      </c>
    </row>
    <row r="257" spans="6:6" ht="18" customHeight="1" x14ac:dyDescent="0.2">
      <c r="F257" t="s">
        <v>166</v>
      </c>
    </row>
    <row r="258" spans="6:6" ht="18" customHeight="1" x14ac:dyDescent="0.2">
      <c r="F258" t="s">
        <v>97</v>
      </c>
    </row>
    <row r="259" spans="6:6" ht="18" customHeight="1" x14ac:dyDescent="0.2">
      <c r="F259" t="s">
        <v>123</v>
      </c>
    </row>
    <row r="260" spans="6:6" ht="68" customHeight="1" x14ac:dyDescent="0.2">
      <c r="F260" t="s">
        <v>124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opLeftCell="A4" zoomScale="80" zoomScaleNormal="80" workbookViewId="0">
      <selection activeCell="I15" sqref="I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62,62, 72,72, 34,35, 63,63, 73,73, 73,73,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62,62, 72,72, 34,35, 63,63, 73,73, 73,73,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43,43, 20, 0,  0, 0,  1, 1,  0, 0,  0, 0,  1, 1,  0, 0,  0, 0, 31,31,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43,43,  2,20,  0, 0,  2, 2,  0, 0,  0, 0,  2, 2,  0, 0,  0, 0, 31,31,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12,12,  1, 1,  0, 0,  0, 0,  0, 0, 43,43, 64,64, 74,74, 74,74, 74,74,  1, 1,  0, 0,  0, 0, 31,31,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12,12,  2, 2,  0, 0,  0, 0,  0, 0, 43,43, 64,64, 74,74, 74,74, 74,74,  2, 2,  0, 0,  0, 0, 31,31,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12,12,  1, 1,  0, 0,  0, 0, 20, 0,  0, 0,  0, 0,  0, 0,  0, 0,  0, 0,  0, 0,  0, 0,  0, 0, 31,31,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7, 7,  2, 2,  0, 0,  0, 0,  2,20,  0, 0,  0, 0,  0, 0,  0, 0,  0, 0,  0, 0,  0, 0,  0, 0, 32,32,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25,25,  4, 5, 62,62, 72,72,  0, 0,  0, 0, 43,43, 20, 0,  0, 0,  0, 0,  0, 0,  0, 0,  0, 0,  0, 5,  1, 1,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25,25,  1, 2, 62,62, 72,72,  0, 0,  0, 0, 43,43,  2,20,  0, 0,  0, 0,  0, 0,  0, 0,  0, 0,  6, 2,  2, 2,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4, 5, 64,64, 74,74, 74,74, 74,74, 62,62, 72,72,  0, 0,  0, 0,  0, 0, 18,18, 20, 0,  0, 0,  0, 0,  0, 0,  0, 5, 62,62, 72,72,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64,64, 74,74, 74,74, 74,74, 62,62, 72,72,  0, 0,  0, 0,  0, 0, 18,18,  2,20,  0, 0,  0, 0,  0, 0,  6, 2, 62,62, 72,72,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110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112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130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105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120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105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154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120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115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Level_05_Enemies[]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2025-02-08T11:52:53Z</dcterms:modified>
</cp:coreProperties>
</file>