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C3EC3604-9A5F-8B4E-B4F5-0D38E8D634F2}" xr6:coauthVersionLast="47" xr6:coauthVersionMax="47" xr10:uidLastSave="{00000000-0000-0000-0000-000000000000}"/>
  <bookViews>
    <workbookView xWindow="24840" yWindow="500" windowWidth="30000" windowHeight="30420" activeTab="2" xr2:uid="{50E1C641-7614-0542-B3D9-BEFC89310226}"/>
  </bookViews>
  <sheets>
    <sheet name="Hidden" sheetId="6" state="hidden" r:id="rId1"/>
    <sheet name="Stances" sheetId="1" r:id="rId2"/>
    <sheet name="Level_00" sheetId="8" r:id="rId3"/>
    <sheet name="Map" sheetId="10" r:id="rId4"/>
    <sheet name="Sheet2" sheetId="11" r:id="rId5"/>
    <sheet name="Level_00 (2)" sheetId="9" r:id="rId6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4" i="8" l="1"/>
  <c r="F93" i="8"/>
  <c r="F92" i="8"/>
  <c r="F91" i="8"/>
  <c r="F65" i="8"/>
  <c r="K110" i="10"/>
  <c r="K109" i="10"/>
  <c r="K107" i="10"/>
  <c r="K104" i="10"/>
  <c r="K101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A301" i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A707" i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276" i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74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492" i="1"/>
  <c r="Q31" i="10" l="1"/>
  <c r="AE30" i="10"/>
  <c r="W23" i="10"/>
  <c r="X23" i="10" s="1"/>
  <c r="Y23" i="10" s="1"/>
  <c r="Z23" i="10" s="1"/>
  <c r="AA23" i="10" s="1"/>
  <c r="AB23" i="10" s="1"/>
  <c r="AC23" i="10" s="1"/>
  <c r="C1037" i="1"/>
  <c r="H553" i="1"/>
  <c r="H531" i="1"/>
  <c r="H740" i="1"/>
  <c r="H559" i="1"/>
  <c r="H626" i="1"/>
  <c r="H613" i="1"/>
  <c r="H533" i="1"/>
  <c r="H729" i="1"/>
  <c r="AE31" i="10" l="1"/>
  <c r="Q32" i="10"/>
  <c r="AE32" i="10" s="1"/>
  <c r="X24" i="10"/>
  <c r="Y24" i="10" s="1"/>
  <c r="Z24" i="10" s="1"/>
  <c r="AA24" i="10" s="1"/>
  <c r="AB24" i="10" s="1"/>
  <c r="AC24" i="10" s="1"/>
  <c r="H660" i="1"/>
  <c r="Y25" i="10" l="1"/>
  <c r="Z25" i="10" s="1"/>
  <c r="AA25" i="10" s="1"/>
  <c r="AB25" i="10" s="1"/>
  <c r="AC25" i="10" s="1"/>
  <c r="H916" i="1"/>
  <c r="H912" i="1"/>
  <c r="H910" i="1"/>
  <c r="Z26" i="10" l="1"/>
  <c r="AA26" i="10" s="1"/>
  <c r="AB26" i="10" s="1"/>
  <c r="AC26" i="10" s="1"/>
  <c r="H925" i="1"/>
  <c r="C1042" i="1"/>
  <c r="H973" i="1"/>
  <c r="H982" i="1"/>
  <c r="H969" i="1"/>
  <c r="H967" i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<sst xmlns="http://schemas.openxmlformats.org/spreadsheetml/2006/main" count="1789" uniqueCount="1119">
  <si>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</si>
  <si>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</si>
  <si>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</si>
  <si>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</si>
  <si>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</si>
  <si>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</si>
  <si>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</si>
  <si>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</si>
  <si>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</si>
  <si>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</si>
  <si>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</si>
  <si>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</si>
  <si>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</si>
  <si>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</si>
  <si>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</si>
  <si>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</si>
  <si>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</si>
  <si>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</si>
  <si>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</si>
  <si>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</si>
  <si>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</si>
  <si>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</si>
  <si>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</si>
  <si>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</si>
  <si>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</si>
  <si>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</si>
  <si>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</si>
  <si>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</si>
  <si>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</si>
  <si>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</si>
  <si>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</si>
  <si>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</si>
  <si>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</si>
  <si>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</si>
  <si>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</si>
  <si>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</si>
  <si>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</si>
  <si>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</si>
  <si>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</si>
  <si>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</si>
  <si>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</si>
  <si>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</si>
  <si>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</si>
  <si>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</si>
  <si>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</si>
  <si>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</si>
  <si>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</si>
  <si>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</si>
  <si>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</si>
  <si>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</si>
  <si>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</si>
  <si>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</si>
  <si>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</si>
  <si>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</si>
  <si>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</si>
  <si>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</si>
  <si>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</si>
  <si>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</si>
  <si>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</si>
  <si>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</si>
  <si>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</si>
  <si>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</si>
  <si>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</si>
  <si>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</si>
  <si>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</si>
  <si>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</si>
  <si>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</si>
  <si>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</si>
  <si>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</si>
  <si>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</si>
  <si>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</si>
  <si>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</si>
  <si>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</si>
  <si>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</si>
  <si>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</si>
  <si>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</si>
  <si>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</si>
  <si>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</si>
  <si>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</si>
  <si>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</si>
  <si>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</si>
  <si>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</si>
  <si>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</si>
  <si>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</si>
  <si>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</si>
  <si>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</si>
  <si>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</si>
  <si>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</si>
  <si>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</si>
  <si>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</si>
  <si>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</si>
  <si>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</si>
  <si>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</si>
  <si>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</si>
  <si>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</si>
  <si>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</si>
  <si>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</si>
  <si>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</si>
  <si>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</si>
  <si>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</si>
  <si>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</si>
  <si>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</si>
  <si>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</si>
  <si>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</si>
  <si>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</si>
  <si>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</si>
  <si>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</si>
  <si>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</si>
  <si>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</si>
  <si>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</si>
  <si>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</si>
  <si>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</si>
  <si>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</si>
  <si>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</si>
  <si>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</si>
  <si>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</si>
  <si>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</si>
  <si>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</si>
  <si>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</si>
  <si>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</si>
  <si>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</si>
  <si>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</si>
  <si>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</si>
  <si>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</si>
  <si>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</si>
  <si>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</si>
  <si>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</si>
  <si>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</si>
  <si>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</si>
  <si>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</si>
  <si>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</si>
  <si>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</si>
  <si>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</si>
  <si>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</si>
  <si>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</si>
  <si>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</si>
  <si>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</si>
  <si>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</si>
  <si>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</si>
  <si>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</si>
  <si>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</si>
  <si>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</si>
  <si>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</si>
  <si>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</si>
  <si>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</si>
  <si>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</si>
  <si>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</si>
  <si>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</si>
  <si>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</si>
  <si>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</si>
  <si>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</si>
  <si>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</si>
  <si>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</si>
  <si>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</si>
  <si>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</si>
  <si>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</si>
  <si>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</si>
  <si>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</si>
  <si>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</si>
  <si>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</si>
  <si>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</si>
  <si>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</si>
  <si>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</si>
  <si>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</si>
  <si>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</si>
  <si>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</si>
  <si>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</si>
  <si>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</si>
  <si>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</si>
  <si>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</si>
  <si>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</si>
  <si>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</si>
  <si>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</si>
  <si>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</si>
  <si>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</si>
  <si>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</si>
  <si>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</si>
  <si>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</si>
  <si>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</si>
  <si>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</si>
  <si>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</si>
  <si>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</si>
  <si>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</si>
  <si>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</si>
  <si>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</si>
  <si>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</si>
  <si>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</si>
  <si>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</si>
  <si>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</si>
  <si>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</si>
  <si>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</si>
  <si>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</si>
  <si>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</si>
  <si>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</si>
  <si>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</si>
  <si>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</si>
  <si>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</si>
  <si>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</si>
  <si>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</si>
  <si>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</si>
  <si>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</si>
  <si>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</si>
  <si>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</si>
  <si>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</si>
  <si>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</si>
  <si>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</si>
  <si>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</si>
  <si>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</si>
  <si>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</si>
  <si>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</si>
  <si>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</si>
  <si>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</si>
  <si>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</si>
  <si>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</si>
  <si>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</si>
  <si>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</si>
  <si>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</si>
  <si>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</si>
  <si>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</si>
  <si>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</si>
  <si>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</si>
  <si>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</si>
  <si>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</si>
  <si>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</si>
  <si>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</si>
  <si>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</si>
  <si>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</si>
  <si>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</si>
  <si>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</si>
  <si>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</si>
  <si>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</si>
  <si>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</si>
  <si>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</si>
  <si>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</si>
  <si>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</si>
  <si>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</si>
  <si>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</si>
  <si>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</si>
  <si>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</si>
  <si>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</si>
  <si>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</si>
  <si>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</si>
  <si>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</si>
  <si>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</si>
  <si>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</si>
  <si>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</si>
  <si>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</si>
  <si>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</si>
  <si>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</si>
  <si>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</si>
  <si>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</si>
  <si>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</si>
  <si>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</si>
  <si>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</si>
  <si>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</si>
  <si>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</si>
  <si>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</si>
  <si>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</si>
  <si>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</si>
  <si>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</si>
  <si>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</si>
  <si>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</si>
  <si>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</si>
  <si>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</si>
  <si>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</si>
  <si>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</si>
  <si>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</si>
  <si>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</si>
  <si>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</si>
  <si>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</si>
  <si>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</si>
  <si>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</si>
  <si>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</si>
  <si>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</si>
  <si>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</si>
  <si>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</si>
  <si>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</si>
  <si>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</si>
  <si>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</si>
  <si>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</si>
  <si>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</si>
  <si>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</si>
  <si>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</si>
  <si>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</si>
  <si>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</si>
  <si>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</si>
  <si>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</si>
  <si>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</si>
  <si>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</si>
  <si>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</si>
  <si>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</si>
  <si>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</si>
  <si>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</si>
  <si>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</si>
  <si>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</si>
  <si>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</si>
  <si>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</si>
  <si>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</si>
  <si>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</si>
  <si>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</si>
  <si>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</si>
  <si>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</si>
  <si>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</si>
  <si>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</si>
  <si>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</si>
  <si>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</si>
  <si>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</si>
  <si>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</si>
  <si>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</si>
  <si>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</si>
  <si>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</si>
  <si>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</si>
  <si>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</si>
  <si>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</si>
  <si>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</si>
  <si>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</si>
  <si>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</si>
  <si>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</si>
  <si>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</si>
  <si>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</si>
  <si>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</si>
  <si>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</si>
  <si>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</si>
  <si>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</si>
  <si>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</si>
  <si>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</si>
  <si>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</si>
  <si>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</si>
  <si>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</si>
  <si>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</si>
  <si>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</si>
  <si>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</si>
  <si>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</si>
  <si>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</si>
  <si>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</si>
  <si>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</si>
  <si>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</si>
  <si>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</si>
  <si>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</si>
  <si>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</si>
  <si>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</si>
  <si>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</si>
  <si>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</si>
  <si>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</si>
  <si>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</si>
  <si>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</si>
  <si>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</si>
  <si>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</si>
  <si>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</si>
  <si>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</si>
  <si>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</si>
  <si>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</si>
  <si>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</si>
  <si>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</si>
  <si>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</si>
  <si>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</si>
  <si>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</si>
  <si>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</si>
  <si>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</si>
  <si>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</si>
  <si>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</si>
  <si>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</si>
  <si>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</si>
  <si>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</si>
  <si>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</si>
  <si>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</si>
  <si>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</si>
  <si>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</si>
  <si>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</si>
  <si>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</si>
  <si>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</si>
  <si>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</si>
  <si>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</si>
  <si>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</si>
  <si>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</si>
  <si>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</si>
  <si>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</si>
  <si>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</si>
  <si>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</si>
  <si>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</si>
  <si>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</si>
  <si>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</si>
  <si>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</si>
  <si>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</si>
  <si>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</si>
  <si>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</si>
  <si>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</si>
  <si>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</si>
  <si>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</si>
  <si>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</si>
  <si>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</si>
  <si>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</si>
  <si>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</si>
  <si>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</si>
  <si>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</si>
  <si>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</si>
  <si>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</si>
  <si>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</si>
  <si>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</si>
  <si>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</si>
  <si>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</si>
  <si>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</si>
  <si>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</si>
  <si>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</si>
  <si>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</si>
  <si>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</si>
  <si>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</si>
  <si>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</si>
  <si>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</si>
  <si>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</si>
  <si>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</si>
  <si>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</si>
  <si>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</si>
  <si>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</si>
  <si>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</si>
  <si>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</si>
  <si>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</si>
  <si>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</si>
  <si>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</si>
  <si>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</si>
  <si>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</si>
  <si>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</si>
  <si>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</si>
  <si>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</si>
  <si>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</si>
  <si>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</si>
  <si>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</si>
  <si>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</si>
  <si>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</si>
  <si>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</si>
  <si>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</si>
  <si>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</si>
  <si>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</si>
  <si>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</si>
  <si>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</si>
  <si>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</si>
  <si>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</si>
  <si>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</si>
  <si>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</si>
  <si>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</si>
  <si>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</si>
  <si>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</si>
  <si>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</si>
  <si>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</si>
  <si>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</si>
  <si>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</si>
  <si>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</si>
  <si>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</si>
  <si>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</si>
  <si>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</si>
  <si>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</si>
  <si>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</si>
  <si>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</si>
  <si>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</si>
  <si>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</si>
  <si>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</si>
  <si>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</si>
  <si>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</si>
  <si>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</si>
  <si>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</si>
  <si>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</si>
  <si>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</si>
  <si>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</si>
  <si>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</si>
  <si>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</si>
  <si>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</si>
  <si>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</si>
  <si>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</si>
  <si>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</si>
  <si>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</si>
  <si>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</si>
  <si>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</si>
  <si>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</si>
  <si>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</si>
  <si>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</si>
  <si>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</si>
  <si>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</si>
  <si>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</si>
  <si>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</si>
  <si>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</si>
  <si>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</si>
  <si>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</si>
  <si>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</si>
  <si>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</si>
  <si>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</si>
  <si>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</si>
  <si>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</si>
  <si>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</si>
  <si>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</si>
  <si>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</si>
  <si>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</si>
  <si>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</si>
  <si>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</si>
  <si>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</si>
  <si>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</si>
  <si>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</si>
  <si>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</si>
  <si>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</si>
  <si>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</si>
  <si>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</si>
  <si>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</si>
  <si>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</si>
  <si>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</si>
  <si>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</si>
  <si>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</si>
  <si>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</si>
  <si>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</si>
  <si>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</si>
  <si>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</si>
  <si>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</si>
  <si>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</si>
  <si>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</si>
  <si>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</si>
  <si>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</si>
  <si>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</si>
  <si>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</si>
  <si>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</si>
  <si>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</si>
  <si>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</si>
  <si>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</si>
  <si>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</si>
  <si>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</si>
  <si>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</si>
  <si>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</si>
  <si>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</si>
  <si>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</si>
  <si>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</si>
  <si>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</si>
  <si>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</si>
  <si>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</si>
  <si>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</si>
  <si>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</si>
  <si>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</si>
  <si>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</si>
  <si>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</si>
  <si>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</si>
  <si>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</si>
  <si>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</si>
  <si>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</si>
  <si>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</si>
  <si>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</si>
  <si>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</si>
  <si>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</si>
  <si>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</si>
  <si>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</si>
  <si>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</si>
  <si>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</si>
  <si>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</si>
  <si>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</si>
  <si>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</si>
  <si>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</si>
  <si>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</si>
  <si>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</si>
  <si>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</si>
  <si>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</si>
  <si>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</si>
  <si>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</si>
  <si>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</si>
  <si>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</si>
  <si>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</si>
  <si>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</si>
  <si>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</si>
  <si>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</si>
  <si>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</si>
  <si>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</si>
  <si>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</si>
  <si>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</si>
  <si>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</si>
  <si>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</si>
  <si>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</si>
  <si>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</si>
  <si>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</si>
  <si>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</si>
  <si>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</si>
  <si>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</si>
  <si>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</si>
  <si>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</si>
  <si>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</si>
  <si>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</si>
  <si>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</si>
  <si>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</si>
  <si>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</si>
  <si>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</si>
  <si>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</si>
  <si>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</si>
  <si>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</si>
  <si>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</si>
  <si>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</si>
  <si>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</si>
  <si>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</si>
  <si>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</si>
  <si>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</si>
  <si>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</si>
  <si>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</si>
  <si>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</si>
  <si>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</si>
  <si>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</si>
  <si>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</si>
  <si>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</si>
  <si>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</si>
  <si>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</si>
  <si>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</si>
  <si>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</si>
  <si>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</si>
  <si>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</si>
  <si>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</si>
  <si>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</si>
  <si>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</si>
  <si>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</si>
  <si>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</si>
  <si>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</si>
  <si>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</si>
  <si>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</si>
  <si>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</si>
  <si>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</si>
  <si>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</si>
  <si>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</si>
  <si>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</si>
  <si>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</si>
  <si>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</si>
  <si>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</si>
  <si>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</si>
  <si>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</si>
  <si>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</si>
  <si>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</si>
  <si>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</si>
  <si>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</si>
  <si>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</si>
  <si>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</si>
  <si>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</si>
  <si>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</si>
  <si>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</si>
  <si>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</si>
  <si>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</si>
  <si>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</si>
  <si>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</si>
  <si>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</si>
  <si>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</si>
  <si>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</si>
  <si>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</si>
  <si>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</si>
  <si>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</si>
  <si>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</si>
  <si>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</si>
  <si>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</si>
  <si>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</si>
  <si>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</si>
  <si>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</si>
  <si>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</si>
  <si>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</si>
  <si>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</si>
  <si>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</si>
  <si>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</si>
  <si>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</si>
  <si>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</si>
  <si>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</si>
  <si>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</si>
  <si>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</si>
  <si>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</si>
  <si>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</si>
  <si>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</si>
  <si>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</si>
  <si>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</si>
  <si>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</si>
  <si>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</si>
  <si>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</si>
  <si>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</si>
  <si>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</si>
  <si>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</si>
  <si>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</si>
  <si>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</si>
  <si>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</si>
  <si>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</si>
  <si>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</si>
  <si>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</si>
  <si>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</si>
  <si>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</si>
  <si>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</si>
  <si>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</si>
  <si>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</si>
  <si>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</si>
  <si>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</si>
  <si>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</si>
  <si>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</si>
  <si>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</si>
  <si>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</si>
  <si>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</si>
  <si>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</si>
  <si>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</si>
  <si>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</si>
  <si>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</si>
  <si>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</si>
  <si>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</si>
  <si>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</si>
  <si>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</si>
  <si>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</si>
  <si>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</si>
  <si>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</si>
  <si>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</si>
  <si>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</si>
  <si>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</si>
  <si>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</si>
  <si>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</si>
  <si>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</si>
  <si>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</si>
  <si>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</si>
  <si>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</si>
  <si>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</si>
  <si>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</si>
  <si>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</si>
  <si>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</si>
  <si>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</si>
  <si>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</si>
  <si>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</si>
  <si>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</si>
  <si>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</si>
  <si>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</si>
  <si>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</si>
  <si>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</si>
  <si>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</si>
  <si>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</si>
  <si>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</si>
  <si>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</si>
  <si>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</si>
  <si>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</si>
  <si>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</si>
  <si>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</si>
  <si>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</si>
  <si>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</si>
  <si>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</si>
  <si>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</si>
  <si>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</si>
  <si>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</si>
  <si>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</si>
  <si>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</si>
  <si>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</si>
  <si>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</si>
  <si>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</si>
  <si>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</si>
  <si>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</si>
  <si>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</si>
  <si>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</si>
  <si>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</si>
  <si>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</si>
  <si>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</si>
  <si>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</si>
  <si>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</si>
  <si>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</si>
  <si>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</si>
  <si>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</si>
  <si>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</si>
  <si>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</si>
  <si>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</si>
  <si>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</si>
  <si>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</si>
  <si>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</si>
  <si>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</si>
  <si>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</si>
  <si>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</si>
  <si>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</si>
  <si>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</si>
  <si>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</si>
  <si>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</si>
  <si>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</si>
  <si>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</si>
  <si>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</si>
  <si>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</si>
  <si>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</si>
  <si>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</si>
  <si>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</si>
  <si>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</si>
  <si>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</si>
  <si>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</si>
  <si>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</si>
  <si>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</si>
  <si>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</si>
  <si>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</si>
  <si>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</si>
  <si>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</si>
  <si>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</si>
  <si>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</si>
  <si>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</si>
  <si>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</si>
  <si>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</si>
  <si>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</si>
  <si>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</si>
  <si>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</si>
  <si>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</si>
  <si>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</si>
  <si>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</si>
  <si>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</si>
  <si>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</si>
  <si>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</si>
  <si>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</si>
  <si>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</si>
  <si>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</si>
  <si>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</si>
  <si>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</si>
  <si>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</si>
  <si>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</si>
  <si>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</si>
  <si>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</si>
  <si>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</si>
  <si>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</si>
  <si>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</si>
  <si>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</si>
  <si>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</si>
  <si>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</si>
  <si>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</si>
  <si>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</si>
  <si>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</si>
  <si>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</si>
  <si>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</si>
  <si>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</si>
  <si>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</si>
  <si>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</si>
  <si>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</si>
  <si>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</si>
  <si>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</si>
  <si>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</si>
  <si>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</si>
  <si>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</si>
  <si>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</si>
  <si>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</si>
  <si>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</si>
  <si>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</si>
  <si>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</si>
  <si>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</si>
  <si>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</si>
  <si>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</si>
  <si>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</si>
  <si>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</si>
  <si>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</si>
  <si>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</si>
  <si>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</si>
  <si>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</si>
  <si>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</si>
  <si>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</si>
  <si>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</si>
  <si>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</si>
  <si>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</si>
  <si>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</si>
  <si>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</si>
  <si>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</si>
  <si>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</si>
  <si>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</si>
  <si>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</si>
  <si>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</si>
  <si>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</si>
  <si>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</si>
  <si>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</si>
  <si>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</si>
  <si>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</si>
  <si>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</si>
  <si>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</si>
  <si>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</si>
  <si>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</si>
  <si>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</si>
  <si>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</si>
  <si>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</si>
  <si>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</si>
  <si>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</si>
  <si>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</si>
  <si>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</si>
  <si>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</si>
  <si>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</si>
  <si>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</si>
  <si>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</si>
  <si>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</si>
  <si>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</si>
  <si>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</si>
  <si>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</si>
  <si>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</si>
  <si>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</si>
  <si>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</si>
  <si>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</si>
  <si>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</si>
  <si>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</si>
  <si>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</si>
  <si>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</si>
  <si>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</si>
  <si>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</si>
  <si>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</si>
  <si>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</si>
  <si>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</si>
  <si>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</si>
  <si>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</si>
  <si>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</si>
  <si>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</si>
  <si>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</si>
  <si>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</si>
  <si>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</si>
  <si>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</si>
  <si>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</si>
  <si>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</si>
  <si>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</si>
  <si>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</si>
  <si>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</si>
  <si>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</si>
  <si>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</si>
  <si>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</si>
  <si>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</si>
  <si>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</si>
  <si>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</si>
  <si>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</si>
  <si>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</si>
  <si>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</si>
  <si>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</si>
  <si>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</si>
  <si>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</si>
  <si>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</si>
  <si>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</si>
  <si>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</si>
  <si>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</si>
  <si>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</si>
  <si>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</si>
  <si>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</si>
  <si>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</si>
  <si>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</si>
  <si>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</si>
  <si>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</si>
  <si>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</si>
  <si>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</si>
  <si>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</si>
  <si>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</si>
  <si>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</si>
  <si>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</si>
  <si>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</si>
  <si>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</si>
  <si>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</si>
  <si>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</si>
  <si>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</si>
  <si>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</si>
  <si>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</si>
  <si>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</si>
  <si>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</si>
  <si>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</si>
  <si>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</si>
  <si>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</si>
  <si>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</si>
  <si>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</si>
  <si>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</si>
  <si>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</si>
  <si>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</si>
  <si>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</si>
  <si>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</si>
  <si>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</si>
  <si>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</si>
  <si>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</si>
  <si>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</si>
  <si>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</si>
  <si>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</si>
  <si>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</si>
  <si>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</si>
  <si>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</si>
  <si>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</si>
  <si>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</si>
  <si>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</si>
  <si>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</si>
  <si>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</si>
  <si>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</si>
  <si>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</si>
  <si>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</si>
  <si>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</si>
  <si>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</si>
  <si>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</si>
  <si>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</si>
  <si>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</si>
  <si>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</si>
  <si>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</si>
  <si>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</si>
  <si>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</si>
  <si>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</si>
  <si>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</si>
  <si>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</si>
  <si>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</si>
  <si>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</si>
  <si>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</si>
  <si>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</si>
  <si>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</si>
  <si>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</si>
  <si>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</si>
  <si>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</si>
  <si>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</si>
  <si>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</si>
  <si>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</si>
  <si>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</si>
  <si>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</si>
  <si>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</si>
  <si>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</si>
  <si>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</si>
  <si>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</si>
  <si>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</si>
  <si>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</si>
  <si>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</si>
  <si>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</si>
  <si>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</si>
  <si>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</si>
  <si>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</si>
  <si>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</si>
  <si>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</si>
  <si>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</si>
  <si>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</si>
  <si>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</si>
  <si>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</si>
  <si>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</si>
  <si>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</si>
  <si>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</si>
  <si>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</si>
  <si>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</si>
  <si>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</si>
  <si>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</si>
  <si>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</si>
  <si>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</si>
  <si>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</si>
  <si>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</si>
  <si>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</si>
  <si>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</si>
  <si>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</si>
  <si>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</si>
  <si>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</si>
  <si>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</si>
  <si>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</si>
  <si>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</si>
  <si>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</si>
  <si>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</si>
  <si>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</si>
  <si>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</si>
  <si>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</si>
  <si>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</si>
  <si>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</si>
  <si>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</si>
  <si>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</si>
  <si>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</si>
  <si>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</si>
  <si>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</si>
  <si>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</si>
  <si>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</si>
  <si>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</si>
  <si>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</si>
  <si>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</si>
  <si>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</si>
  <si>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</si>
  <si>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</si>
  <si>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</si>
  <si>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</si>
  <si>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</si>
  <si>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</si>
  <si>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</si>
  <si>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</si>
  <si>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</si>
  <si>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</si>
  <si>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</si>
  <si>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</si>
  <si>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</si>
  <si>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</si>
  <si>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</si>
  <si>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</si>
  <si>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</si>
  <si>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</si>
  <si>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</si>
  <si>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</si>
  <si>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</si>
  <si>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</si>
  <si>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</si>
  <si>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>61,                             // ItemType::Puff</t>
  </si>
  <si>
    <t xml:space="preserve"> 1, 1, 2, 2,</t>
  </si>
  <si>
    <t xml:space="preserve"> 1, 1,</t>
  </si>
  <si>
    <t xml:space="preserve"> 2, 2,</t>
  </si>
  <si>
    <t>16,                             // Position Y</t>
  </si>
  <si>
    <t>38,                             // ItemType::SwingyThing</t>
  </si>
  <si>
    <t xml:space="preserve"> 4, 5, 1, 2,</t>
  </si>
  <si>
    <t xml:space="preserve"> 4, 5,</t>
  </si>
  <si>
    <t xml:space="preserve"> 1, 2,</t>
  </si>
  <si>
    <t>112,                             // Position X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</si>
  <si>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</si>
  <si>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</si>
  <si>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</si>
  <si>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</si>
  <si>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</si>
  <si>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</si>
  <si>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</si>
  <si>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</si>
  <si>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</si>
  <si>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</si>
  <si>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</si>
  <si>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</si>
  <si>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</si>
  <si>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</si>
  <si>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</si>
  <si>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</si>
  <si>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</si>
  <si>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</si>
  <si>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</si>
  <si>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</si>
  <si>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</si>
  <si>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</si>
  <si>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</si>
  <si>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</si>
  <si>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</si>
  <si>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</si>
  <si>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</si>
  <si>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</si>
  <si>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</si>
  <si>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</si>
  <si>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</si>
  <si>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</si>
  <si>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</si>
  <si>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</si>
  <si>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</si>
  <si>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</si>
  <si>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</si>
  <si>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</si>
  <si>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</si>
  <si>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59,                             // ItemType::Chakana_Small</t>
  </si>
  <si>
    <t>160,                             // Position X</t>
  </si>
  <si>
    <t>5,                             // Data</t>
  </si>
  <si>
    <t>41,                             // ItemType::Chakana</t>
  </si>
  <si>
    <t>192,                             // Position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</si>
</sst>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5.png"/><Relationship Id="rId13" Type="http://schemas.openxmlformats.org/officeDocument/2006/relationships/image" Target="../media/image80.png"/><Relationship Id="rId3" Type="http://schemas.openxmlformats.org/officeDocument/2006/relationships/image" Target="../media/image70.png"/><Relationship Id="rId7" Type="http://schemas.openxmlformats.org/officeDocument/2006/relationships/image" Target="../media/image74.png"/><Relationship Id="rId12" Type="http://schemas.openxmlformats.org/officeDocument/2006/relationships/image" Target="../media/image79.png"/><Relationship Id="rId2" Type="http://schemas.openxmlformats.org/officeDocument/2006/relationships/image" Target="../media/image69.png"/><Relationship Id="rId1" Type="http://schemas.openxmlformats.org/officeDocument/2006/relationships/image" Target="../media/image68.png"/><Relationship Id="rId6" Type="http://schemas.openxmlformats.org/officeDocument/2006/relationships/image" Target="../media/image73.png"/><Relationship Id="rId11" Type="http://schemas.openxmlformats.org/officeDocument/2006/relationships/image" Target="../media/image78.png"/><Relationship Id="rId5" Type="http://schemas.openxmlformats.org/officeDocument/2006/relationships/image" Target="../media/image72.png"/><Relationship Id="rId10" Type="http://schemas.openxmlformats.org/officeDocument/2006/relationships/image" Target="../media/image77.png"/><Relationship Id="rId4" Type="http://schemas.openxmlformats.org/officeDocument/2006/relationships/image" Target="../media/image71.png"/><Relationship Id="rId9" Type="http://schemas.openxmlformats.org/officeDocument/2006/relationships/image" Target="../media/image76.png"/><Relationship Id="rId14" Type="http://schemas.openxmlformats.org/officeDocument/2006/relationships/image" Target="../media/image8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2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6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5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3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7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4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48492</xdr:colOff>
      <xdr:row>7</xdr:row>
      <xdr:rowOff>17700</xdr:rowOff>
    </xdr:from>
    <xdr:to>
      <xdr:col>13</xdr:col>
      <xdr:colOff>845128</xdr:colOff>
      <xdr:row>7</xdr:row>
      <xdr:rowOff>825883</xdr:rowOff>
    </xdr:to>
    <xdr:pic>
      <xdr:nvPicPr>
        <xdr:cNvPr id="62" name="Picture 61" descr="Item:SwingyThing,Pos:1">
          <a:extLst>
            <a:ext uri="{FF2B5EF4-FFF2-40B4-BE49-F238E27FC236}">
              <a16:creationId xmlns:a16="http://schemas.microsoft.com/office/drawing/2014/main" id="{8C8CA804-3C7B-254C-A21A-2C91CC57D7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208492" y="6043144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66323</xdr:colOff>
      <xdr:row>8</xdr:row>
      <xdr:rowOff>47977</xdr:rowOff>
    </xdr:from>
    <xdr:to>
      <xdr:col>14</xdr:col>
      <xdr:colOff>840323</xdr:colOff>
      <xdr:row>8</xdr:row>
      <xdr:rowOff>821977</xdr:rowOff>
    </xdr:to>
    <xdr:pic>
      <xdr:nvPicPr>
        <xdr:cNvPr id="66" name="Picture 65" descr=" 4, 5, 1, 2,">
          <a:extLst>
            <a:ext uri="{FF2B5EF4-FFF2-40B4-BE49-F238E27FC236}">
              <a16:creationId xmlns:a16="http://schemas.microsoft.com/office/drawing/2014/main" id="{8A6A9FE5-9B06-784F-A6A9-4317B5CDD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19656" y="693419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8</xdr:row>
      <xdr:rowOff>42334</xdr:rowOff>
    </xdr:from>
    <xdr:to>
      <xdr:col>15</xdr:col>
      <xdr:colOff>816333</xdr:colOff>
      <xdr:row>8</xdr:row>
      <xdr:rowOff>816334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AB0B9D38-EB51-3F42-B480-4171A86FC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42333" y="69285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7</xdr:row>
      <xdr:rowOff>42333</xdr:rowOff>
    </xdr:from>
    <xdr:to>
      <xdr:col>15</xdr:col>
      <xdr:colOff>832555</xdr:colOff>
      <xdr:row>7</xdr:row>
      <xdr:rowOff>832555</xdr:rowOff>
    </xdr:to>
    <xdr:pic>
      <xdr:nvPicPr>
        <xdr:cNvPr id="27" name="Picture 26" descr="Item:Chakana_Small,Pos:1,Data:5">
          <a:extLst>
            <a:ext uri="{FF2B5EF4-FFF2-40B4-BE49-F238E27FC236}">
              <a16:creationId xmlns:a16="http://schemas.microsoft.com/office/drawing/2014/main" id="{45E633EC-A4AE-8142-AE95-5B79093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2742333" y="6067777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17</xdr:col>
      <xdr:colOff>24373</xdr:colOff>
      <xdr:row>8</xdr:row>
      <xdr:rowOff>25656</xdr:rowOff>
    </xdr:from>
    <xdr:to>
      <xdr:col>17</xdr:col>
      <xdr:colOff>832556</xdr:colOff>
      <xdr:row>8</xdr:row>
      <xdr:rowOff>822294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4417706" y="6911878"/>
          <a:ext cx="808183" cy="7966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78</xdr:row>
      <xdr:rowOff>25400</xdr:rowOff>
    </xdr:from>
    <xdr:to>
      <xdr:col>4</xdr:col>
      <xdr:colOff>811959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1071</v>
      </c>
      <c r="L20" s="16" t="s">
        <v>1066</v>
      </c>
      <c r="M20" s="16" t="s">
        <v>1003</v>
      </c>
      <c r="N20" s="16" t="s">
        <v>1003</v>
      </c>
      <c r="O20" s="16" t="s">
        <v>1071</v>
      </c>
      <c r="P20" s="16" t="s">
        <v>1066</v>
      </c>
      <c r="Q20" s="16" t="s">
        <v>1003</v>
      </c>
      <c r="R20" s="16" t="s">
        <v>1003</v>
      </c>
      <c r="S20" s="16" t="s">
        <v>1003</v>
      </c>
      <c r="T20" s="16" t="s">
        <v>1003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1072</v>
      </c>
      <c r="L38" t="s">
        <v>1067</v>
      </c>
      <c r="M38" t="s">
        <v>1002</v>
      </c>
      <c r="N38" t="s">
        <v>1002</v>
      </c>
      <c r="O38" t="s">
        <v>1072</v>
      </c>
      <c r="P38" t="s">
        <v>1067</v>
      </c>
      <c r="Q38" t="s">
        <v>1002</v>
      </c>
      <c r="R38" t="s">
        <v>1002</v>
      </c>
      <c r="S38" t="s">
        <v>1002</v>
      </c>
      <c r="T38" t="s">
        <v>1002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1073</v>
      </c>
      <c r="L39" t="s">
        <v>1068</v>
      </c>
      <c r="M39" t="s">
        <v>1002</v>
      </c>
      <c r="N39" t="s">
        <v>1002</v>
      </c>
      <c r="O39" t="s">
        <v>1073</v>
      </c>
      <c r="P39" t="s">
        <v>1068</v>
      </c>
      <c r="Q39" t="s">
        <v>1002</v>
      </c>
      <c r="R39" t="s">
        <v>1002</v>
      </c>
      <c r="S39" t="s">
        <v>1002</v>
      </c>
      <c r="T39" t="s">
        <v>1002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230" workbookViewId="0">
      <pane ySplit="18420" topLeftCell="A1027" activePane="bottomLeft"/>
      <selection activeCell="C266" sqref="C266"/>
      <selection pane="bottomLeft" activeCell="C1037" sqref="C1037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A10" zoomScale="90" zoomScaleNormal="90" workbookViewId="0">
      <selection activeCell="F16" sqref="F16:F9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1070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1074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1069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1114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1115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1069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1060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1116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1117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1118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1065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Level_00_Enemies[]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1054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Level_00_PlayerStart[]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K101" sqref="K101:K11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1075</v>
      </c>
      <c r="C1" t="s">
        <v>1076</v>
      </c>
      <c r="D1" t="s">
        <v>1077</v>
      </c>
      <c r="F1" t="s">
        <v>1075</v>
      </c>
      <c r="G1" t="s">
        <v>1076</v>
      </c>
      <c r="H1" t="s">
        <v>1077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1079</v>
      </c>
      <c r="V14" t="s">
        <v>1080</v>
      </c>
      <c r="Y14" t="s">
        <v>1081</v>
      </c>
      <c r="AC14" t="s">
        <v>1082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1078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1078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1078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1078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1078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1078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1078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1078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1078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1078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  <c r="AE74" t="str">
        <f>_xlfn.CONCAT(" {",_xlfn.TEXTJOIN(", ",FALSE,O74:AC74),"}, // ",N74)</f>
        <v xml:space="preserve"> {0, 18, 36, 54, 72, 90, 108, 126, 126, 108, 90, 72, 54, 36, 18}, // Base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100" spans="1:11" x14ac:dyDescent="0.2">
      <c r="C100" t="s">
        <v>1076</v>
      </c>
      <c r="D100" t="s">
        <v>1077</v>
      </c>
      <c r="G100" t="s">
        <v>1076</v>
      </c>
      <c r="H100" t="s">
        <v>1077</v>
      </c>
    </row>
    <row r="101" spans="1:11" x14ac:dyDescent="0.2">
      <c r="A101">
        <v>0</v>
      </c>
      <c r="C101" s="22">
        <v>68</v>
      </c>
      <c r="D101" s="22">
        <v>94</v>
      </c>
      <c r="G101">
        <f t="shared" ref="G101:G114" si="42">(MOD(C101,256)*256) + INT(C101/256)</f>
        <v>17408</v>
      </c>
      <c r="H101">
        <f t="shared" ref="H101:H108" si="43">(MOD(D101,256)*256) + INT(D101/256)</f>
        <v>24064</v>
      </c>
      <c r="K101" t="str">
        <f>_xlfn.CONCAT(G101,", ",H101,", // Port ",A101)</f>
        <v>17408, 24064,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1083</v>
      </c>
    </row>
    <row r="27" spans="8:8" x14ac:dyDescent="0.2">
      <c r="H27" t="s">
        <v>1084</v>
      </c>
    </row>
    <row r="28" spans="8:8" x14ac:dyDescent="0.2">
      <c r="H28" t="s">
        <v>1085</v>
      </c>
    </row>
    <row r="29" spans="8:8" x14ac:dyDescent="0.2">
      <c r="H29" t="s">
        <v>1086</v>
      </c>
    </row>
    <row r="31" spans="8:8" x14ac:dyDescent="0.2">
      <c r="H31" t="s">
        <v>1087</v>
      </c>
    </row>
    <row r="32" spans="8:8" x14ac:dyDescent="0.2">
      <c r="H32" t="s">
        <v>1088</v>
      </c>
    </row>
    <row r="33" spans="8:10" x14ac:dyDescent="0.2">
      <c r="H33" t="s">
        <v>1089</v>
      </c>
    </row>
    <row r="34" spans="8:10" x14ac:dyDescent="0.2">
      <c r="H34" t="s">
        <v>1090</v>
      </c>
    </row>
    <row r="36" spans="8:10" x14ac:dyDescent="0.2">
      <c r="H36" t="s">
        <v>1091</v>
      </c>
    </row>
    <row r="37" spans="8:10" x14ac:dyDescent="0.2">
      <c r="H37" t="s">
        <v>1092</v>
      </c>
    </row>
    <row r="38" spans="8:10" x14ac:dyDescent="0.2">
      <c r="H38" t="s">
        <v>1093</v>
      </c>
    </row>
    <row r="39" spans="8:10" x14ac:dyDescent="0.2">
      <c r="H39" t="s">
        <v>1094</v>
      </c>
    </row>
    <row r="40" spans="8:10" x14ac:dyDescent="0.2">
      <c r="H40" t="s">
        <v>1095</v>
      </c>
    </row>
    <row r="41" spans="8:10" x14ac:dyDescent="0.2">
      <c r="H41" t="s">
        <v>1096</v>
      </c>
    </row>
    <row r="42" spans="8:10" x14ac:dyDescent="0.2">
      <c r="H42" t="s">
        <v>1097</v>
      </c>
    </row>
    <row r="44" spans="8:10" x14ac:dyDescent="0.2">
      <c r="H44" t="s">
        <v>1098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1099</v>
      </c>
      <c r="H51" t="s">
        <v>1100</v>
      </c>
      <c r="I51" t="s">
        <v>1101</v>
      </c>
      <c r="J51" t="s">
        <v>1102</v>
      </c>
      <c r="K51" t="s">
        <v>1103</v>
      </c>
      <c r="L51" t="s">
        <v>1104</v>
      </c>
      <c r="M51" t="s">
        <v>1105</v>
      </c>
      <c r="N51" t="s">
        <v>1106</v>
      </c>
      <c r="O51" t="s">
        <v>1107</v>
      </c>
      <c r="P51" t="s">
        <v>1108</v>
      </c>
      <c r="Q51" t="s">
        <v>1109</v>
      </c>
      <c r="R51" t="s">
        <v>1110</v>
      </c>
      <c r="S51" t="s">
        <v>1111</v>
      </c>
      <c r="T51" t="s">
        <v>1112</v>
      </c>
      <c r="V51" t="s">
        <v>1113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Hidden</vt:lpstr>
      <vt:lpstr>Stances</vt:lpstr>
      <vt:lpstr>Level_00</vt:lpstr>
      <vt:lpstr>Map</vt:lpstr>
      <vt:lpstr>Sheet2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2025-01-17T02:19:01Z</dcterms:modified>
</cp:coreProperties>
</file>