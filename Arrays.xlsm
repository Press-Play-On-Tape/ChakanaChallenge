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1B640D5A-D99E-EB4C-B1E9-BFCF7DE3D8BB}" xr6:coauthVersionLast="47" xr6:coauthVersionMax="47" xr10:uidLastSave="{00000000-0000-0000-0000-000000000000}"/>
  <bookViews>
    <workbookView xWindow="5540" yWindow="500" windowWidth="47420" windowHeight="30420" activeTab="3" xr2:uid="{50E1C641-7614-0542-B3D9-BEFC89310226}"/>
  </bookViews>
  <sheets>
    <sheet name="Hidden" sheetId="6" r:id="rId1"/>
    <sheet name="Level_00" sheetId="30" r:id="rId2"/>
    <sheet name="Level_01" sheetId="32" r:id="rId3"/>
    <sheet name="Level_02" sheetId="34" r:id="rId4"/>
    <sheet name="Level_03" sheetId="28" r:id="rId5"/>
    <sheet name="Level_04" sheetId="12" r:id="rId6"/>
    <sheet name="Level_05" sheetId="13" r:id="rId7"/>
    <sheet name="Level_06" sheetId="22" r:id="rId8"/>
    <sheet name="Level_07" sheetId="23" r:id="rId9"/>
    <sheet name="Level_08" sheetId="24" r:id="rId10"/>
    <sheet name="Level_09" sheetId="25" r:id="rId11"/>
    <sheet name="Level_10" sheetId="26" r:id="rId12"/>
    <sheet name="Level_02_Matt" sheetId="33" r:id="rId13"/>
    <sheet name="Level_02_Jnk" sheetId="21" r:id="rId14"/>
    <sheet name="Level_01_Bkp" sheetId="31" r:id="rId15"/>
    <sheet name="Map" sheetId="10" state="hidden" r:id="rId16"/>
    <sheet name="Sheet2" sheetId="11" state="hidden" r:id="rId17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5" i="34" l="1"/>
  <c r="F51" i="21"/>
  <c r="F35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 a="1"/>
  <c r="F16" i="21" s="1"/>
  <c r="F72" i="12"/>
  <c r="F35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121" i="33" l="1"/>
  <c r="F35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F19" i="33"/>
  <c r="F18" i="33"/>
  <c r="F17" i="33"/>
  <c r="F16" i="33" a="1"/>
  <c r="F16" i="33" s="1"/>
  <c r="F114" i="32"/>
  <c r="F107" i="31"/>
  <c r="F35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5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 a="1"/>
  <c r="F16" i="31" s="1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79" i="30"/>
  <c r="F35" i="30"/>
  <c r="F16" i="30" a="1"/>
  <c r="F16" i="30" s="1"/>
  <c r="F32" i="26" l="1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28" i="28"/>
  <c r="F35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93" i="26" l="1"/>
  <c r="F177" i="25"/>
  <c r="F142" i="24"/>
  <c r="F100" i="23"/>
  <c r="F114" i="22"/>
  <c r="F16" i="26" a="1"/>
  <c r="F16" i="26" s="1"/>
  <c r="F35" i="26"/>
  <c r="F16" i="25" a="1"/>
  <c r="F16" i="25" s="1"/>
  <c r="F35" i="25"/>
  <c r="F16" i="24" a="1"/>
  <c r="F16" i="24" s="1"/>
  <c r="F35" i="24"/>
  <c r="F16" i="23" a="1"/>
  <c r="F16" i="23" s="1"/>
  <c r="F35" i="23"/>
  <c r="F16" i="22" a="1"/>
  <c r="F16" i="22" s="1"/>
  <c r="F35" i="22"/>
  <c r="F136" i="13" l="1"/>
  <c r="F135" i="13"/>
  <c r="F134" i="13"/>
  <c r="F133" i="13"/>
  <c r="F107" i="13"/>
  <c r="F35" i="13"/>
  <c r="F16" i="13" a="1"/>
  <c r="F16" i="13" s="1"/>
  <c r="F35" i="12"/>
  <c r="F16" i="12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<sst xmlns="http://schemas.openxmlformats.org/spreadsheetml/2006/main" count="1943" uniqueCount="209">
  <si>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</si>
  <si>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</si>
  <si>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</si>
  <si>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</si>
  <si>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</si>
  <si>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</si>
  <si>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</si>
  <si>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</si>
  <si>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</si>
  <si>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</si>
  <si>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</si>
  <si>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</si>
  <si>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</si>
  <si>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</si>
  <si>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</si>
  <si>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</si>
  <si>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</si>
  <si>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</si>
  <si>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</si>
  <si>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</si>
  <si>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</si>
  <si>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</si>
  <si>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</si>
  <si>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</si>
  <si>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</si>
  <si>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</si>
  <si>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</si>
  <si>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</si>
  <si>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</si>
  <si>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</si>
  <si>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</si>
  <si>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</si>
  <si>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</si>
  <si>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</si>
  <si>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</si>
  <si>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</si>
  <si>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</si>
  <si>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</si>
  <si>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</si>
  <si>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</si>
  <si>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</si>
  <si>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</si>
  <si>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</si>
  <si>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</si>
  <si>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</si>
  <si>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</si>
  <si>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</si>
  <si>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</si>
  <si>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</si>
  <si>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</si>
  <si>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</si>
  <si>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</si>
  <si>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</si>
  <si>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</si>
  <si>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</si>
  <si>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</si>
  <si>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</si>
  <si>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</si>
  <si>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</si>
  <si>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</si>
  <si>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</si>
  <si>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</si>
  <si>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</si>
  <si>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</si>
  <si>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</si>
  <si>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</si>
  <si>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64,64,64,64,</t>
  </si>
  <si>
    <t>64,64,</t>
  </si>
  <si>
    <t>74,74,74,74,</t>
  </si>
  <si>
    <t>74,74,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</si>
  <si>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</si>
  <si>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</si>
  <si>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</si>
  <si>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</si>
  <si>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</si>
  <si>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</si>
  <si>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</si>
  <si>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</si>
  <si>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</si>
  <si>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</si>
  <si>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</si>
  <si>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</si>
  <si>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</si>
  <si>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</si>
  <si>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</si>
  <si>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</si>
  <si>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</si>
  <si>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</si>
  <si>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</si>
  <si>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</si>
  <si>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</si>
  <si>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</si>
  <si>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</si>
  <si>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</si>
  <si>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</si>
  <si>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</si>
  <si>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</si>
  <si>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</si>
  <si>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</si>
  <si>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</si>
  <si>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</si>
  <si>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</si>
  <si>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</si>
  <si>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</si>
  <si>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</si>
  <si>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</si>
  <si>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</si>
  <si>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</si>
  <si>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</si>
  <si>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</si>
  <si>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</si>
  <si>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</si>
  <si>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</si>
  <si>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</si>
  <si>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</si>
  <si>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</si>
  <si>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</si>
  <si>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</si>
  <si>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</si>
  <si>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</si>
  <si>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</si>
  <si>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</si>
  <si>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</si>
  <si>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</si>
  <si>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</si>
  <si>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</si>
  <si>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</si>
  <si>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</si>
  <si>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</si>
  <si>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60,                             // ItemType::???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</si>
  <si>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</si>
  <si>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</si>
  <si>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</si>
  <si>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</si>
  <si>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</si>
  <si>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</si>
  <si>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>384,                             // Position X</t>
  </si>
  <si>
    <t>192,                             // Position X</t>
  </si>
  <si>
    <t>12,12, 7, 7,</t>
  </si>
  <si>
    <t>12,12,12,12,</t>
  </si>
  <si>
    <t xml:space="preserve">34,35,34,35, </t>
  </si>
  <si>
    <t>28,                             // ItemType::Trebochet_Left</t>
  </si>
  <si>
    <t>33,                             // ItemType::Trebochet_Ball_Left_Hidden</t>
  </si>
  <si>
    <t>418,                             // Position X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</si>
  <si>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</si>
  <si>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</si>
  <si>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</si>
  <si>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</si>
  <si>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194,                             // Position X</t>
  </si>
  <si>
    <t>322,                             // Position X</t>
  </si>
  <si>
    <t xml:space="preserve"> 8, 8,</t>
  </si>
  <si>
    <t xml:space="preserve"> 7, 7,</t>
  </si>
  <si>
    <t>12,12,</t>
  </si>
  <si>
    <t>34,35,</t>
  </si>
  <si>
    <t>48,                             // ItemType::Lever_Portal_Auto_Open</t>
  </si>
  <si>
    <t>416,                             // Position X</t>
  </si>
  <si>
    <t>26,                             // ItemType::Sword</t>
  </si>
  <si>
    <t>450,                             // Position X</t>
  </si>
  <si>
    <t>306,                             // Position X</t>
  </si>
  <si>
    <t>887,                             // Stance::Enemy_Walk_Bow_RH_00</t>
  </si>
  <si>
    <t>25,                             // Inventory ItemType::Arrow_RH_Hidden</t>
  </si>
  <si>
    <t>16,                             // ItemType::Anchor</t>
  </si>
  <si>
    <t>240,                             // Position X</t>
  </si>
  <si>
    <t>29,                             // ItemType::Trebochet_Right</t>
  </si>
  <si>
    <t>37,                             // ItemType::Trebochet_Ball_Right_Hidden</t>
  </si>
  <si>
    <t>350,                             // Position X</t>
  </si>
  <si>
    <t>370,                             // Position X</t>
  </si>
  <si>
    <t>434,                             // Position X</t>
  </si>
  <si>
    <t>510,                             // Position X</t>
  </si>
  <si>
    <t>904,                             // Stance::Enemy_Trebochet_Release_RH_01</t>
  </si>
  <si>
    <t>37,                             // Inventory ItemType::Trebochet_Ball_Right_Hidden</t>
  </si>
  <si>
    <t>210,                             // Position X</t>
  </si>
  <si>
    <t>274,                             // Position X</t>
  </si>
  <si>
    <t>254,                             // Position X</t>
  </si>
  <si>
    <t>290,                             // Position X</t>
  </si>
  <si>
    <t xml:space="preserve"> 1, 1, 2, 2,</t>
  </si>
  <si>
    <t xml:space="preserve"> 9, 0, 2,11, </t>
  </si>
  <si>
    <t xml:space="preserve"> 8, 8,12,12,</t>
  </si>
  <si>
    <t>63,63,63,63,</t>
  </si>
  <si>
    <t>73,73,73,73,</t>
  </si>
  <si>
    <t xml:space="preserve"> 1, 1,</t>
  </si>
  <si>
    <t xml:space="preserve"> 2, 2,</t>
  </si>
  <si>
    <t>33,33,</t>
  </si>
  <si>
    <t>31,31,</t>
  </si>
  <si>
    <t>32,32,</t>
  </si>
  <si>
    <t xml:space="preserve"> 9, 0,</t>
  </si>
  <si>
    <t xml:space="preserve"> 2,11,</t>
  </si>
  <si>
    <t>63,63,</t>
  </si>
  <si>
    <t>73,73,</t>
  </si>
  <si>
    <t>4,                             // ItemType::Punji</t>
  </si>
  <si>
    <t>40,40,</t>
  </si>
  <si>
    <t>38,38,</t>
  </si>
  <si>
    <t>39,39,</t>
  </si>
  <si>
    <t>23,23,</t>
  </si>
  <si>
    <t xml:space="preserve"> 0, 0,23,23, </t>
  </si>
  <si>
    <t xml:space="preserve"> 0, 0, 1, 1</t>
  </si>
  <si>
    <t>17,                              // Data</t>
  </si>
  <si>
    <t>59,                              // Data</t>
  </si>
  <si>
    <t xml:space="preserve"> 0,22,22, 2,</t>
  </si>
  <si>
    <t>6,                             // Data</t>
  </si>
  <si>
    <t xml:space="preserve"> 0,22,</t>
  </si>
  <si>
    <t>22, 2,</t>
  </si>
  <si>
    <t xml:space="preserve">46,46,46,46, </t>
  </si>
  <si>
    <t>46,46,</t>
  </si>
  <si>
    <t>12,                             // Data</t>
  </si>
  <si>
    <t>3,                             // ItemType::TrapDoor</t>
  </si>
  <si>
    <t xml:space="preserve">48,48,48,48, </t>
  </si>
  <si>
    <t>48,48,</t>
  </si>
  <si>
    <t>973,                             // Stance::Enemy_Trebochet_Release_LH_01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</si>
</sst>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73.png"/><Relationship Id="rId66" Type="http://schemas.openxmlformats.org/officeDocument/2006/relationships/image" Target="../media/image62.png"/><Relationship Id="rId74" Type="http://schemas.openxmlformats.org/officeDocument/2006/relationships/image" Target="../media/image71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4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6.png"/><Relationship Id="rId75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72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5.png"/><Relationship Id="rId65" Type="http://schemas.openxmlformats.org/officeDocument/2006/relationships/image" Target="../media/image61.png"/><Relationship Id="rId73" Type="http://schemas.openxmlformats.org/officeDocument/2006/relationships/image" Target="../media/image69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5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6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3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7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4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2" Type="http://schemas.openxmlformats.org/officeDocument/2006/relationships/image" Target="../media/image2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66" Type="http://schemas.openxmlformats.org/officeDocument/2006/relationships/image" Target="../media/image67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5.png"/><Relationship Id="rId69" Type="http://schemas.openxmlformats.org/officeDocument/2006/relationships/image" Target="../media/image72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5.png"/><Relationship Id="rId3" Type="http://schemas.openxmlformats.org/officeDocument/2006/relationships/image" Target="../media/image3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70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73" Type="http://schemas.openxmlformats.org/officeDocument/2006/relationships/image" Target="../media/image4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71" Type="http://schemas.openxmlformats.org/officeDocument/2006/relationships/image" Target="../media/image74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73.png"/><Relationship Id="rId66" Type="http://schemas.openxmlformats.org/officeDocument/2006/relationships/image" Target="../media/image62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4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6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72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5.png"/><Relationship Id="rId65" Type="http://schemas.openxmlformats.org/officeDocument/2006/relationships/image" Target="../media/image61.png"/><Relationship Id="rId73" Type="http://schemas.openxmlformats.org/officeDocument/2006/relationships/image" Target="../media/image6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6.png"/><Relationship Id="rId13" Type="http://schemas.openxmlformats.org/officeDocument/2006/relationships/image" Target="../media/image91.png"/><Relationship Id="rId3" Type="http://schemas.openxmlformats.org/officeDocument/2006/relationships/image" Target="../media/image81.png"/><Relationship Id="rId7" Type="http://schemas.openxmlformats.org/officeDocument/2006/relationships/image" Target="../media/image85.png"/><Relationship Id="rId12" Type="http://schemas.openxmlformats.org/officeDocument/2006/relationships/image" Target="../media/image90.png"/><Relationship Id="rId2" Type="http://schemas.openxmlformats.org/officeDocument/2006/relationships/image" Target="../media/image80.png"/><Relationship Id="rId1" Type="http://schemas.openxmlformats.org/officeDocument/2006/relationships/image" Target="../media/image79.png"/><Relationship Id="rId6" Type="http://schemas.openxmlformats.org/officeDocument/2006/relationships/image" Target="../media/image84.png"/><Relationship Id="rId11" Type="http://schemas.openxmlformats.org/officeDocument/2006/relationships/image" Target="../media/image89.png"/><Relationship Id="rId5" Type="http://schemas.openxmlformats.org/officeDocument/2006/relationships/image" Target="../media/image83.png"/><Relationship Id="rId10" Type="http://schemas.openxmlformats.org/officeDocument/2006/relationships/image" Target="../media/image88.png"/><Relationship Id="rId4" Type="http://schemas.openxmlformats.org/officeDocument/2006/relationships/image" Target="../media/image82.png"/><Relationship Id="rId9" Type="http://schemas.openxmlformats.org/officeDocument/2006/relationships/image" Target="../media/image87.png"/><Relationship Id="rId14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48D36F4-B14F-DF42-8279-3AF3C0F3B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FE31B784-C0F4-5F44-A1C7-7E78A11A9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ED7B80E-7C67-094B-B787-DE78ADE67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B4C44B9-6005-364A-9228-8D12283D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3EE7E4B2-09C8-D349-BC3C-76EC25E16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AF55E44-A499-8C48-A1DA-C8AAAC8A8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54035BB-102B-744B-8B8F-C7EF8F7C5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A1295D7-8B5F-BC45-9B6A-F07CE4B63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87DAD08-51E0-2949-9DD4-B0BCA35B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BE7F536-E9E3-194E-AB15-FE7A46881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526E753-9246-984A-A97A-2C2A3A3B7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0225A05-B8F4-EE4D-8F9E-AC45F3B86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5C4B157-585C-1342-922B-C72879A6F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E39F0B8-AC4C-C24C-8595-4E224AA81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DA807710-AE55-1C4E-8149-E08C413D9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6F0B612-21A0-9D4D-BB9B-C3DD1CED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CAD9A5E-F290-2A4E-B989-CDCF2D911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CCBA3D7-24EC-774A-8513-DF0EF7FD7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58254D3-3472-DD49-9E74-2F5DC1AB7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7BC8AB0-16B0-424D-92F7-355D42F45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7B34BE02-2926-7E41-B873-0F99771CD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6D953C56-5833-4A48-AB88-2A38E4346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E40ED5C-0C6D-F040-9C84-5688CF2F6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4ED3ED9-740C-D34C-B9FC-5ABAD93B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A7DF3FF8-21A9-4D45-87AD-16A6ACC0B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04B4D2-6291-5A45-ABC2-92A03B617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774C5DA-1439-4449-BB55-72319C345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57C5330C-2B19-7842-AD7B-5C7172CA5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93AB9AA-5FE6-4144-8820-CEDD3263D3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CD71CE-5101-2141-A1CB-1D0115FF39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59C9D63-0F2F-2942-864E-B4E941318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DE468C97-0543-6B4F-B117-6AAC6968E7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73788128-AF0A-2349-9E49-084D13504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9D40D9D-341D-9D45-9980-AE90E96A14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40874B8-A25E-E543-9844-6585D67C77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174B44-0781-6D48-B3AA-DC789E0148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B3B0E3C-970A-8D41-9BE9-51BD512C06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74A63B1-1D35-BB4D-B6E1-612CF68D79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C6C6D074-3767-1648-B92F-FDBFE49275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0BF3FD4-F728-3D4C-B1D0-60BDC0D7A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312E79E-67F2-6247-B632-3A6E115B36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6665E6B-0677-DE45-ACFC-13A1347D1D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3E7ECD1-C172-4645-A3E2-FBBB1DE3C4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729D9E-180E-F047-913D-3891A0A89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468EBE1-F665-634B-9BF1-B5E0400DF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E4E416-54F1-E649-B526-0B888B95A9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1D89BC-68DC-5647-ACC9-4DC0D5D1FD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051C824-4FF3-D944-A09C-44EAC023E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EA0EDAD-2074-5744-95CA-08315F576A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0F12819-C1B2-1546-943D-C8CE361B91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42F6DF13-6820-4844-9A18-F553A872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A7FD9AE-4B5C-874F-B946-5DAB2D4C0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A080FA2-509B-9642-9CAD-5C4815AC2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F88FC22-0AFC-E346-ABCF-F97AFE60A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1E24A73-E6BC-AF4C-9CD4-96F9F91F5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38E7062-B479-E546-ABAF-845C45A48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B292E7CD-D5A6-504F-BF9D-9878E4560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03465CF-09DA-1F4D-B384-7AAE7F7D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B0005043-5639-8740-B20B-EC7BFD72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A0C2F85-0ED1-8446-AF38-C71485143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DDBFBD-29B3-2648-B0D1-0980EB5E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E5C1DCF2-AA0E-B847-9B94-B4470CF04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04B00D-476B-1744-9340-DC8C6C36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9" name="Picture 68" descr="18,18,18,18,">
          <a:extLst>
            <a:ext uri="{FF2B5EF4-FFF2-40B4-BE49-F238E27FC236}">
              <a16:creationId xmlns:a16="http://schemas.microsoft.com/office/drawing/2014/main" id="{EB142DD8-AB46-FE4C-923F-164D5D3F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0" name="Picture 69" descr="Item:Poker,Pos:1">
          <a:extLst>
            <a:ext uri="{FF2B5EF4-FFF2-40B4-BE49-F238E27FC236}">
              <a16:creationId xmlns:a16="http://schemas.microsoft.com/office/drawing/2014/main" id="{A9D69DA5-9057-7441-8F58-54BDEBFEA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1" name="Picture 70" descr=" 9,10, 2, 1,">
          <a:extLst>
            <a:ext uri="{FF2B5EF4-FFF2-40B4-BE49-F238E27FC236}">
              <a16:creationId xmlns:a16="http://schemas.microsoft.com/office/drawing/2014/main" id="{D3C75B9D-212C-4B4F-AE16-7F64A361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72" name="Picture 156" descr=" 0, 0, 3, 3,">
          <a:extLst>
            <a:ext uri="{FF2B5EF4-FFF2-40B4-BE49-F238E27FC236}">
              <a16:creationId xmlns:a16="http://schemas.microsoft.com/office/drawing/2014/main" id="{EAD54B30-6F98-9541-8801-8FBC279863CA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73" name="Picture 157" descr=" 2, 2, 3, 3,">
          <a:extLst>
            <a:ext uri="{FF2B5EF4-FFF2-40B4-BE49-F238E27FC236}">
              <a16:creationId xmlns:a16="http://schemas.microsoft.com/office/drawing/2014/main" id="{4CBADF81-CADA-7C40-A124-661D357CE846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C6DBD5B0-42DA-FD41-87AC-C03773808979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0499BD2-301E-C24F-AFCB-5486CB639398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AE480CF8-2BC6-9342-A14D-D2958D540069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958D73-2847-904F-90CC-0D5B9EAFF794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8026C107-825C-5145-9290-38D9F2378017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E49327A2-9D74-5241-A7B9-F8769BC8F911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BAD20CDA-E397-974B-AA54-81FB441A61F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095A07CC-A68E-5A47-A1E8-D324199D14DE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8A4F305-4A1A-1B49-8D9C-2B86B4493A74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236EA614-AE55-F844-859C-22158238BE77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D7803AAD-8F32-7B4F-A0BC-630E46989C1C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96581585-E29D-C849-AA31-55D0215848D7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55F80E9C-6864-014A-8F48-EF2B1FBF8F22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4F89813-FFC5-6246-A606-F0E11FF198AB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7D3D8D5D-056D-4A4F-99E3-8FFFA7461D2A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D8F56EE-76D4-7F45-94D4-6481C3AE372A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E7455D1-C8B8-874A-8CB5-1FE4DA59E55D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78C33BF-3E0A-6D40-ACA5-A5607399DA13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898A005A-29F4-B04B-B2BB-46BD600AA6EA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9A90D6E-EC85-9243-A8F8-A9F214679564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16859731-1963-AB40-AD75-9FFADEFB91E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4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A2B262C-F126-4644-9D3E-251A8768701A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21480B1C-A344-2046-A291-F18BA6B84BF5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4A0D904F-2C13-7248-A079-AA778405DD30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657CBAA9-87AD-8D47-A3C3-B726A4A49AFD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D4222F2C-B2F6-DC49-A656-5C2DE1ACF86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30AF01F-973F-7148-A334-1E4B6E589673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2C868B5-0D19-1E46-B34B-C30CE9593B9B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7B052790-0630-AB42-9CA2-09174825CD21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D8A13FC9-9199-554A-B0E2-D680101C0849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10B2D07-315B-E144-8159-5942B176B401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1DFBCF8-A012-C745-A029-49BD398AECB7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2FBF020C-1106-044F-9276-8CBF4E074FDD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E41D3C8C-4CEB-6D41-9129-70CC4FD05408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78DF187-779D-F940-92C3-310ED0C1C06A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83D319D-5120-274D-8503-2A622C759EDA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51381FC7-47AE-134C-BC3B-ABFAA2C9D133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DAE4F456-DB76-0A48-9592-D25262F31650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10690D1-1063-6B4F-9783-08B94AF901E4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2B63FF42-ED22-F743-A2CA-AC805ACB0CF5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EC3BBC2B-2C78-844D-BA78-E47EA975DF3A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515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17" name="Picture 116" descr="33,33,31,31,">
          <a:extLst>
            <a:ext uri="{FF2B5EF4-FFF2-40B4-BE49-F238E27FC236}">
              <a16:creationId xmlns:a16="http://schemas.microsoft.com/office/drawing/2014/main" id="{0A1D098D-1D7D-0244-A4A1-8C0C147855B0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18" name="Picture 117" descr="31,31,31,31,">
          <a:extLst>
            <a:ext uri="{FF2B5EF4-FFF2-40B4-BE49-F238E27FC236}">
              <a16:creationId xmlns:a16="http://schemas.microsoft.com/office/drawing/2014/main" id="{EC60F679-BE5F-B34C-9ECF-1789DE081527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19" name="Picture 118" descr="31,31,31,31,">
          <a:extLst>
            <a:ext uri="{FF2B5EF4-FFF2-40B4-BE49-F238E27FC236}">
              <a16:creationId xmlns:a16="http://schemas.microsoft.com/office/drawing/2014/main" id="{DAB10207-180D-B64A-A6CD-DC551E9B4C3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FA654E00-331B-264B-A779-01A94CE274B1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21" name="Picture 120" descr="31,31,31,31,">
          <a:extLst>
            <a:ext uri="{FF2B5EF4-FFF2-40B4-BE49-F238E27FC236}">
              <a16:creationId xmlns:a16="http://schemas.microsoft.com/office/drawing/2014/main" id="{5CDDD5D5-18DB-8D4F-85B6-F5A43EFD3906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22" name="Picture 121" descr="Item:Key1,Pos:1">
          <a:extLst>
            <a:ext uri="{FF2B5EF4-FFF2-40B4-BE49-F238E27FC236}">
              <a16:creationId xmlns:a16="http://schemas.microsoft.com/office/drawing/2014/main" id="{21054A98-CBAF-344F-8627-D6E1A3DACEA5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5988050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23" name="Picture 122" descr="Item:LockedDoor,Pos:1">
          <a:extLst>
            <a:ext uri="{FF2B5EF4-FFF2-40B4-BE49-F238E27FC236}">
              <a16:creationId xmlns:a16="http://schemas.microsoft.com/office/drawing/2014/main" id="{52247C94-77FD-054E-B465-38AB261D8102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485100" y="609282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24" name="Picture 123" descr="Item:Chakana,Pos:1">
          <a:extLst>
            <a:ext uri="{FF2B5EF4-FFF2-40B4-BE49-F238E27FC236}">
              <a16:creationId xmlns:a16="http://schemas.microsoft.com/office/drawing/2014/main" id="{5C07AFA2-02F3-C74C-B8E1-4ED40FE47117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155150" y="606107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25" name="Picture 124" descr="Item:SwingingVine">
          <a:extLst>
            <a:ext uri="{FF2B5EF4-FFF2-40B4-BE49-F238E27FC236}">
              <a16:creationId xmlns:a16="http://schemas.microsoft.com/office/drawing/2014/main" id="{0323ECDD-4B76-AB42-B78F-D8C472537A22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689850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26" name="Picture 125" descr="31,31,32,32,">
          <a:extLst>
            <a:ext uri="{FF2B5EF4-FFF2-40B4-BE49-F238E27FC236}">
              <a16:creationId xmlns:a16="http://schemas.microsoft.com/office/drawing/2014/main" id="{D7AD38D8-C34A-8A45-97E2-05268C2DEFD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27" name="Picture 126" descr="31,31,32,32,">
          <a:extLst>
            <a:ext uri="{FF2B5EF4-FFF2-40B4-BE49-F238E27FC236}">
              <a16:creationId xmlns:a16="http://schemas.microsoft.com/office/drawing/2014/main" id="{21BAB0EB-2FCE-C540-9E76-992906930169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515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C40D6CEB-563F-4747-9BA7-0589E83D452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6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2FA68330-B30C-DE4A-9383-9326C3D88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4413DF0E-3E52-C240-81EF-644AB9F09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F94EFECB-3AAD-B549-8ECC-3604A4195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32" name="Picture 131" descr=" 0, 5, 6, 2, ">
          <a:extLst>
            <a:ext uri="{FF2B5EF4-FFF2-40B4-BE49-F238E27FC236}">
              <a16:creationId xmlns:a16="http://schemas.microsoft.com/office/drawing/2014/main" id="{82F22DCD-FA8C-FF49-AEE8-D6871D785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33" name="Picture 132" descr=" 0, 5, 6, 2, ">
          <a:extLst>
            <a:ext uri="{FF2B5EF4-FFF2-40B4-BE49-F238E27FC236}">
              <a16:creationId xmlns:a16="http://schemas.microsoft.com/office/drawing/2014/main" id="{43018C6B-E08C-FD47-A662-3B003E310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C6A033BA-E993-EF42-B73E-192E6C7EB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35" name="Picture 134" descr=" 9, 0, 2,11, ">
          <a:extLst>
            <a:ext uri="{FF2B5EF4-FFF2-40B4-BE49-F238E27FC236}">
              <a16:creationId xmlns:a16="http://schemas.microsoft.com/office/drawing/2014/main" id="{0D5F3795-1C08-2240-94DD-A62C6AF07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0F47A99-6656-A642-B9D0-DEDC6242D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75150" y="69342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37" name="Picture 136" descr=" 0, 0, 1, 1">
          <a:extLst>
            <a:ext uri="{FF2B5EF4-FFF2-40B4-BE49-F238E27FC236}">
              <a16:creationId xmlns:a16="http://schemas.microsoft.com/office/drawing/2014/main" id="{E6DC2254-F544-9149-B1DF-6558F4601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1491AD52-AFE5-0948-9FD2-A56CD2743D93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39" name="Picture 138" descr="Item:Chakana_Small,Pos:1,Data:5">
          <a:extLst>
            <a:ext uri="{FF2B5EF4-FFF2-40B4-BE49-F238E27FC236}">
              <a16:creationId xmlns:a16="http://schemas.microsoft.com/office/drawing/2014/main" id="{60601D5F-69AA-8045-A0A9-3619308B6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CB8DBC36-C465-C64B-9483-E3F933A5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141" name="Picture 140" descr=" 0, 5, 6, 2, ">
          <a:extLst>
            <a:ext uri="{FF2B5EF4-FFF2-40B4-BE49-F238E27FC236}">
              <a16:creationId xmlns:a16="http://schemas.microsoft.com/office/drawing/2014/main" id="{9A04F24C-9F56-2F48-90D0-C1EB620D3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9627850" y="69500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9E1B5921-0FAA-BF40-AB63-21D8A1A4E96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BA20DD29-C906-ED43-9157-D388126FFDD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AC132705-83C0-D24A-AF19-50BA867AEB5C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C0A2D0D7-826E-4645-8843-3FDF87D7E207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3FE371DF-F796-584C-BC3C-503A172B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9596100" y="904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E9AC492E-4247-494A-A303-35E5C96C5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715249" y="888999"/>
          <a:ext cx="803275" cy="809625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48" name="Picture 147" descr=" 0, 0,28,28,">
          <a:extLst>
            <a:ext uri="{FF2B5EF4-FFF2-40B4-BE49-F238E27FC236}">
              <a16:creationId xmlns:a16="http://schemas.microsoft.com/office/drawing/2014/main" id="{53A7AD84-1B40-134D-ACD6-52DE64F9C4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78361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49" name="Picture 148" descr=" 0, 0,27,27,">
          <a:extLst>
            <a:ext uri="{FF2B5EF4-FFF2-40B4-BE49-F238E27FC236}">
              <a16:creationId xmlns:a16="http://schemas.microsoft.com/office/drawing/2014/main" id="{0B7E19C2-ECA1-CB43-8FE8-05C193661CE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207000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50" name="Picture 149" descr="28,28, 2, 2,">
          <a:extLst>
            <a:ext uri="{FF2B5EF4-FFF2-40B4-BE49-F238E27FC236}">
              <a16:creationId xmlns:a16="http://schemas.microsoft.com/office/drawing/2014/main" id="{B07F42DF-3AF7-E54E-8947-DAEC14B2FA1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78750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51" name="Picture 150" descr="27,27, 2, 2,">
          <a:extLst>
            <a:ext uri="{FF2B5EF4-FFF2-40B4-BE49-F238E27FC236}">
              <a16:creationId xmlns:a16="http://schemas.microsoft.com/office/drawing/2014/main" id="{3DE009E2-5F56-D144-84A5-B5FAFCE1EF8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907388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8934DB45-F959-EF48-906D-FDB19612C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17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B146B6E5-9130-784A-BCE9-56491A901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74F3E1DA-E741-3B4F-8439-7865AA9B0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30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4359F833-8999-6040-9E8E-82B96F585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58762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52" name="Picture 151" descr="48,48,48,48, ">
          <a:extLst>
            <a:ext uri="{FF2B5EF4-FFF2-40B4-BE49-F238E27FC236}">
              <a16:creationId xmlns:a16="http://schemas.microsoft.com/office/drawing/2014/main" id="{BC34DB41-4139-214A-B0F5-67B833157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44875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0796EBC2-544B-B145-923F-4D4E30EC9BE8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67EA479A-F485-C64E-A7E2-5E48DD7A1BAF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610F2C62-021F-2644-96F3-E7928628840A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4FA6ABBA-DCB5-824B-BB31-F683AFE1E306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8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58425" y="695642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7</xdr:row>
      <xdr:rowOff>47625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03E3D652-A5B2-984A-9E6C-9AA705552D22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7</xdr:row>
      <xdr:rowOff>47625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9B4AB993-0066-CE45-94B6-5562A12C7D16}"/>
            </a:ext>
            <a:ext uri="{147F2762-F138-4A5C-976F-8EAC2B608ADB}">
              <a16:predDERef xmlns:a16="http://schemas.microsoft.com/office/drawing/2014/main" pred="{35A349D0-FF0D-4F9D-8AC0-35E9ED2D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721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11BE37E8-2395-BB44-8971-280CD15639B4}"/>
            </a:ext>
            <a:ext uri="{147F2762-F138-4A5C-976F-8EAC2B608ADB}">
              <a16:predDERef xmlns:a16="http://schemas.microsoft.com/office/drawing/2014/main" pred="{03687B00-39AB-45E7-89B3-5F88AD1B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868900" y="60452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0" y="690880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4973CE8A-F564-B74C-B996-BD9A3A6E49BE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47625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928475" y="695642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10</xdr:col>
      <xdr:colOff>31750</xdr:colOff>
      <xdr:row>5</xdr:row>
      <xdr:rowOff>47625</xdr:rowOff>
    </xdr:from>
    <xdr:to>
      <xdr:col>10</xdr:col>
      <xdr:colOff>816841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8540750" y="43656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9525</xdr:colOff>
      <xdr:row>5</xdr:row>
      <xdr:rowOff>25400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17337902-1A48-724F-B8ED-9164C5A5E12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658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3</xdr:row>
      <xdr:rowOff>41275</xdr:rowOff>
    </xdr:from>
    <xdr:ext cx="808185" cy="808183"/>
    <xdr:pic>
      <xdr:nvPicPr>
        <xdr:cNvPr id="167" name="Picture 166" descr="Item:Punji,Pos:1">
          <a:extLst>
            <a:ext uri="{FF2B5EF4-FFF2-40B4-BE49-F238E27FC236}">
              <a16:creationId xmlns:a16="http://schemas.microsoft.com/office/drawing/2014/main" id="{D221DC26-2019-A048-826B-E7C52222A86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7715250" y="263207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79375</xdr:colOff>
      <xdr:row>8</xdr:row>
      <xdr:rowOff>15875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91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0" name="Picture 59" descr="Enemy:Archer_RH,Pos:1">
          <a:extLst>
            <a:ext uri="{FF2B5EF4-FFF2-40B4-BE49-F238E27FC236}">
              <a16:creationId xmlns:a16="http://schemas.microsoft.com/office/drawing/2014/main" id="{5BB27DD5-4F0F-1E42-A1E6-1ED6654D392A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1" name="Picture 60" descr="Enemy:Archer_LH,Pos:1">
          <a:extLst>
            <a:ext uri="{FF2B5EF4-FFF2-40B4-BE49-F238E27FC236}">
              <a16:creationId xmlns:a16="http://schemas.microsoft.com/office/drawing/2014/main" id="{0B24CD5F-C23C-C84A-8ABE-4396BECA421D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2" name="Picture 61">
          <a:extLst>
            <a:ext uri="{FF2B5EF4-FFF2-40B4-BE49-F238E27FC236}">
              <a16:creationId xmlns:a16="http://schemas.microsoft.com/office/drawing/2014/main" id="{C72FEFBC-A87D-B442-96A3-7C24D676A091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3" name="Picture 62" descr="Enemy:SwordFighter_LH,Pos:1">
          <a:extLst>
            <a:ext uri="{FF2B5EF4-FFF2-40B4-BE49-F238E27FC236}">
              <a16:creationId xmlns:a16="http://schemas.microsoft.com/office/drawing/2014/main" id="{D491B25B-75F6-4142-82E7-EC6DF54A9D56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47625</xdr:colOff>
      <xdr:row>2</xdr:row>
      <xdr:rowOff>47625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81470E76-7CD6-E843-81D9-62812BFE4180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050625" y="1762125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4</xdr:row>
      <xdr:rowOff>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4850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41275</xdr:rowOff>
    </xdr:from>
    <xdr:to>
      <xdr:col>7</xdr:col>
      <xdr:colOff>819150</xdr:colOff>
      <xdr:row>8</xdr:row>
      <xdr:rowOff>835025</xdr:rowOff>
    </xdr:to>
    <xdr:pic>
      <xdr:nvPicPr>
        <xdr:cNvPr id="178" name="Picture 177" descr="48,48,48,48, ">
          <a:extLst>
            <a:ext uri="{FF2B5EF4-FFF2-40B4-BE49-F238E27FC236}">
              <a16:creationId xmlns:a16="http://schemas.microsoft.com/office/drawing/2014/main" id="{68926521-B3D1-374E-A1F6-04F5BC411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6026150" y="68992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8</xdr:row>
      <xdr:rowOff>50800</xdr:rowOff>
    </xdr:from>
    <xdr:to>
      <xdr:col>10</xdr:col>
      <xdr:colOff>812800</xdr:colOff>
      <xdr:row>8</xdr:row>
      <xdr:rowOff>844550</xdr:rowOff>
    </xdr:to>
    <xdr:pic>
      <xdr:nvPicPr>
        <xdr:cNvPr id="179" name="Picture 178" descr="48,48,48,48, ">
          <a:extLst>
            <a:ext uri="{FF2B5EF4-FFF2-40B4-BE49-F238E27FC236}">
              <a16:creationId xmlns:a16="http://schemas.microsoft.com/office/drawing/2014/main" id="{4093814B-5F9B-5C46-AAD0-FBDF7C2FC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8591550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8</xdr:row>
      <xdr:rowOff>28575</xdr:rowOff>
    </xdr:from>
    <xdr:to>
      <xdr:col>19</xdr:col>
      <xdr:colOff>854075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6348075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ED8B37F-90B1-0749-A4C7-D650822B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3AB551A3-4FEF-4140-A474-F14EBB1C5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AC9796B-55A9-CB44-9E94-70D92A590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98EFAE23-E3CF-7B4D-98DA-DA822D3E8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1,Data:2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1,Data:3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2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2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38100</xdr:colOff>
      <xdr:row>3</xdr:row>
      <xdr:rowOff>41275</xdr:rowOff>
    </xdr:from>
    <xdr:to>
      <xdr:col>28</xdr:col>
      <xdr:colOff>812100</xdr:colOff>
      <xdr:row>3</xdr:row>
      <xdr:rowOff>815275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411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23</xdr:col>
      <xdr:colOff>54359</xdr:colOff>
      <xdr:row>4</xdr:row>
      <xdr:rowOff>39767</xdr:rowOff>
    </xdr:from>
    <xdr:to>
      <xdr:col>24</xdr:col>
      <xdr:colOff>15875</xdr:colOff>
      <xdr:row>4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71109" y="34687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114300</xdr:colOff>
      <xdr:row>8</xdr:row>
      <xdr:rowOff>19050</xdr:rowOff>
    </xdr:from>
    <xdr:to>
      <xdr:col>28</xdr:col>
      <xdr:colOff>31050</xdr:colOff>
      <xdr:row>8</xdr:row>
      <xdr:rowOff>793050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60050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41275</xdr:rowOff>
    </xdr:from>
    <xdr:to>
      <xdr:col>27</xdr:col>
      <xdr:colOff>847025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4</xdr:row>
      <xdr:rowOff>57150</xdr:rowOff>
    </xdr:from>
    <xdr:to>
      <xdr:col>12</xdr:col>
      <xdr:colOff>783525</xdr:colOff>
      <xdr:row>4</xdr:row>
      <xdr:rowOff>831150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29652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</xdr:colOff>
      <xdr:row>4</xdr:row>
      <xdr:rowOff>50800</xdr:rowOff>
    </xdr:from>
    <xdr:to>
      <xdr:col>13</xdr:col>
      <xdr:colOff>793050</xdr:colOff>
      <xdr:row>4</xdr:row>
      <xdr:rowOff>824800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63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60325</xdr:rowOff>
    </xdr:from>
    <xdr:to>
      <xdr:col>14</xdr:col>
      <xdr:colOff>802575</xdr:colOff>
      <xdr:row>4</xdr:row>
      <xdr:rowOff>834325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300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4</xdr:row>
      <xdr:rowOff>53975</xdr:rowOff>
    </xdr:from>
    <xdr:to>
      <xdr:col>15</xdr:col>
      <xdr:colOff>812100</xdr:colOff>
      <xdr:row>4</xdr:row>
      <xdr:rowOff>827975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8968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0</xdr:rowOff>
    </xdr:from>
    <xdr:to>
      <xdr:col>29</xdr:col>
      <xdr:colOff>12000</xdr:colOff>
      <xdr:row>8</xdr:row>
      <xdr:rowOff>774000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5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2</xdr:row>
      <xdr:rowOff>47625</xdr:rowOff>
    </xdr:from>
    <xdr:to>
      <xdr:col>28</xdr:col>
      <xdr:colOff>821625</xdr:colOff>
      <xdr:row>2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9525</xdr:colOff>
      <xdr:row>2</xdr:row>
      <xdr:rowOff>25400</xdr:rowOff>
    </xdr:from>
    <xdr:to>
      <xdr:col>27</xdr:col>
      <xdr:colOff>783525</xdr:colOff>
      <xdr:row>2</xdr:row>
      <xdr:rowOff>799400</xdr:rowOff>
    </xdr:to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0E540405-566F-C240-BEA5-2C5E2D204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55275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66675</xdr:colOff>
      <xdr:row>4</xdr:row>
      <xdr:rowOff>66675</xdr:rowOff>
    </xdr:from>
    <xdr:to>
      <xdr:col>27</xdr:col>
      <xdr:colOff>840675</xdr:colOff>
      <xdr:row>4</xdr:row>
      <xdr:rowOff>840675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2425" y="349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841375</xdr:colOff>
      <xdr:row>2</xdr:row>
      <xdr:rowOff>66675</xdr:rowOff>
    </xdr:from>
    <xdr:to>
      <xdr:col>26</xdr:col>
      <xdr:colOff>758125</xdr:colOff>
      <xdr:row>2</xdr:row>
      <xdr:rowOff>840675</xdr:rowOff>
    </xdr:to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CA8E8A11-9A01-8B40-89EB-87A96444B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272625" y="178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854075</xdr:colOff>
      <xdr:row>3</xdr:row>
      <xdr:rowOff>73025</xdr:rowOff>
    </xdr:from>
    <xdr:to>
      <xdr:col>26</xdr:col>
      <xdr:colOff>770825</xdr:colOff>
      <xdr:row>3</xdr:row>
      <xdr:rowOff>847025</xdr:rowOff>
    </xdr:to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9C832C72-77AB-6645-B690-7541EC9F7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28532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22225</xdr:colOff>
      <xdr:row>4</xdr:row>
      <xdr:rowOff>50800</xdr:rowOff>
    </xdr:from>
    <xdr:to>
      <xdr:col>26</xdr:col>
      <xdr:colOff>796225</xdr:colOff>
      <xdr:row>4</xdr:row>
      <xdr:rowOff>824800</xdr:rowOff>
    </xdr:to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EC60E251-2048-004D-BC53-0A7A9A25F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310725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38100</xdr:colOff>
      <xdr:row>5</xdr:row>
      <xdr:rowOff>41275</xdr:rowOff>
    </xdr:from>
    <xdr:to>
      <xdr:col>26</xdr:col>
      <xdr:colOff>812100</xdr:colOff>
      <xdr:row>5</xdr:row>
      <xdr:rowOff>815275</xdr:rowOff>
    </xdr:to>
    <xdr:pic>
      <xdr:nvPicPr>
        <xdr:cNvPr id="206" name="Picture 205" descr="31,31,32,32,">
          <a:extLst>
            <a:ext uri="{FF2B5EF4-FFF2-40B4-BE49-F238E27FC236}">
              <a16:creationId xmlns:a16="http://schemas.microsoft.com/office/drawing/2014/main" id="{D01F243C-D0BB-4A45-855E-BBF09F182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32660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9525</xdr:colOff>
      <xdr:row>3</xdr:row>
      <xdr:rowOff>41275</xdr:rowOff>
    </xdr:from>
    <xdr:to>
      <xdr:col>25</xdr:col>
      <xdr:colOff>783525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0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3</xdr:row>
      <xdr:rowOff>28575</xdr:rowOff>
    </xdr:from>
    <xdr:to>
      <xdr:col>24</xdr:col>
      <xdr:colOff>805750</xdr:colOff>
      <xdr:row>3</xdr:row>
      <xdr:rowOff>802575</xdr:rowOff>
    </xdr:to>
    <xdr:pic>
      <xdr:nvPicPr>
        <xdr:cNvPr id="214" name="Picture 213" descr=" 0,22,22, 2,">
          <a:extLst>
            <a:ext uri="{FF2B5EF4-FFF2-40B4-BE49-F238E27FC236}">
              <a16:creationId xmlns:a16="http://schemas.microsoft.com/office/drawing/2014/main" id="{DCB207BA-7CBE-354C-9A88-BFD7F6864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06057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5</xdr:row>
      <xdr:rowOff>44450</xdr:rowOff>
    </xdr:from>
    <xdr:to>
      <xdr:col>24</xdr:col>
      <xdr:colOff>815275</xdr:colOff>
      <xdr:row>5</xdr:row>
      <xdr:rowOff>818450</xdr:rowOff>
    </xdr:to>
    <xdr:pic>
      <xdr:nvPicPr>
        <xdr:cNvPr id="215" name="Picture 214" descr="20, 0, 2,20,">
          <a:extLst>
            <a:ext uri="{FF2B5EF4-FFF2-40B4-BE49-F238E27FC236}">
              <a16:creationId xmlns:a16="http://schemas.microsoft.com/office/drawing/2014/main" id="{8AFE07DA-33ED-834F-856F-12161B785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615275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02" name="Picture 101" descr=" 0, 0,28,28,">
          <a:extLst>
            <a:ext uri="{FF2B5EF4-FFF2-40B4-BE49-F238E27FC236}">
              <a16:creationId xmlns:a16="http://schemas.microsoft.com/office/drawing/2014/main" id="{5C57EFE1-5BCE-9C42-AD9F-9CCFDDD3C507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03" name="Picture 102" descr=" 0, 0,27,27,">
          <a:extLst>
            <a:ext uri="{FF2B5EF4-FFF2-40B4-BE49-F238E27FC236}">
              <a16:creationId xmlns:a16="http://schemas.microsoft.com/office/drawing/2014/main" id="{31B96A79-7B37-4A47-8AB4-44C16EFC81CA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27" name="Picture 126" descr="28,28, 2, 2,">
          <a:extLst>
            <a:ext uri="{FF2B5EF4-FFF2-40B4-BE49-F238E27FC236}">
              <a16:creationId xmlns:a16="http://schemas.microsoft.com/office/drawing/2014/main" id="{7BB7E7A4-3788-C343-862C-F22A774F164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41" name="Picture 140" descr="27,27, 2, 2,">
          <a:extLst>
            <a:ext uri="{FF2B5EF4-FFF2-40B4-BE49-F238E27FC236}">
              <a16:creationId xmlns:a16="http://schemas.microsoft.com/office/drawing/2014/main" id="{D1F4412A-51D2-3949-AB01-BBC9E5EED7B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8F7332D5-B95A-A449-8407-BE2818E61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4CF334A3-8FD4-E344-9572-96E3E5CEE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C76EC9A9-6422-E14A-B253-94D526152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0056242D-5218-6842-BED4-2EE8CC974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42" name="Picture 141" descr="48,48,48,48, ">
          <a:extLst>
            <a:ext uri="{FF2B5EF4-FFF2-40B4-BE49-F238E27FC236}">
              <a16:creationId xmlns:a16="http://schemas.microsoft.com/office/drawing/2014/main" id="{88775527-7E05-F247-B4BD-D461A5F7C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4303BFB9-6390-3B4C-9B25-711886023B75}"/>
            </a:ext>
            <a:ext uri="{147F2762-F138-4A5C-976F-8EAC2B608ADB}">
              <a16:predDERef xmlns:a16="http://schemas.microsoft.com/office/drawing/2014/main" pred="{7953E1B0-2670-4B94-81E4-81CD1D6BF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BE76E52-85D7-6C49-B29D-FD38D312A124}"/>
            </a:ext>
            <a:ext uri="{147F2762-F138-4A5C-976F-8EAC2B608ADB}">
              <a16:predDERef xmlns:a16="http://schemas.microsoft.com/office/drawing/2014/main" pred="{5913F6F9-1F06-4AD4-8619-C7913C4A5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78A8B97E-FF89-F549-8581-35B1AF41F285}"/>
            </a:ext>
            <a:ext uri="{147F2762-F138-4A5C-976F-8EAC2B608ADB}">
              <a16:predDERef xmlns:a16="http://schemas.microsoft.com/office/drawing/2014/main" pred="{4D828624-6C56-4175-B9B4-FD46E1A24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26F4B63-6668-0C43-B8D0-9CE9A86DEC8B}"/>
            </a:ext>
            <a:ext uri="{147F2762-F138-4A5C-976F-8EAC2B608ADB}">
              <a16:predDERef xmlns:a16="http://schemas.microsoft.com/office/drawing/2014/main" pred="{672E58D1-8226-420C-812B-C05A47CDB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E07E53E-0E84-D749-8E80-5AF544230360}"/>
            </a:ext>
            <a:ext uri="{147F2762-F138-4A5C-976F-8EAC2B608ADB}">
              <a16:predDERef xmlns:a16="http://schemas.microsoft.com/office/drawing/2014/main" pred="{1B437BE0-2ECC-46FF-9EF7-A0FE8C71A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B6E1BC2-EA7B-764F-9F29-7CFD81ADCD13}"/>
            </a:ext>
            <a:ext uri="{147F2762-F138-4A5C-976F-8EAC2B608ADB}">
              <a16:predDERef xmlns:a16="http://schemas.microsoft.com/office/drawing/2014/main" pred="{715EE13A-40C8-4D02-B865-58DB2EEBE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5BD64C2-06BD-BB49-8222-78DDD6D239A6}"/>
            </a:ext>
            <a:ext uri="{147F2762-F138-4A5C-976F-8EAC2B608ADB}">
              <a16:predDERef xmlns:a16="http://schemas.microsoft.com/office/drawing/2014/main" pred="{37B77E53-975E-4A77-9A16-E5208B84F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A6D1A09-68B4-2B4C-A08B-EC8DAD156DBB}"/>
            </a:ext>
            <a:ext uri="{147F2762-F138-4A5C-976F-8EAC2B608ADB}">
              <a16:predDERef xmlns:a16="http://schemas.microsoft.com/office/drawing/2014/main" pred="{534BED0B-4E9B-43AD-BFCB-C4B917A8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46EB58D9-65B7-4042-A8B3-8ED8C99545EF}"/>
            </a:ext>
            <a:ext uri="{147F2762-F138-4A5C-976F-8EAC2B608ADB}">
              <a16:predDERef xmlns:a16="http://schemas.microsoft.com/office/drawing/2014/main" pred="{82908B9B-9118-4E5E-A27D-9790ECD81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881773E-F1D8-5F42-AE71-A1555635BABC}"/>
            </a:ext>
            <a:ext uri="{147F2762-F138-4A5C-976F-8EAC2B608ADB}">
              <a16:predDERef xmlns:a16="http://schemas.microsoft.com/office/drawing/2014/main" pred="{63E85AA9-31EC-4F00-A73B-451C652B4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90500A3-D267-5B40-B7D0-786A5E25B967}"/>
            </a:ext>
            <a:ext uri="{147F2762-F138-4A5C-976F-8EAC2B608ADB}">
              <a16:predDERef xmlns:a16="http://schemas.microsoft.com/office/drawing/2014/main" pred="{A826291B-5E89-4284-95E3-5137A0BFE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BD8FF0F-AD54-B845-AC69-C6988847DF0D}"/>
            </a:ext>
            <a:ext uri="{147F2762-F138-4A5C-976F-8EAC2B608ADB}">
              <a16:predDERef xmlns:a16="http://schemas.microsoft.com/office/drawing/2014/main" pred="{A0D002C1-13CF-4550-A33C-1E895020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05400" y="12192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40" name="Picture 139" descr="12,12,12,12,">
          <a:extLst>
            <a:ext uri="{FF2B5EF4-FFF2-40B4-BE49-F238E27FC236}">
              <a16:creationId xmlns:a16="http://schemas.microsoft.com/office/drawing/2014/main" id="{1DCC2089-3796-D24B-BD5B-C9A83EBE12FE}"/>
            </a:ext>
            <a:ext uri="{147F2762-F138-4A5C-976F-8EAC2B608ADB}">
              <a16:predDERef xmlns:a16="http://schemas.microsoft.com/office/drawing/2014/main" pred="{7AF02F41-5E9E-489F-845A-7D8E0BD03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1C1802CA-C24A-724B-924A-A380AADA0DE6}"/>
            </a:ext>
            <a:ext uri="{147F2762-F138-4A5C-976F-8EAC2B608ADB}">
              <a16:predDERef xmlns:a16="http://schemas.microsoft.com/office/drawing/2014/main" pred="{7D20C31F-F5D6-4C9E-9937-A37BD40E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86484" cy="774000"/>
    <xdr:pic>
      <xdr:nvPicPr>
        <xdr:cNvPr id="143" name="Picture 142" descr=" 8, 8, 7, 7,">
          <a:extLst>
            <a:ext uri="{FF2B5EF4-FFF2-40B4-BE49-F238E27FC236}">
              <a16:creationId xmlns:a16="http://schemas.microsoft.com/office/drawing/2014/main" id="{A8A343C0-AD37-644C-AB09-C479E9ED9B75}"/>
            </a:ext>
            <a:ext uri="{147F2762-F138-4A5C-976F-8EAC2B608ADB}">
              <a16:predDERef xmlns:a16="http://schemas.microsoft.com/office/drawing/2014/main" pred="{8F1DD3E9-1E17-4E8A-9A22-9DD2DA704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7635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44" name="Picture 143" descr=" 8, 8, 7, 7,">
          <a:extLst>
            <a:ext uri="{FF2B5EF4-FFF2-40B4-BE49-F238E27FC236}">
              <a16:creationId xmlns:a16="http://schemas.microsoft.com/office/drawing/2014/main" id="{87CB66DE-418F-0D4F-9161-856A827036BF}"/>
            </a:ext>
            <a:ext uri="{147F2762-F138-4A5C-976F-8EAC2B608ADB}">
              <a16:predDERef xmlns:a16="http://schemas.microsoft.com/office/drawing/2014/main" pred="{D7A696CC-AB54-4982-A8F2-A9DB20C81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6637" cy="796638"/>
    <xdr:pic>
      <xdr:nvPicPr>
        <xdr:cNvPr id="145" name="Picture 144" descr="Item:Lever_LH,Pos:1,Data:1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38252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2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1,Data:1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E488A710-50E0-1E40-9921-667170C23631}"/>
            </a:ext>
            <a:ext uri="{147F2762-F138-4A5C-976F-8EAC2B608ADB}">
              <a16:predDERef xmlns:a16="http://schemas.microsoft.com/office/drawing/2014/main" pred="{95A97FBC-C706-42A1-8BE2-A852579C3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0617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228FF822-E0E0-884B-9A9C-832BED3D2E89}"/>
            </a:ext>
            <a:ext uri="{147F2762-F138-4A5C-976F-8EAC2B608ADB}">
              <a16:predDERef xmlns:a16="http://schemas.microsoft.com/office/drawing/2014/main" pred="{922D78EE-2B04-40A5-9DEF-B4EA8C4E1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2108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62000" cy="762000"/>
    <xdr:pic>
      <xdr:nvPicPr>
        <xdr:cNvPr id="163" name="Picture 162" descr=" 9, 0, 2,11, ">
          <a:extLst>
            <a:ext uri="{FF2B5EF4-FFF2-40B4-BE49-F238E27FC236}">
              <a16:creationId xmlns:a16="http://schemas.microsoft.com/office/drawing/2014/main" id="{625CE8EA-371E-8D44-A69D-13B013DB4F70}"/>
            </a:ext>
            <a:ext uri="{147F2762-F138-4A5C-976F-8EAC2B608ADB}">
              <a16:predDERef xmlns:a16="http://schemas.microsoft.com/office/drawing/2014/main" pred="{600AA56A-E86B-4439-B248-A7D70D5A2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072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1,Data:1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2,Data:256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86484" cy="774000"/>
    <xdr:pic>
      <xdr:nvPicPr>
        <xdr:cNvPr id="168" name="Picture 167" descr=" 8, 8, 7, 7,">
          <a:extLst>
            <a:ext uri="{FF2B5EF4-FFF2-40B4-BE49-F238E27FC236}">
              <a16:creationId xmlns:a16="http://schemas.microsoft.com/office/drawing/2014/main" id="{9022F1D4-2A54-A34B-ABAE-AED7152787A7}"/>
            </a:ext>
            <a:ext uri="{147F2762-F138-4A5C-976F-8EAC2B608ADB}">
              <a16:predDERef xmlns:a16="http://schemas.microsoft.com/office/drawing/2014/main" pred="{971E8A1E-D313-4991-8FD6-6ACAD0DAB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9" name="Picture 168" descr="12,12,12,12,">
          <a:extLst>
            <a:ext uri="{FF2B5EF4-FFF2-40B4-BE49-F238E27FC236}">
              <a16:creationId xmlns:a16="http://schemas.microsoft.com/office/drawing/2014/main" id="{665A6D7D-DB82-0C42-8E12-6D8295EEF1F5}"/>
            </a:ext>
            <a:ext uri="{147F2762-F138-4A5C-976F-8EAC2B608ADB}">
              <a16:predDERef xmlns:a16="http://schemas.microsoft.com/office/drawing/2014/main" pred="{42EF3D6E-B7A8-46C9-918F-02EE517E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70" name="Picture 169" descr="12,12,12,12,">
          <a:extLst>
            <a:ext uri="{FF2B5EF4-FFF2-40B4-BE49-F238E27FC236}">
              <a16:creationId xmlns:a16="http://schemas.microsoft.com/office/drawing/2014/main" id="{0491D658-F64D-024C-852F-1C561A50D3E1}"/>
            </a:ext>
            <a:ext uri="{147F2762-F138-4A5C-976F-8EAC2B608ADB}">
              <a16:predDERef xmlns:a16="http://schemas.microsoft.com/office/drawing/2014/main" pred="{0243848C-3D6C-4591-BE84-2B57D8FF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830147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66096A24-78FE-5947-8995-EE0EBD65F2FF}"/>
            </a:ext>
            <a:ext uri="{147F2762-F138-4A5C-976F-8EAC2B608ADB}">
              <a16:predDERef xmlns:a16="http://schemas.microsoft.com/office/drawing/2014/main" pred="{122FA53B-1957-4CC7-86E1-00600B349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6581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5091" cy="819727"/>
    <xdr:pic>
      <xdr:nvPicPr>
        <xdr:cNvPr id="172" name="Picture 171" descr="Item:PinchBar,Pos:1">
          <a:extLst>
            <a:ext uri="{FF2B5EF4-FFF2-40B4-BE49-F238E27FC236}">
              <a16:creationId xmlns:a16="http://schemas.microsoft.com/office/drawing/2014/main" id="{5C524B49-D462-CA4B-9FA8-A0D2FC74C546}"/>
            </a:ext>
            <a:ext uri="{147F2762-F138-4A5C-976F-8EAC2B608ADB}">
              <a16:predDERef xmlns:a16="http://schemas.microsoft.com/office/drawing/2014/main" pred="{93162AD5-F321-454C-A994-9068215A20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316200" y="1016000"/>
          <a:ext cx="785091" cy="819727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9E691AB-1B8C-DE4F-8FC4-4BE614C5BF5A}"/>
            </a:ext>
            <a:ext uri="{147F2762-F138-4A5C-976F-8EAC2B608ADB}">
              <a16:predDERef xmlns:a16="http://schemas.microsoft.com/office/drawing/2014/main" pred="{B004BB92-EF0B-490D-AC6D-567A67F76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B4CF7A2F-7D46-AD4A-958F-A0ABB72DC0F6}"/>
            </a:ext>
            <a:ext uri="{147F2762-F138-4A5C-976F-8EAC2B608ADB}">
              <a16:predDERef xmlns:a16="http://schemas.microsoft.com/office/drawing/2014/main" pred="{F09BD3B2-7CF2-4F38-A634-D001FAE62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CEC4E55-BB60-734A-A73A-4DDB2490D876}"/>
            </a:ext>
            <a:ext uri="{147F2762-F138-4A5C-976F-8EAC2B608ADB}">
              <a16:predDERef xmlns:a16="http://schemas.microsoft.com/office/drawing/2014/main" pred="{F8DC15CB-AEC5-448F-8550-3D9F22016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D4097ED-D257-2047-90A7-CA89D1C6C341}"/>
            </a:ext>
            <a:ext uri="{147F2762-F138-4A5C-976F-8EAC2B608ADB}">
              <a16:predDERef xmlns:a16="http://schemas.microsoft.com/office/drawing/2014/main" pred="{6BD20ABE-E8BF-48FE-92C7-8E7A31A8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B304137-3A69-0846-AEBF-A30EB83B53E4}"/>
            </a:ext>
            <a:ext uri="{147F2762-F138-4A5C-976F-8EAC2B608ADB}">
              <a16:predDERef xmlns:a16="http://schemas.microsoft.com/office/drawing/2014/main" pred="{CDE560F4-FA4F-4F52-B9E0-26C643B76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484" cy="774000"/>
    <xdr:pic>
      <xdr:nvPicPr>
        <xdr:cNvPr id="119" name="Picture 118" descr=" 8, 8, 7, 7,">
          <a:extLst>
            <a:ext uri="{FF2B5EF4-FFF2-40B4-BE49-F238E27FC236}">
              <a16:creationId xmlns:a16="http://schemas.microsoft.com/office/drawing/2014/main" id="{E32BCED8-C177-D84A-86B5-925C8B973802}"/>
            </a:ext>
            <a:ext uri="{147F2762-F138-4A5C-976F-8EAC2B608ADB}">
              <a16:predDERef xmlns:a16="http://schemas.microsoft.com/office/drawing/2014/main" pred="{B711E8E4-EC95-42F0-9F56-6DF42D7B5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3162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90223" cy="790223"/>
    <xdr:pic>
      <xdr:nvPicPr>
        <xdr:cNvPr id="126" name="Picture 125" descr="Enemy:SwordFighter_LH,Pos:1">
          <a:extLst>
            <a:ext uri="{FF2B5EF4-FFF2-40B4-BE49-F238E27FC236}">
              <a16:creationId xmlns:a16="http://schemas.microsoft.com/office/drawing/2014/main" id="{30BB7FD5-B811-D243-9B5F-B1FBF3820AAC}"/>
            </a:ext>
            <a:ext uri="{147F2762-F138-4A5C-976F-8EAC2B608ADB}">
              <a16:predDERef xmlns:a16="http://schemas.microsoft.com/office/drawing/2014/main" pred="{F62BE895-5008-403F-A533-DAD4E6EC4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1272500" y="812800"/>
          <a:ext cx="790223" cy="79022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0222" cy="790222"/>
    <xdr:pic>
      <xdr:nvPicPr>
        <xdr:cNvPr id="127" name="Picture 126" descr="Enemy:Archer_LH,Pos:1">
          <a:extLst>
            <a:ext uri="{FF2B5EF4-FFF2-40B4-BE49-F238E27FC236}">
              <a16:creationId xmlns:a16="http://schemas.microsoft.com/office/drawing/2014/main" id="{BF6E03E8-A27D-2C44-B92C-3A5E013EB83A}"/>
            </a:ext>
            <a:ext uri="{147F2762-F138-4A5C-976F-8EAC2B608ADB}">
              <a16:predDERef xmlns:a16="http://schemas.microsoft.com/office/drawing/2014/main" pred="{EC57C0ED-C54A-446A-AA28-B33FFA010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36144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814917" cy="804334"/>
    <xdr:pic>
      <xdr:nvPicPr>
        <xdr:cNvPr id="128" name="Picture 127" descr="Enemy:Archer_RH,Pos:1">
          <a:extLst>
            <a:ext uri="{FF2B5EF4-FFF2-40B4-BE49-F238E27FC236}">
              <a16:creationId xmlns:a16="http://schemas.microsoft.com/office/drawing/2014/main" id="{C3CD7087-61D3-8045-8F41-DCF27F1E8150}"/>
            </a:ext>
            <a:ext uri="{147F2762-F138-4A5C-976F-8EAC2B608ADB}">
              <a16:predDERef xmlns:a16="http://schemas.microsoft.com/office/drawing/2014/main" pred="{43D4CFC1-E577-45C8-8C53-B24FC6F8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812800"/>
          <a:ext cx="814917" cy="804334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135" name="Picture 134" descr="Item:Potion,Pos:1">
          <a:extLst>
            <a:ext uri="{FF2B5EF4-FFF2-40B4-BE49-F238E27FC236}">
              <a16:creationId xmlns:a16="http://schemas.microsoft.com/office/drawing/2014/main" id="{188206C7-625E-7448-BB31-9C0AF31D0680}"/>
            </a:ext>
            <a:ext uri="{147F2762-F138-4A5C-976F-8EAC2B608ADB}">
              <a16:predDERef xmlns:a16="http://schemas.microsoft.com/office/drawing/2014/main" pred="{0C4836FC-A35E-465E-B8DD-D5C3DA599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830147" cy="808183"/>
    <xdr:pic>
      <xdr:nvPicPr>
        <xdr:cNvPr id="144" name="Picture 143" descr="Item:MysteryCrate,Pos:1,ItemType:17">
          <a:extLst>
            <a:ext uri="{FF2B5EF4-FFF2-40B4-BE49-F238E27FC236}">
              <a16:creationId xmlns:a16="http://schemas.microsoft.com/office/drawing/2014/main" id="{73AE1B94-84F5-E044-B702-2CCD5EA4470C}"/>
            </a:ext>
            <a:ext uri="{147F2762-F138-4A5C-976F-8EAC2B608ADB}">
              <a16:predDERef xmlns:a16="http://schemas.microsoft.com/office/drawing/2014/main" pred="{8117C772-B47D-4D7E-929B-17E7883E52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8689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58FB80B-C42B-204D-81FB-269C216523D2}"/>
            </a:ext>
            <a:ext uri="{147F2762-F138-4A5C-976F-8EAC2B608ADB}">
              <a16:predDERef xmlns:a16="http://schemas.microsoft.com/office/drawing/2014/main" pred="{59ECD177-43E5-4378-8654-40404D91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E665A3BC-2FAE-8E4E-92CF-C72B44D0D618}"/>
            </a:ext>
            <a:ext uri="{147F2762-F138-4A5C-976F-8EAC2B608ADB}">
              <a16:predDERef xmlns:a16="http://schemas.microsoft.com/office/drawing/2014/main" pred="{C2D5868A-5927-4865-9EEE-2BD9D5DF8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5EAC1117-6E94-224D-9FF0-9CA47660F38E}"/>
            </a:ext>
            <a:ext uri="{147F2762-F138-4A5C-976F-8EAC2B608ADB}">
              <a16:predDERef xmlns:a16="http://schemas.microsoft.com/office/drawing/2014/main" pred="{2043681C-2575-448D-92B6-B2D9E5669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7CDF5A84-34B3-B842-AA52-72479CED7E18}"/>
            </a:ext>
            <a:ext uri="{147F2762-F138-4A5C-976F-8EAC2B608ADB}">
              <a16:predDERef xmlns:a16="http://schemas.microsoft.com/office/drawing/2014/main" pred="{FBDDCCA9-8EB9-4749-895F-A7C8E555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804333" cy="800806"/>
    <xdr:pic>
      <xdr:nvPicPr>
        <xdr:cNvPr id="84" name="Picture 83" descr="Item:LifeSaver,Pos:1">
          <a:extLst>
            <a:ext uri="{FF2B5EF4-FFF2-40B4-BE49-F238E27FC236}">
              <a16:creationId xmlns:a16="http://schemas.microsoft.com/office/drawing/2014/main" id="{EFC1642E-7299-ED4C-9EF5-AC104949465C}"/>
            </a:ext>
            <a:ext uri="{147F2762-F138-4A5C-976F-8EAC2B608ADB}">
              <a16:predDERef xmlns:a16="http://schemas.microsoft.com/office/drawing/2014/main" pred="{7AB2EBEC-CC8D-4874-9434-5781989DC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254500" y="406400"/>
          <a:ext cx="804333" cy="80080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85090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93599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9126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27635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53162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36144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61671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04" name="Picture 103">
          <a:extLst>
            <a:ext uri="{FF2B5EF4-FFF2-40B4-BE49-F238E27FC236}">
              <a16:creationId xmlns:a16="http://schemas.microsoft.com/office/drawing/2014/main" id="{C4EB3DC1-519F-B040-A59F-0521F0C64863}"/>
            </a:ext>
            <a:ext uri="{147F2762-F138-4A5C-976F-8EAC2B608ADB}">
              <a16:predDERef xmlns:a16="http://schemas.microsoft.com/office/drawing/2014/main" pred="{A03EC3C0-7B6B-4E6A-9304-FCC40156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05" name="Picture 104">
          <a:extLst>
            <a:ext uri="{FF2B5EF4-FFF2-40B4-BE49-F238E27FC236}">
              <a16:creationId xmlns:a16="http://schemas.microsoft.com/office/drawing/2014/main" id="{ABC13544-C6E6-6143-8785-7B56C390676C}"/>
            </a:ext>
            <a:ext uri="{147F2762-F138-4A5C-976F-8EAC2B608ADB}">
              <a16:predDERef xmlns:a16="http://schemas.microsoft.com/office/drawing/2014/main" pred="{0B3620A7-43F3-48F3-9605-B8E44973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>
          <a:extLst>
            <a:ext uri="{FF2B5EF4-FFF2-40B4-BE49-F238E27FC236}">
              <a16:creationId xmlns:a16="http://schemas.microsoft.com/office/drawing/2014/main" id="{BF084C8D-4227-B649-80E5-73004A4D4E06}"/>
            </a:ext>
            <a:ext uri="{147F2762-F138-4A5C-976F-8EAC2B608ADB}">
              <a16:predDERef xmlns:a16="http://schemas.microsoft.com/office/drawing/2014/main" pred="{135E13BF-17A8-4B0D-85EF-C3DC4E059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7" name="Picture 106">
          <a:extLst>
            <a:ext uri="{FF2B5EF4-FFF2-40B4-BE49-F238E27FC236}">
              <a16:creationId xmlns:a16="http://schemas.microsoft.com/office/drawing/2014/main" id="{1CE2BB1C-7BA1-2A45-A07A-0073D39BE60E}"/>
            </a:ext>
            <a:ext uri="{147F2762-F138-4A5C-976F-8EAC2B608ADB}">
              <a16:predDERef xmlns:a16="http://schemas.microsoft.com/office/drawing/2014/main" pred="{C399146E-0AEC-4F97-891E-F3E521050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8" name="Picture 107">
          <a:extLst>
            <a:ext uri="{FF2B5EF4-FFF2-40B4-BE49-F238E27FC236}">
              <a16:creationId xmlns:a16="http://schemas.microsoft.com/office/drawing/2014/main" id="{B9DC50A4-4602-644C-ABD0-B250610A7617}"/>
            </a:ext>
            <a:ext uri="{147F2762-F138-4A5C-976F-8EAC2B608ADB}">
              <a16:predDERef xmlns:a16="http://schemas.microsoft.com/office/drawing/2014/main" pred="{8A651B01-5D7E-43E5-92C0-E39ED54DD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9" name="Picture 108">
          <a:extLst>
            <a:ext uri="{FF2B5EF4-FFF2-40B4-BE49-F238E27FC236}">
              <a16:creationId xmlns:a16="http://schemas.microsoft.com/office/drawing/2014/main" id="{11E33F21-3AB9-8C49-A919-7A4AC476F906}"/>
            </a:ext>
            <a:ext uri="{147F2762-F138-4A5C-976F-8EAC2B608ADB}">
              <a16:predDERef xmlns:a16="http://schemas.microsoft.com/office/drawing/2014/main" pred="{63BA979D-C5F9-4A1A-AE0D-995E1D46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10" name="Picture 109">
          <a:extLst>
            <a:ext uri="{FF2B5EF4-FFF2-40B4-BE49-F238E27FC236}">
              <a16:creationId xmlns:a16="http://schemas.microsoft.com/office/drawing/2014/main" id="{9625406C-9A0B-DF41-A494-EB1DBC00D17D}"/>
            </a:ext>
            <a:ext uri="{147F2762-F138-4A5C-976F-8EAC2B608ADB}">
              <a16:predDERef xmlns:a16="http://schemas.microsoft.com/office/drawing/2014/main" pred="{4B830EE2-3E13-42F9-80C6-EDACC4C51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11" name="Picture 110">
          <a:extLst>
            <a:ext uri="{FF2B5EF4-FFF2-40B4-BE49-F238E27FC236}">
              <a16:creationId xmlns:a16="http://schemas.microsoft.com/office/drawing/2014/main" id="{FD182852-3875-AF4F-95C4-58C415311DF2}"/>
            </a:ext>
            <a:ext uri="{147F2762-F138-4A5C-976F-8EAC2B608ADB}">
              <a16:predDERef xmlns:a16="http://schemas.microsoft.com/office/drawing/2014/main" pred="{24E35865-FB67-4BD3-90AA-4BEC0C1E1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12" name="Picture 111">
          <a:extLst>
            <a:ext uri="{FF2B5EF4-FFF2-40B4-BE49-F238E27FC236}">
              <a16:creationId xmlns:a16="http://schemas.microsoft.com/office/drawing/2014/main" id="{91D3190A-ED48-0A48-A25F-D6546C14F861}"/>
            </a:ext>
            <a:ext uri="{147F2762-F138-4A5C-976F-8EAC2B608ADB}">
              <a16:predDERef xmlns:a16="http://schemas.microsoft.com/office/drawing/2014/main" pred="{A76D6B13-340C-4865-B579-44D5037F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13" name="Picture 112">
          <a:extLst>
            <a:ext uri="{FF2B5EF4-FFF2-40B4-BE49-F238E27FC236}">
              <a16:creationId xmlns:a16="http://schemas.microsoft.com/office/drawing/2014/main" id="{57215D3B-8D80-7B48-BD5B-0159EDFE69B3}"/>
            </a:ext>
            <a:ext uri="{147F2762-F138-4A5C-976F-8EAC2B608ADB}">
              <a16:predDERef xmlns:a16="http://schemas.microsoft.com/office/drawing/2014/main" pred="{63AF2B41-A53F-40E5-9CDC-55F0F3285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79C5B8B-1167-1A48-B0D3-19FA92BFD5A7}"/>
            </a:ext>
            <a:ext uri="{147F2762-F138-4A5C-976F-8EAC2B608ADB}">
              <a16:predDERef xmlns:a16="http://schemas.microsoft.com/office/drawing/2014/main" pred="{F95323FF-C1C1-424B-B9C1-2F503D60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16" name="Picture 115" descr=" 8, 8, 7, 7,">
          <a:extLst>
            <a:ext uri="{FF2B5EF4-FFF2-40B4-BE49-F238E27FC236}">
              <a16:creationId xmlns:a16="http://schemas.microsoft.com/office/drawing/2014/main" id="{2FF1EA9A-26B4-8B4D-BA8F-267DE949843B}"/>
            </a:ext>
            <a:ext uri="{147F2762-F138-4A5C-976F-8EAC2B608ADB}">
              <a16:predDERef xmlns:a16="http://schemas.microsoft.com/office/drawing/2014/main" pred="{F77CA8B0-58F3-4795-8246-3367DA41B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0421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18" name="Picture 117" descr="12,12,12,12,">
          <a:extLst>
            <a:ext uri="{FF2B5EF4-FFF2-40B4-BE49-F238E27FC236}">
              <a16:creationId xmlns:a16="http://schemas.microsoft.com/office/drawing/2014/main" id="{9B97C87D-2764-7940-AB0A-80C73B8CC93E}"/>
            </a:ext>
            <a:ext uri="{147F2762-F138-4A5C-976F-8EAC2B608ADB}">
              <a16:predDERef xmlns:a16="http://schemas.microsoft.com/office/drawing/2014/main" pred="{78FB1033-DC18-4B92-A1B1-F2EA6D87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19" name="Picture 118" descr="12,12,12,12,">
          <a:extLst>
            <a:ext uri="{FF2B5EF4-FFF2-40B4-BE49-F238E27FC236}">
              <a16:creationId xmlns:a16="http://schemas.microsoft.com/office/drawing/2014/main" id="{F1C5096E-DFD5-EB44-90EB-BFD10E81C27F}"/>
            </a:ext>
            <a:ext uri="{147F2762-F138-4A5C-976F-8EAC2B608ADB}">
              <a16:predDERef xmlns:a16="http://schemas.microsoft.com/office/drawing/2014/main" pred="{F10A62D9-C873-4329-84D7-42CEEAAF3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7876" cy="777876"/>
    <xdr:pic>
      <xdr:nvPicPr>
        <xdr:cNvPr id="139" name="Picture 138" descr=" 2, 2, 3, 3,">
          <a:extLst>
            <a:ext uri="{FF2B5EF4-FFF2-40B4-BE49-F238E27FC236}">
              <a16:creationId xmlns:a16="http://schemas.microsoft.com/office/drawing/2014/main" id="{F54D0398-3DC2-3144-AAAC-5C1B720571BE}"/>
            </a:ext>
            <a:ext uri="{147F2762-F138-4A5C-976F-8EAC2B608ADB}">
              <a16:predDERef xmlns:a16="http://schemas.microsoft.com/office/drawing/2014/main" pred="{1637D187-178A-4536-B073-AEDB562E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21234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3825200" y="203200"/>
          <a:ext cx="811068" cy="808182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86484" cy="774000"/>
    <xdr:pic>
      <xdr:nvPicPr>
        <xdr:cNvPr id="141" name="Picture 140" descr=" 8, 8, 7, 7,">
          <a:extLst>
            <a:ext uri="{FF2B5EF4-FFF2-40B4-BE49-F238E27FC236}">
              <a16:creationId xmlns:a16="http://schemas.microsoft.com/office/drawing/2014/main" id="{261EF676-0B96-6744-9FCC-0B4BD987EF16}"/>
            </a:ext>
            <a:ext uri="{147F2762-F138-4A5C-976F-8EAC2B608ADB}">
              <a16:predDERef xmlns:a16="http://schemas.microsoft.com/office/drawing/2014/main" pred="{D316A24D-76FA-442A-8832-614D5325B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CDA86AA-BDF7-C24E-8A8C-2CBE0BADF840}"/>
            </a:ext>
            <a:ext uri="{147F2762-F138-4A5C-976F-8EAC2B608ADB}">
              <a16:predDERef xmlns:a16="http://schemas.microsoft.com/office/drawing/2014/main" pred="{A2963F49-3AC1-4CA8-9857-72D245B06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830147" cy="808183"/>
    <xdr:pic>
      <xdr:nvPicPr>
        <xdr:cNvPr id="148" name="Picture 147" descr="Item:MysteryCrate,Pos:1,ItemType:17">
          <a:extLst>
            <a:ext uri="{FF2B5EF4-FFF2-40B4-BE49-F238E27FC236}">
              <a16:creationId xmlns:a16="http://schemas.microsoft.com/office/drawing/2014/main" id="{E9F5F78B-940E-D04A-B6B5-583D38BD05E5}"/>
            </a:ext>
            <a:ext uri="{147F2762-F138-4A5C-976F-8EAC2B608ADB}">
              <a16:predDERef xmlns:a16="http://schemas.microsoft.com/office/drawing/2014/main" pred="{CB59F453-A5A0-4719-B143-D531427A4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830147" cy="808183"/>
    <xdr:pic>
      <xdr:nvPicPr>
        <xdr:cNvPr id="149" name="Picture 148" descr="Item:MysteryCrate,Pos:1,ItemType:17">
          <a:extLst>
            <a:ext uri="{FF2B5EF4-FFF2-40B4-BE49-F238E27FC236}">
              <a16:creationId xmlns:a16="http://schemas.microsoft.com/office/drawing/2014/main" id="{052E3522-ABCB-9044-AA6F-F50BA5131F08}"/>
            </a:ext>
            <a:ext uri="{147F2762-F138-4A5C-976F-8EAC2B608ADB}">
              <a16:predDERef xmlns:a16="http://schemas.microsoft.com/office/drawing/2014/main" pred="{379A70B3-158A-42B3-90FB-B95A3798F2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830147" cy="808183"/>
    <xdr:pic>
      <xdr:nvPicPr>
        <xdr:cNvPr id="151" name="Picture 150" descr="Item:MysteryCrate,Pos:1,ItemType:17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12725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123400" y="16256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5316200" y="1625600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0222" cy="790222"/>
    <xdr:pic>
      <xdr:nvPicPr>
        <xdr:cNvPr id="159" name="Picture 158" descr="Enemy:Archer_LH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3825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6144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79454365-5091-514D-AFCD-53B0D3EAE289}"/>
            </a:ext>
            <a:ext uri="{147F2762-F138-4A5C-976F-8EAC2B608ADB}">
              <a16:predDERef xmlns:a16="http://schemas.microsoft.com/office/drawing/2014/main" pred="{F7B6C7F3-0C02-41C6-9033-6DE3C46AB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807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9563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8509000" y="14224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E0D160C-B128-A943-AF02-63233CEFC251}"/>
            </a:ext>
            <a:ext uri="{147F2762-F138-4A5C-976F-8EAC2B608ADB}">
              <a16:predDERef xmlns:a16="http://schemas.microsoft.com/office/drawing/2014/main" pred="{46C57D49-8296-4CB7-B98D-8AD379BBD7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ABDC1C2-835E-644C-8F38-D6CD3F656ED0}"/>
            </a:ext>
            <a:ext uri="{147F2762-F138-4A5C-976F-8EAC2B608ADB}">
              <a16:predDERef xmlns:a16="http://schemas.microsoft.com/office/drawing/2014/main" pred="{4A0FD02B-E757-44CE-A90B-5992762EE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1C77D86E-38C6-E54E-BF36-AD130B2D5023}"/>
            </a:ext>
            <a:ext uri="{147F2762-F138-4A5C-976F-8EAC2B608ADB}">
              <a16:predDERef xmlns:a16="http://schemas.microsoft.com/office/drawing/2014/main" pred="{15EE7831-EF7E-4806-85B2-5914329C2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7BCF27AE-CA6F-3142-A4AE-C467C38B4171}"/>
            </a:ext>
            <a:ext uri="{147F2762-F138-4A5C-976F-8EAC2B608ADB}">
              <a16:predDERef xmlns:a16="http://schemas.microsoft.com/office/drawing/2014/main" pred="{958E926A-5BDD-4083-857B-20B4BA69D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FD20663A-8356-B642-91E1-BF4649AD4E6A}"/>
            </a:ext>
            <a:ext uri="{147F2762-F138-4A5C-976F-8EAC2B608ADB}">
              <a16:predDERef xmlns:a16="http://schemas.microsoft.com/office/drawing/2014/main" pred="{C1F3110D-A33A-434E-B8B7-8F76EB261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B9859E6-D652-F040-AE0E-D017DC22CD56}"/>
            </a:ext>
            <a:ext uri="{147F2762-F138-4A5C-976F-8EAC2B608ADB}">
              <a16:predDERef xmlns:a16="http://schemas.microsoft.com/office/drawing/2014/main" pred="{65B4C5B1-7E80-4FCF-9D37-957410A72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D8895AC2-1B76-084E-A597-A69CF61B6359}"/>
            </a:ext>
            <a:ext uri="{147F2762-F138-4A5C-976F-8EAC2B608ADB}">
              <a16:predDERef xmlns:a16="http://schemas.microsoft.com/office/drawing/2014/main" pred="{177AC825-91D0-431E-80DC-0C4D84F8B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7E867B8E-A870-2B48-ABE3-22BA31832174}"/>
            </a:ext>
            <a:ext uri="{147F2762-F138-4A5C-976F-8EAC2B608ADB}">
              <a16:predDERef xmlns:a16="http://schemas.microsoft.com/office/drawing/2014/main" pred="{D356C38A-D80F-4F20-9B51-DCAEF640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1622360" cy="1646553"/>
    <xdr:pic>
      <xdr:nvPicPr>
        <xdr:cNvPr id="75" name="Picture 74" descr="Item:Trebochet_Left,Pos:1">
          <a:extLst>
            <a:ext uri="{FF2B5EF4-FFF2-40B4-BE49-F238E27FC236}">
              <a16:creationId xmlns:a16="http://schemas.microsoft.com/office/drawing/2014/main" id="{5AF8004A-53D9-8741-BF92-BB71FD1FC023}"/>
            </a:ext>
            <a:ext uri="{147F2762-F138-4A5C-976F-8EAC2B608ADB}">
              <a16:predDERef xmlns:a16="http://schemas.microsoft.com/office/drawing/2014/main" pred="{2CBEA412-D8F7-4A64-A62D-7772618A4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4254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1622360" cy="1646553"/>
    <xdr:pic>
      <xdr:nvPicPr>
        <xdr:cNvPr id="76" name="Picture 76" descr="Item:Trebochet_Left,Pos:1">
          <a:extLst>
            <a:ext uri="{FF2B5EF4-FFF2-40B4-BE49-F238E27FC236}">
              <a16:creationId xmlns:a16="http://schemas.microsoft.com/office/drawing/2014/main" id="{979B67A9-80FD-8D40-9F65-D3F7AA8A2332}"/>
            </a:ext>
            <a:ext uri="{147F2762-F138-4A5C-976F-8EAC2B608ADB}">
              <a16:predDERef xmlns:a16="http://schemas.microsoft.com/office/drawing/2014/main" pred="{CACDAF0F-8129-40FB-84C9-7AEE93978C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3614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96636" cy="808182"/>
    <xdr:pic>
      <xdr:nvPicPr>
        <xdr:cNvPr id="77" name="Picture 77" descr="Item:Sword,Pos:1">
          <a:extLst>
            <a:ext uri="{FF2B5EF4-FFF2-40B4-BE49-F238E27FC236}">
              <a16:creationId xmlns:a16="http://schemas.microsoft.com/office/drawing/2014/main" id="{F3BD6EF2-076F-7542-B624-F63C34487F74}"/>
            </a:ext>
            <a:ext uri="{147F2762-F138-4A5C-976F-8EAC2B608ADB}">
              <a16:predDERef xmlns:a16="http://schemas.microsoft.com/office/drawing/2014/main" pred="{9A2E1E5A-4900-45B7-8963-87A000C06F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96637" cy="808183"/>
    <xdr:pic>
      <xdr:nvPicPr>
        <xdr:cNvPr id="78" name="Picture 78" descr="Item:Anchor,Pos:1">
          <a:extLst>
            <a:ext uri="{FF2B5EF4-FFF2-40B4-BE49-F238E27FC236}">
              <a16:creationId xmlns:a16="http://schemas.microsoft.com/office/drawing/2014/main" id="{DB5A4497-CB6B-3D4D-B63A-2570C867A6F3}"/>
            </a:ext>
            <a:ext uri="{147F2762-F138-4A5C-976F-8EAC2B608ADB}">
              <a16:predDERef xmlns:a16="http://schemas.microsoft.com/office/drawing/2014/main" pred="{3A782FB1-0902-4D9A-8472-6831CB086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9359900" y="1625600"/>
          <a:ext cx="796637" cy="80818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90223" cy="790223"/>
    <xdr:pic>
      <xdr:nvPicPr>
        <xdr:cNvPr id="79" name="Picture 80" descr="Enemy:SwordFighter_LH,Pos:1">
          <a:extLst>
            <a:ext uri="{FF2B5EF4-FFF2-40B4-BE49-F238E27FC236}">
              <a16:creationId xmlns:a16="http://schemas.microsoft.com/office/drawing/2014/main" id="{3BF5D702-28FE-6A40-AF17-3E0AC3D9CBB0}"/>
            </a:ext>
            <a:ext uri="{147F2762-F138-4A5C-976F-8EAC2B608ADB}">
              <a16:predDERef xmlns:a16="http://schemas.microsoft.com/office/drawing/2014/main" pred="{8034E0AD-A2CD-4021-87BA-F25376ED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0617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90223" cy="790223"/>
    <xdr:pic>
      <xdr:nvPicPr>
        <xdr:cNvPr id="80" name="Picture 81" descr="Enemy:SwordFighter_LH,Pos:1">
          <a:extLst>
            <a:ext uri="{FF2B5EF4-FFF2-40B4-BE49-F238E27FC236}">
              <a16:creationId xmlns:a16="http://schemas.microsoft.com/office/drawing/2014/main" id="{5619CAAF-719A-D044-AA28-E7E6CCFB75D6}"/>
            </a:ext>
            <a:ext uri="{147F2762-F138-4A5C-976F-8EAC2B608ADB}">
              <a16:predDERef xmlns:a16="http://schemas.microsoft.com/office/drawing/2014/main" pred="{C803A950-DBAF-4281-9CF9-95BD4B43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180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90222" cy="790222"/>
    <xdr:pic>
      <xdr:nvPicPr>
        <xdr:cNvPr id="81" name="Picture 82" descr="Enemy:Archer_LH,Pos:1">
          <a:extLst>
            <a:ext uri="{FF2B5EF4-FFF2-40B4-BE49-F238E27FC236}">
              <a16:creationId xmlns:a16="http://schemas.microsoft.com/office/drawing/2014/main" id="{00A582EF-EED9-BC4C-A8C7-EC65E3787921}"/>
            </a:ext>
            <a:ext uri="{147F2762-F138-4A5C-976F-8EAC2B608ADB}">
              <a16:predDERef xmlns:a16="http://schemas.microsoft.com/office/drawing/2014/main" pred="{1939264B-82DA-4F44-963F-B67AF2B2D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216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1622360" cy="1646553"/>
    <xdr:pic>
      <xdr:nvPicPr>
        <xdr:cNvPr id="82" name="Picture 84" descr="Item:Trebochet_Left,Pos:1">
          <a:extLst>
            <a:ext uri="{FF2B5EF4-FFF2-40B4-BE49-F238E27FC236}">
              <a16:creationId xmlns:a16="http://schemas.microsoft.com/office/drawing/2014/main" id="{CC1ED5A5-D02E-9540-AE82-C49F0749922C}"/>
            </a:ext>
            <a:ext uri="{147F2762-F138-4A5C-976F-8EAC2B608ADB}">
              <a16:predDERef xmlns:a16="http://schemas.microsoft.com/office/drawing/2014/main" pred="{85B16065-3EB2-49B1-B3F5-BF6E410CD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2123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83" name="Picture 85" descr="31,31,32,32,">
          <a:extLst>
            <a:ext uri="{FF2B5EF4-FFF2-40B4-BE49-F238E27FC236}">
              <a16:creationId xmlns:a16="http://schemas.microsoft.com/office/drawing/2014/main" id="{1F686163-9D79-2949-817A-0B0125ED5A91}"/>
            </a:ext>
            <a:ext uri="{147F2762-F138-4A5C-976F-8EAC2B608ADB}">
              <a16:predDERef xmlns:a16="http://schemas.microsoft.com/office/drawing/2014/main" pred="{B87C7F46-6D89-4E6D-8828-394B4520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84" name="Picture 86" descr="31,31,31,31,">
          <a:extLst>
            <a:ext uri="{FF2B5EF4-FFF2-40B4-BE49-F238E27FC236}">
              <a16:creationId xmlns:a16="http://schemas.microsoft.com/office/drawing/2014/main" id="{DE7665A1-7EC7-9048-AEBF-5DB4D817AD59}"/>
            </a:ext>
            <a:ext uri="{147F2762-F138-4A5C-976F-8EAC2B608ADB}">
              <a16:predDERef xmlns:a16="http://schemas.microsoft.com/office/drawing/2014/main" pred="{5491297A-9242-46AF-B35A-D71EF6D2E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85" name="Picture 87" descr="31,31,31,31,">
          <a:extLst>
            <a:ext uri="{FF2B5EF4-FFF2-40B4-BE49-F238E27FC236}">
              <a16:creationId xmlns:a16="http://schemas.microsoft.com/office/drawing/2014/main" id="{60DCB8BF-A360-0347-9DC7-A877DBA258B6}"/>
            </a:ext>
            <a:ext uri="{147F2762-F138-4A5C-976F-8EAC2B608ADB}">
              <a16:predDERef xmlns:a16="http://schemas.microsoft.com/office/drawing/2014/main" pred="{636E11ED-1BDE-40E7-9A40-5ECBAEA2A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6" name="Picture 88" descr="31,31,31,31,">
          <a:extLst>
            <a:ext uri="{FF2B5EF4-FFF2-40B4-BE49-F238E27FC236}">
              <a16:creationId xmlns:a16="http://schemas.microsoft.com/office/drawing/2014/main" id="{D0D89C35-D9C4-844D-922E-463F630BD17C}"/>
            </a:ext>
            <a:ext uri="{147F2762-F138-4A5C-976F-8EAC2B608ADB}">
              <a16:predDERef xmlns:a16="http://schemas.microsoft.com/office/drawing/2014/main" pred="{EEDD9223-24BF-4ECC-B5B5-656B8C22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7" name="Picture 94" descr=" 1, 1, 2, 2,">
          <a:extLst>
            <a:ext uri="{FF2B5EF4-FFF2-40B4-BE49-F238E27FC236}">
              <a16:creationId xmlns:a16="http://schemas.microsoft.com/office/drawing/2014/main" id="{646CB607-9DFD-8542-B2B4-3AE851DFBF23}"/>
            </a:ext>
            <a:ext uri="{147F2762-F138-4A5C-976F-8EAC2B608ADB}">
              <a16:predDERef xmlns:a16="http://schemas.microsoft.com/office/drawing/2014/main" pred="{2574A39E-9612-4913-B8C8-D13C119C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88" name="Picture 95" descr=" 1, 1, 2, 2,">
          <a:extLst>
            <a:ext uri="{FF2B5EF4-FFF2-40B4-BE49-F238E27FC236}">
              <a16:creationId xmlns:a16="http://schemas.microsoft.com/office/drawing/2014/main" id="{54BCED43-4847-5F41-944E-75F02B32C8E4}"/>
            </a:ext>
            <a:ext uri="{147F2762-F138-4A5C-976F-8EAC2B608ADB}">
              <a16:predDERef xmlns:a16="http://schemas.microsoft.com/office/drawing/2014/main" pred="{F154ED28-5AB4-454E-B600-472CDFA9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774000" cy="774000"/>
    <xdr:pic>
      <xdr:nvPicPr>
        <xdr:cNvPr id="89" name="Picture 96" descr=" 1, 1, 2, 2,">
          <a:extLst>
            <a:ext uri="{FF2B5EF4-FFF2-40B4-BE49-F238E27FC236}">
              <a16:creationId xmlns:a16="http://schemas.microsoft.com/office/drawing/2014/main" id="{490012E7-6A7E-5D40-9864-AAB7A3BD8A66}"/>
            </a:ext>
            <a:ext uri="{147F2762-F138-4A5C-976F-8EAC2B608ADB}">
              <a16:predDERef xmlns:a16="http://schemas.microsoft.com/office/drawing/2014/main" pred="{DD30050E-F276-4466-9171-B434C5D3D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C23560C6-FFE1-1441-B0BB-771BA6CF5EB3}"/>
            </a:ext>
            <a:ext uri="{147F2762-F138-4A5C-976F-8EAC2B608ADB}">
              <a16:predDERef xmlns:a16="http://schemas.microsoft.com/office/drawing/2014/main" pred="{75D0A929-D53F-4C26-ACBE-5BFC4CB9B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91" name="Picture 98" descr=" 1, 1, 2, 2,">
          <a:extLst>
            <a:ext uri="{FF2B5EF4-FFF2-40B4-BE49-F238E27FC236}">
              <a16:creationId xmlns:a16="http://schemas.microsoft.com/office/drawing/2014/main" id="{4BF3C865-52A5-8F48-BEE3-1647C19C050B}"/>
            </a:ext>
            <a:ext uri="{147F2762-F138-4A5C-976F-8EAC2B608ADB}">
              <a16:predDERef xmlns:a16="http://schemas.microsoft.com/office/drawing/2014/main" pred="{E8200517-3CE0-41D2-B944-9B387EBED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92" name="Picture 100" descr=" 1, 1, 2, 2,">
          <a:extLst>
            <a:ext uri="{FF2B5EF4-FFF2-40B4-BE49-F238E27FC236}">
              <a16:creationId xmlns:a16="http://schemas.microsoft.com/office/drawing/2014/main" id="{97D59791-ADC5-9544-95FC-A59AC2F6A120}"/>
            </a:ext>
            <a:ext uri="{147F2762-F138-4A5C-976F-8EAC2B608ADB}">
              <a16:predDERef xmlns:a16="http://schemas.microsoft.com/office/drawing/2014/main" pred="{AE479C2F-48DF-4110-8EA5-95F81BE1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93" name="Picture 101" descr=" 1, 1, 2, 2,">
          <a:extLst>
            <a:ext uri="{FF2B5EF4-FFF2-40B4-BE49-F238E27FC236}">
              <a16:creationId xmlns:a16="http://schemas.microsoft.com/office/drawing/2014/main" id="{BD7A4910-D0B3-A546-A9C1-0891906C3E08}"/>
            </a:ext>
            <a:ext uri="{147F2762-F138-4A5C-976F-8EAC2B608ADB}">
              <a16:predDERef xmlns:a16="http://schemas.microsoft.com/office/drawing/2014/main" pred="{C9C2FAF8-2AEC-4173-8DA6-D9FDED7AA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94" name="Picture 102" descr=" 1, 1, 2, 2,">
          <a:extLst>
            <a:ext uri="{FF2B5EF4-FFF2-40B4-BE49-F238E27FC236}">
              <a16:creationId xmlns:a16="http://schemas.microsoft.com/office/drawing/2014/main" id="{0558A35A-3D5E-774A-9A77-BC017B0B4D1A}"/>
            </a:ext>
            <a:ext uri="{147F2762-F138-4A5C-976F-8EAC2B608ADB}">
              <a16:predDERef xmlns:a16="http://schemas.microsoft.com/office/drawing/2014/main" pred="{3A1AE63D-95EA-4461-A985-5039E1F1E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95" name="Picture 103" descr=" 1, 1, 2, 2,">
          <a:extLst>
            <a:ext uri="{FF2B5EF4-FFF2-40B4-BE49-F238E27FC236}">
              <a16:creationId xmlns:a16="http://schemas.microsoft.com/office/drawing/2014/main" id="{E7D512D3-C0FF-3C45-A586-E8F07B3A1DAD}"/>
            </a:ext>
            <a:ext uri="{147F2762-F138-4A5C-976F-8EAC2B608ADB}">
              <a16:predDERef xmlns:a16="http://schemas.microsoft.com/office/drawing/2014/main" pred="{9ADFA1B0-E1AD-4561-A33B-B47EF7507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96" name="Picture 104" descr=" 1, 1, 2, 2,">
          <a:extLst>
            <a:ext uri="{FF2B5EF4-FFF2-40B4-BE49-F238E27FC236}">
              <a16:creationId xmlns:a16="http://schemas.microsoft.com/office/drawing/2014/main" id="{CD6275B0-6413-644A-BCDD-D38254500A19}"/>
            </a:ext>
            <a:ext uri="{147F2762-F138-4A5C-976F-8EAC2B608ADB}">
              <a16:predDERef xmlns:a16="http://schemas.microsoft.com/office/drawing/2014/main" pred="{D5BAADA9-E581-49DC-A1FA-A99F9D615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97" name="Picture 105" descr=" 1, 1, 2, 2,">
          <a:extLst>
            <a:ext uri="{FF2B5EF4-FFF2-40B4-BE49-F238E27FC236}">
              <a16:creationId xmlns:a16="http://schemas.microsoft.com/office/drawing/2014/main" id="{AE08DF32-07BC-9643-BCCA-988118750DA1}"/>
            </a:ext>
            <a:ext uri="{147F2762-F138-4A5C-976F-8EAC2B608ADB}">
              <a16:predDERef xmlns:a16="http://schemas.microsoft.com/office/drawing/2014/main" pred="{1B3D0FB3-838B-4448-BEC0-71BDA4311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98" name="Picture 106" descr=" 1, 1, 2, 2,">
          <a:extLst>
            <a:ext uri="{FF2B5EF4-FFF2-40B4-BE49-F238E27FC236}">
              <a16:creationId xmlns:a16="http://schemas.microsoft.com/office/drawing/2014/main" id="{7502F06D-9B92-1743-88E9-11D74E17A118}"/>
            </a:ext>
            <a:ext uri="{147F2762-F138-4A5C-976F-8EAC2B608ADB}">
              <a16:predDERef xmlns:a16="http://schemas.microsoft.com/office/drawing/2014/main" pred="{941E77C8-36F0-429E-9D1B-D5E3EDCC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99" name="Picture 107" descr=" 1, 1, 2, 2,">
          <a:extLst>
            <a:ext uri="{FF2B5EF4-FFF2-40B4-BE49-F238E27FC236}">
              <a16:creationId xmlns:a16="http://schemas.microsoft.com/office/drawing/2014/main" id="{4C031294-AA16-9A45-B3BE-EF68781AD1E2}"/>
            </a:ext>
            <a:ext uri="{147F2762-F138-4A5C-976F-8EAC2B608ADB}">
              <a16:predDERef xmlns:a16="http://schemas.microsoft.com/office/drawing/2014/main" pred="{31465922-649C-4775-A971-95D47451F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00" name="Picture 108" descr=" 1, 1, 2, 2,">
          <a:extLst>
            <a:ext uri="{FF2B5EF4-FFF2-40B4-BE49-F238E27FC236}">
              <a16:creationId xmlns:a16="http://schemas.microsoft.com/office/drawing/2014/main" id="{101670F5-9EE6-BE40-AB36-6DACBECC365A}"/>
            </a:ext>
            <a:ext uri="{147F2762-F138-4A5C-976F-8EAC2B608ADB}">
              <a16:predDERef xmlns:a16="http://schemas.microsoft.com/office/drawing/2014/main" pred="{2B61B4F8-69AD-4062-9A41-E9439C8C7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01" name="Picture 110" descr=" 1, 1, 2, 2,">
          <a:extLst>
            <a:ext uri="{FF2B5EF4-FFF2-40B4-BE49-F238E27FC236}">
              <a16:creationId xmlns:a16="http://schemas.microsoft.com/office/drawing/2014/main" id="{EDB117F6-826B-2C42-B5A0-05AADD809912}"/>
            </a:ext>
            <a:ext uri="{147F2762-F138-4A5C-976F-8EAC2B608ADB}">
              <a16:predDERef xmlns:a16="http://schemas.microsoft.com/office/drawing/2014/main" pred="{D8E00127-A0A4-4E54-A0E1-BC329369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ACABF91A-9FC6-8648-9336-BF6BFF1A96CA}"/>
            </a:ext>
            <a:ext uri="{147F2762-F138-4A5C-976F-8EAC2B608ADB}">
              <a16:predDERef xmlns:a16="http://schemas.microsoft.com/office/drawing/2014/main" pred="{57571BD0-CCA8-4159-A648-24AD8757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03" name="Picture 112" descr=" 1, 1, 2, 2,">
          <a:extLst>
            <a:ext uri="{FF2B5EF4-FFF2-40B4-BE49-F238E27FC236}">
              <a16:creationId xmlns:a16="http://schemas.microsoft.com/office/drawing/2014/main" id="{01B0F0D1-5E79-D745-BD50-1681CBC0E32F}"/>
            </a:ext>
            <a:ext uri="{147F2762-F138-4A5C-976F-8EAC2B608ADB}">
              <a16:predDERef xmlns:a16="http://schemas.microsoft.com/office/drawing/2014/main" pred="{99AEE657-ACDC-4578-87D1-D0FF2E25C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04" name="Picture 113" descr=" 1, 1, 2, 2,">
          <a:extLst>
            <a:ext uri="{FF2B5EF4-FFF2-40B4-BE49-F238E27FC236}">
              <a16:creationId xmlns:a16="http://schemas.microsoft.com/office/drawing/2014/main" id="{1E9D3581-B2CF-E843-AD66-CC5535236595}"/>
            </a:ext>
            <a:ext uri="{147F2762-F138-4A5C-976F-8EAC2B608ADB}">
              <a16:predDERef xmlns:a16="http://schemas.microsoft.com/office/drawing/2014/main" pred="{579F637E-C462-4630-BB96-8A27FE5E5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5" name="Picture 114" descr=" 1, 1, 2, 2,">
          <a:extLst>
            <a:ext uri="{FF2B5EF4-FFF2-40B4-BE49-F238E27FC236}">
              <a16:creationId xmlns:a16="http://schemas.microsoft.com/office/drawing/2014/main" id="{43203913-14AF-534C-B4A4-9584D52E57D4}"/>
            </a:ext>
            <a:ext uri="{147F2762-F138-4A5C-976F-8EAC2B608ADB}">
              <a16:predDERef xmlns:a16="http://schemas.microsoft.com/office/drawing/2014/main" pred="{7C4B5A1F-1D56-4B66-8FE6-AD304991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06" name="Picture 115" descr=" 1, 1, 2, 2,">
          <a:extLst>
            <a:ext uri="{FF2B5EF4-FFF2-40B4-BE49-F238E27FC236}">
              <a16:creationId xmlns:a16="http://schemas.microsoft.com/office/drawing/2014/main" id="{42F78741-4E9B-AE4D-B076-636676695FC4}"/>
            </a:ext>
            <a:ext uri="{147F2762-F138-4A5C-976F-8EAC2B608ADB}">
              <a16:predDERef xmlns:a16="http://schemas.microsoft.com/office/drawing/2014/main" pred="{C8B71203-9BFF-4CF0-B8F3-C649FE91A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07" name="Picture 116" descr=" 1, 1, 2, 2,">
          <a:extLst>
            <a:ext uri="{FF2B5EF4-FFF2-40B4-BE49-F238E27FC236}">
              <a16:creationId xmlns:a16="http://schemas.microsoft.com/office/drawing/2014/main" id="{5B68CF1C-A808-634C-AEEC-59C6451CE263}"/>
            </a:ext>
            <a:ext uri="{147F2762-F138-4A5C-976F-8EAC2B608ADB}">
              <a16:predDERef xmlns:a16="http://schemas.microsoft.com/office/drawing/2014/main" pred="{5D688668-819A-4D07-ABDE-347825DE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08" name="Picture 117" descr=" 1, 1, 2, 2,">
          <a:extLst>
            <a:ext uri="{FF2B5EF4-FFF2-40B4-BE49-F238E27FC236}">
              <a16:creationId xmlns:a16="http://schemas.microsoft.com/office/drawing/2014/main" id="{6CFFA053-91F3-E14D-8DCA-D580EDC634DE}"/>
            </a:ext>
            <a:ext uri="{147F2762-F138-4A5C-976F-8EAC2B608ADB}">
              <a16:predDERef xmlns:a16="http://schemas.microsoft.com/office/drawing/2014/main" pred="{5EB75008-6A46-47EE-9B49-B97DEEF42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09" name="Picture 118" descr=" 1, 1, 2, 2,">
          <a:extLst>
            <a:ext uri="{FF2B5EF4-FFF2-40B4-BE49-F238E27FC236}">
              <a16:creationId xmlns:a16="http://schemas.microsoft.com/office/drawing/2014/main" id="{98BD272C-1C77-F84A-B529-86C36B4DC609}"/>
            </a:ext>
            <a:ext uri="{147F2762-F138-4A5C-976F-8EAC2B608ADB}">
              <a16:predDERef xmlns:a16="http://schemas.microsoft.com/office/drawing/2014/main" pred="{950C3F90-C12A-4AE0-A5FA-694E677A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10" name="Picture 119" descr=" 1, 1, 2, 2,">
          <a:extLst>
            <a:ext uri="{FF2B5EF4-FFF2-40B4-BE49-F238E27FC236}">
              <a16:creationId xmlns:a16="http://schemas.microsoft.com/office/drawing/2014/main" id="{BFE3833B-9515-3244-BA63-FFA41DCF1449}"/>
            </a:ext>
            <a:ext uri="{147F2762-F138-4A5C-976F-8EAC2B608ADB}">
              <a16:predDERef xmlns:a16="http://schemas.microsoft.com/office/drawing/2014/main" pred="{591D6AEC-11A6-4113-AB68-50B12DA69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11" name="Picture 121" descr=" 1, 1, 2, 2,">
          <a:extLst>
            <a:ext uri="{FF2B5EF4-FFF2-40B4-BE49-F238E27FC236}">
              <a16:creationId xmlns:a16="http://schemas.microsoft.com/office/drawing/2014/main" id="{640F6C20-9F78-2C4D-9E04-D223406635C6}"/>
            </a:ext>
            <a:ext uri="{147F2762-F138-4A5C-976F-8EAC2B608ADB}">
              <a16:predDERef xmlns:a16="http://schemas.microsoft.com/office/drawing/2014/main" pred="{7EDA9BF0-8360-4663-8CEE-020A4394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2" name="Picture 122" descr=" 1, 1, 2, 2,">
          <a:extLst>
            <a:ext uri="{FF2B5EF4-FFF2-40B4-BE49-F238E27FC236}">
              <a16:creationId xmlns:a16="http://schemas.microsoft.com/office/drawing/2014/main" id="{CE346F49-7FA5-984C-A763-9B2F8C5ECAB6}"/>
            </a:ext>
            <a:ext uri="{147F2762-F138-4A5C-976F-8EAC2B608ADB}">
              <a16:predDERef xmlns:a16="http://schemas.microsoft.com/office/drawing/2014/main" pred="{4FE7CE15-B5F9-4576-AEC6-C1AAC6693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13" name="Picture 123" descr=" 1, 1, 2, 2,">
          <a:extLst>
            <a:ext uri="{FF2B5EF4-FFF2-40B4-BE49-F238E27FC236}">
              <a16:creationId xmlns:a16="http://schemas.microsoft.com/office/drawing/2014/main" id="{59D85656-48BF-604C-B023-951446BFB9ED}"/>
            </a:ext>
            <a:ext uri="{147F2762-F138-4A5C-976F-8EAC2B608ADB}">
              <a16:predDERef xmlns:a16="http://schemas.microsoft.com/office/drawing/2014/main" pred="{FB08064D-D307-4C7B-B5D8-14724CD7A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14" name="Picture 124" descr=" 1, 1, 2, 2,">
          <a:extLst>
            <a:ext uri="{FF2B5EF4-FFF2-40B4-BE49-F238E27FC236}">
              <a16:creationId xmlns:a16="http://schemas.microsoft.com/office/drawing/2014/main" id="{A5A5081F-DCEF-FD47-9B40-21486911C95A}"/>
            </a:ext>
            <a:ext uri="{147F2762-F138-4A5C-976F-8EAC2B608ADB}">
              <a16:predDERef xmlns:a16="http://schemas.microsoft.com/office/drawing/2014/main" pred="{625923E2-30BD-4699-AFFE-AD633B4C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15" name="Picture 125" descr=" 1, 1, 2, 2,">
          <a:extLst>
            <a:ext uri="{FF2B5EF4-FFF2-40B4-BE49-F238E27FC236}">
              <a16:creationId xmlns:a16="http://schemas.microsoft.com/office/drawing/2014/main" id="{662830E2-36C0-D44D-985C-C4F8E22E4421}"/>
            </a:ext>
            <a:ext uri="{147F2762-F138-4A5C-976F-8EAC2B608ADB}">
              <a16:predDERef xmlns:a16="http://schemas.microsoft.com/office/drawing/2014/main" pred="{D17C4068-0898-4497-BF81-00208BE43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16" name="Picture 126" descr=" 1, 1, 2, 2,">
          <a:extLst>
            <a:ext uri="{FF2B5EF4-FFF2-40B4-BE49-F238E27FC236}">
              <a16:creationId xmlns:a16="http://schemas.microsoft.com/office/drawing/2014/main" id="{246BE477-67E9-854F-820A-39AF8176627F}"/>
            </a:ext>
            <a:ext uri="{147F2762-F138-4A5C-976F-8EAC2B608ADB}">
              <a16:predDERef xmlns:a16="http://schemas.microsoft.com/office/drawing/2014/main" pred="{1083C6ED-9C3E-4B04-85A6-8C5526969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17" name="Picture 127" descr=" 1, 1, 2, 2,">
          <a:extLst>
            <a:ext uri="{FF2B5EF4-FFF2-40B4-BE49-F238E27FC236}">
              <a16:creationId xmlns:a16="http://schemas.microsoft.com/office/drawing/2014/main" id="{8D57795A-5971-F44E-9FD4-1548EAD4EE08}"/>
            </a:ext>
            <a:ext uri="{147F2762-F138-4A5C-976F-8EAC2B608ADB}">
              <a16:predDERef xmlns:a16="http://schemas.microsoft.com/office/drawing/2014/main" pred="{90765346-FB00-430B-B387-5D38CBE4F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18" name="Picture 128" descr=" 1, 1, 2, 2,">
          <a:extLst>
            <a:ext uri="{FF2B5EF4-FFF2-40B4-BE49-F238E27FC236}">
              <a16:creationId xmlns:a16="http://schemas.microsoft.com/office/drawing/2014/main" id="{D9544A5D-3F84-A044-A1CD-468FD9BB5BD9}"/>
            </a:ext>
            <a:ext uri="{147F2762-F138-4A5C-976F-8EAC2B608ADB}">
              <a16:predDERef xmlns:a16="http://schemas.microsoft.com/office/drawing/2014/main" pred="{9B2EA06C-08EB-4F7C-83C9-CF33EB0F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19" name="Picture 129" descr=" 1, 1, 2, 2,">
          <a:extLst>
            <a:ext uri="{FF2B5EF4-FFF2-40B4-BE49-F238E27FC236}">
              <a16:creationId xmlns:a16="http://schemas.microsoft.com/office/drawing/2014/main" id="{DAFE192A-65EF-1D4A-8106-F9E65F69737E}"/>
            </a:ext>
            <a:ext uri="{147F2762-F138-4A5C-976F-8EAC2B608ADB}">
              <a16:predDERef xmlns:a16="http://schemas.microsoft.com/office/drawing/2014/main" pred="{1B76C181-082B-42FB-A985-CD7A1ADAF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0" name="Picture 130" descr=" 1, 1, 2, 2,">
          <a:extLst>
            <a:ext uri="{FF2B5EF4-FFF2-40B4-BE49-F238E27FC236}">
              <a16:creationId xmlns:a16="http://schemas.microsoft.com/office/drawing/2014/main" id="{114F6C5C-B178-D34D-9C3E-56F1D16DA9B5}"/>
            </a:ext>
            <a:ext uri="{147F2762-F138-4A5C-976F-8EAC2B608ADB}">
              <a16:predDERef xmlns:a16="http://schemas.microsoft.com/office/drawing/2014/main" pred="{D9D9F90F-FCE7-422A-B9E0-EC5909721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1" name="Picture 131" descr=" 1, 1, 2, 2,">
          <a:extLst>
            <a:ext uri="{FF2B5EF4-FFF2-40B4-BE49-F238E27FC236}">
              <a16:creationId xmlns:a16="http://schemas.microsoft.com/office/drawing/2014/main" id="{3D3D51C9-C4E4-3140-B2DF-27F91EBB7433}"/>
            </a:ext>
            <a:ext uri="{147F2762-F138-4A5C-976F-8EAC2B608ADB}">
              <a16:predDERef xmlns:a16="http://schemas.microsoft.com/office/drawing/2014/main" pred="{F8AD5E43-3E4F-4490-9F74-9C075D0F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22" name="Picture 132" descr=" 1, 1, 2, 2,">
          <a:extLst>
            <a:ext uri="{FF2B5EF4-FFF2-40B4-BE49-F238E27FC236}">
              <a16:creationId xmlns:a16="http://schemas.microsoft.com/office/drawing/2014/main" id="{DBE3826E-0BA9-EC4A-92A4-1E2CD41A3E40}"/>
            </a:ext>
            <a:ext uri="{147F2762-F138-4A5C-976F-8EAC2B608ADB}">
              <a16:predDERef xmlns:a16="http://schemas.microsoft.com/office/drawing/2014/main" pred="{0A039E45-3E41-490F-A540-587E34DEA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74000" cy="774000"/>
    <xdr:pic>
      <xdr:nvPicPr>
        <xdr:cNvPr id="123" name="Picture 133" descr=" 1, 1, 2, 2,">
          <a:extLst>
            <a:ext uri="{FF2B5EF4-FFF2-40B4-BE49-F238E27FC236}">
              <a16:creationId xmlns:a16="http://schemas.microsoft.com/office/drawing/2014/main" id="{3B0623A7-2152-0646-A528-6001475C9BCB}"/>
            </a:ext>
            <a:ext uri="{147F2762-F138-4A5C-976F-8EAC2B608ADB}">
              <a16:predDERef xmlns:a16="http://schemas.microsoft.com/office/drawing/2014/main" pred="{2571AE9D-95F6-4B3C-BCCB-F5540615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24" name="Picture 134" descr=" 1, 1, 2, 2,">
          <a:extLst>
            <a:ext uri="{FF2B5EF4-FFF2-40B4-BE49-F238E27FC236}">
              <a16:creationId xmlns:a16="http://schemas.microsoft.com/office/drawing/2014/main" id="{9506ED2C-AB63-FC45-B2B2-67041418E284}"/>
            </a:ext>
            <a:ext uri="{147F2762-F138-4A5C-976F-8EAC2B608ADB}">
              <a16:predDERef xmlns:a16="http://schemas.microsoft.com/office/drawing/2014/main" pred="{35856DB3-44BC-4A23-8D9A-506A74565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25" name="Picture 136" descr=" 1, 1, 2, 2,">
          <a:extLst>
            <a:ext uri="{FF2B5EF4-FFF2-40B4-BE49-F238E27FC236}">
              <a16:creationId xmlns:a16="http://schemas.microsoft.com/office/drawing/2014/main" id="{1DD5A8F4-4C5C-AE49-94EA-078AD3CE7CD8}"/>
            </a:ext>
            <a:ext uri="{147F2762-F138-4A5C-976F-8EAC2B608ADB}">
              <a16:predDERef xmlns:a16="http://schemas.microsoft.com/office/drawing/2014/main" pred="{AFA48C2B-0D09-407C-8876-A4A5B55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26" name="Picture 137" descr=" 1, 1, 2, 2,">
          <a:extLst>
            <a:ext uri="{FF2B5EF4-FFF2-40B4-BE49-F238E27FC236}">
              <a16:creationId xmlns:a16="http://schemas.microsoft.com/office/drawing/2014/main" id="{6D7494E5-33DD-B543-BBF4-D4CF45D7D13E}"/>
            </a:ext>
            <a:ext uri="{147F2762-F138-4A5C-976F-8EAC2B608ADB}">
              <a16:predDERef xmlns:a16="http://schemas.microsoft.com/office/drawing/2014/main" pred="{9EE15CB6-0CFE-490A-9E80-BDD745565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27" name="Picture 138" descr=" 1, 1, 2, 2,">
          <a:extLst>
            <a:ext uri="{FF2B5EF4-FFF2-40B4-BE49-F238E27FC236}">
              <a16:creationId xmlns:a16="http://schemas.microsoft.com/office/drawing/2014/main" id="{13DA6E96-A860-1A41-B249-D8001B6AD3CE}"/>
            </a:ext>
            <a:ext uri="{147F2762-F138-4A5C-976F-8EAC2B608ADB}">
              <a16:predDERef xmlns:a16="http://schemas.microsoft.com/office/drawing/2014/main" pred="{F7E1AC1D-3B3D-41D1-AFA9-F0582B41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8" name="Picture 140" descr="33,33,31,31,">
          <a:extLst>
            <a:ext uri="{FF2B5EF4-FFF2-40B4-BE49-F238E27FC236}">
              <a16:creationId xmlns:a16="http://schemas.microsoft.com/office/drawing/2014/main" id="{9ED13100-1BA5-B24D-B532-94156B0F417C}"/>
            </a:ext>
            <a:ext uri="{147F2762-F138-4A5C-976F-8EAC2B608ADB}">
              <a16:predDERef xmlns:a16="http://schemas.microsoft.com/office/drawing/2014/main" pred="{72871AAE-EBC0-4776-8D17-2A133DFEF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41" descr=" 1, 1, 2, 2,">
          <a:extLst>
            <a:ext uri="{FF2B5EF4-FFF2-40B4-BE49-F238E27FC236}">
              <a16:creationId xmlns:a16="http://schemas.microsoft.com/office/drawing/2014/main" id="{DE68ECD0-467C-B249-98C6-163983F0BF16}"/>
            </a:ext>
            <a:ext uri="{147F2762-F138-4A5C-976F-8EAC2B608ADB}">
              <a16:predDERef xmlns:a16="http://schemas.microsoft.com/office/drawing/2014/main" pred="{2B6F2664-8DBA-4728-9C57-A8BF0EB14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1633908" cy="1657048"/>
    <xdr:pic>
      <xdr:nvPicPr>
        <xdr:cNvPr id="130" name="Picture 142" descr="Item:Trebochet_Right,Pos:1">
          <a:extLst>
            <a:ext uri="{FF2B5EF4-FFF2-40B4-BE49-F238E27FC236}">
              <a16:creationId xmlns:a16="http://schemas.microsoft.com/office/drawing/2014/main" id="{D79BA249-7E00-6746-A8D9-EE24EF259144}"/>
            </a:ext>
            <a:ext uri="{147F2762-F138-4A5C-976F-8EAC2B608ADB}">
              <a16:predDERef xmlns:a16="http://schemas.microsoft.com/office/drawing/2014/main" pred="{A47528DB-22B8-4F31-B58C-FCE85A9858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17018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1633908" cy="1657048"/>
    <xdr:pic>
      <xdr:nvPicPr>
        <xdr:cNvPr id="131" name="Picture 143" descr="Item:Trebochet_Right,Pos:1">
          <a:extLst>
            <a:ext uri="{FF2B5EF4-FFF2-40B4-BE49-F238E27FC236}">
              <a16:creationId xmlns:a16="http://schemas.microsoft.com/office/drawing/2014/main" id="{526C44F7-112F-3748-81EC-516325D0F1D8}"/>
            </a:ext>
            <a:ext uri="{147F2762-F138-4A5C-976F-8EAC2B608ADB}">
              <a16:predDERef xmlns:a16="http://schemas.microsoft.com/office/drawing/2014/main" pred="{4CB1A7E2-1A9B-49D2-BE4D-3564D067C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8509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6111" cy="776111"/>
    <xdr:pic>
      <xdr:nvPicPr>
        <xdr:cNvPr id="132" name="Picture 144">
          <a:extLst>
            <a:ext uri="{FF2B5EF4-FFF2-40B4-BE49-F238E27FC236}">
              <a16:creationId xmlns:a16="http://schemas.microsoft.com/office/drawing/2014/main" id="{1A8511B5-EC5B-8C45-B831-604C1922A3D2}"/>
            </a:ext>
            <a:ext uri="{147F2762-F138-4A5C-976F-8EAC2B608ADB}">
              <a16:predDERef xmlns:a16="http://schemas.microsoft.com/office/drawing/2014/main" pred="{6AB6CDCA-9FF9-466C-8E1E-654B96BF7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4216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6111" cy="776111"/>
    <xdr:pic>
      <xdr:nvPicPr>
        <xdr:cNvPr id="133" name="Picture 145">
          <a:extLst>
            <a:ext uri="{FF2B5EF4-FFF2-40B4-BE49-F238E27FC236}">
              <a16:creationId xmlns:a16="http://schemas.microsoft.com/office/drawing/2014/main" id="{C1CD900E-2E03-6742-8C37-20A1A5AB433D}"/>
            </a:ext>
            <a:ext uri="{147F2762-F138-4A5C-976F-8EAC2B608ADB}">
              <a16:predDERef xmlns:a16="http://schemas.microsoft.com/office/drawing/2014/main" pred="{BAA9BBC2-F18E-4141-A84E-06ECC780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635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814917" cy="804334"/>
    <xdr:pic>
      <xdr:nvPicPr>
        <xdr:cNvPr id="134" name="Picture 146" descr="Enemy:Archer_RH,Pos:1">
          <a:extLst>
            <a:ext uri="{FF2B5EF4-FFF2-40B4-BE49-F238E27FC236}">
              <a16:creationId xmlns:a16="http://schemas.microsoft.com/office/drawing/2014/main" id="{489145EE-8529-ED48-A327-2773611E725C}"/>
            </a:ext>
            <a:ext uri="{147F2762-F138-4A5C-976F-8EAC2B608ADB}">
              <a16:predDERef xmlns:a16="http://schemas.microsoft.com/office/drawing/2014/main" pred="{73F4ACA6-FD6E-4DB1-9FD5-631612B31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912600" y="1016000"/>
          <a:ext cx="814917" cy="804334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5" name="Picture 147" descr=" 1, 1, 2, 2,">
          <a:extLst>
            <a:ext uri="{FF2B5EF4-FFF2-40B4-BE49-F238E27FC236}">
              <a16:creationId xmlns:a16="http://schemas.microsoft.com/office/drawing/2014/main" id="{4E64C99D-4F5D-2D45-A1E5-D2E4EC85F99B}"/>
            </a:ext>
            <a:ext uri="{147F2762-F138-4A5C-976F-8EAC2B608ADB}">
              <a16:predDERef xmlns:a16="http://schemas.microsoft.com/office/drawing/2014/main" pred="{B1DF031C-B602-44FF-8BF0-2221A93E2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36" name="Picture 148" descr="33,33,31,31,">
          <a:extLst>
            <a:ext uri="{FF2B5EF4-FFF2-40B4-BE49-F238E27FC236}">
              <a16:creationId xmlns:a16="http://schemas.microsoft.com/office/drawing/2014/main" id="{4F7858EC-8D59-FA4D-BC58-7E602F0E0796}"/>
            </a:ext>
            <a:ext uri="{147F2762-F138-4A5C-976F-8EAC2B608ADB}">
              <a16:predDERef xmlns:a16="http://schemas.microsoft.com/office/drawing/2014/main" pred="{F5C070DB-330D-45EB-9DF0-096E23F54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37" name="Picture 149" descr="31,31,31,31,">
          <a:extLst>
            <a:ext uri="{FF2B5EF4-FFF2-40B4-BE49-F238E27FC236}">
              <a16:creationId xmlns:a16="http://schemas.microsoft.com/office/drawing/2014/main" id="{BC7C8058-16B0-854B-934A-BF27E907F9E2}"/>
            </a:ext>
            <a:ext uri="{147F2762-F138-4A5C-976F-8EAC2B608ADB}">
              <a16:predDERef xmlns:a16="http://schemas.microsoft.com/office/drawing/2014/main" pred="{DB14FDD0-D6C8-43F3-9ECB-8E21E242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8" name="Picture 150" descr="31,31,31,31,">
          <a:extLst>
            <a:ext uri="{FF2B5EF4-FFF2-40B4-BE49-F238E27FC236}">
              <a16:creationId xmlns:a16="http://schemas.microsoft.com/office/drawing/2014/main" id="{70CB21F4-AEA0-8B42-BC41-A878AFCF6AE4}"/>
            </a:ext>
            <a:ext uri="{147F2762-F138-4A5C-976F-8EAC2B608ADB}">
              <a16:predDERef xmlns:a16="http://schemas.microsoft.com/office/drawing/2014/main" pred="{75262880-52B8-46BE-8B32-41093C509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139" name="Picture 151" descr="31,31,32,32,">
          <a:extLst>
            <a:ext uri="{FF2B5EF4-FFF2-40B4-BE49-F238E27FC236}">
              <a16:creationId xmlns:a16="http://schemas.microsoft.com/office/drawing/2014/main" id="{428002B1-F165-3E4B-A2D8-8B1223E0F934}"/>
            </a:ext>
            <a:ext uri="{147F2762-F138-4A5C-976F-8EAC2B608ADB}">
              <a16:predDERef xmlns:a16="http://schemas.microsoft.com/office/drawing/2014/main" pred="{7DBF63B8-1B2F-46E8-88FF-623AD6260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08183" cy="796638"/>
    <xdr:pic>
      <xdr:nvPicPr>
        <xdr:cNvPr id="140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203200"/>
          <a:ext cx="808183" cy="796638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1" name="Picture 153" descr=" 1, 1, 2, 2,">
          <a:extLst>
            <a:ext uri="{FF2B5EF4-FFF2-40B4-BE49-F238E27FC236}">
              <a16:creationId xmlns:a16="http://schemas.microsoft.com/office/drawing/2014/main" id="{EA8A1628-B872-8540-ADE3-2F6CDBC77362}"/>
            </a:ext>
            <a:ext uri="{147F2762-F138-4A5C-976F-8EAC2B608ADB}">
              <a16:predDERef xmlns:a16="http://schemas.microsoft.com/office/drawing/2014/main" pred="{98EC98F2-3BBA-4071-ABA8-E1E38572F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7876" cy="777876"/>
    <xdr:pic>
      <xdr:nvPicPr>
        <xdr:cNvPr id="142" name="Picture 154" descr=" 0, 5, 6, 2, ">
          <a:extLst>
            <a:ext uri="{FF2B5EF4-FFF2-40B4-BE49-F238E27FC236}">
              <a16:creationId xmlns:a16="http://schemas.microsoft.com/office/drawing/2014/main" id="{8284E866-6050-F24E-A9B9-B97ED8E07A77}"/>
            </a:ext>
            <a:ext uri="{147F2762-F138-4A5C-976F-8EAC2B608ADB}">
              <a16:predDERef xmlns:a16="http://schemas.microsoft.com/office/drawing/2014/main" pred="{A896B517-5B4B-4D33-8F1D-C8BF70087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29743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1622360" cy="1646553"/>
    <xdr:pic>
      <xdr:nvPicPr>
        <xdr:cNvPr id="143" name="Picture 155" descr="Item:Trebochet_Left,Pos:1">
          <a:extLst>
            <a:ext uri="{FF2B5EF4-FFF2-40B4-BE49-F238E27FC236}">
              <a16:creationId xmlns:a16="http://schemas.microsoft.com/office/drawing/2014/main" id="{AEDA0626-1304-9549-9572-14AC6B3DA923}"/>
            </a:ext>
            <a:ext uri="{147F2762-F138-4A5C-976F-8EAC2B608ADB}">
              <a16:predDERef xmlns:a16="http://schemas.microsoft.com/office/drawing/2014/main" pred="{83EBADAF-A0E3-4BCB-9C95-4EFF5B618A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85090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90223" cy="790223"/>
    <xdr:pic>
      <xdr:nvPicPr>
        <xdr:cNvPr id="144" name="Picture 156" descr="Enemy:SwordFighter_LH,Pos:1">
          <a:extLst>
            <a:ext uri="{FF2B5EF4-FFF2-40B4-BE49-F238E27FC236}">
              <a16:creationId xmlns:a16="http://schemas.microsoft.com/office/drawing/2014/main" id="{0D2CD3EE-59AB-8745-A1FA-FF2E0A860E17}"/>
            </a:ext>
            <a:ext uri="{147F2762-F138-4A5C-976F-8EAC2B608ADB}">
              <a16:predDERef xmlns:a16="http://schemas.microsoft.com/office/drawing/2014/main" pred="{C01616D9-75FD-44EE-AD94-2B6D0A50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8072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90222" cy="790222"/>
    <xdr:pic>
      <xdr:nvPicPr>
        <xdr:cNvPr id="145" name="Picture 157" descr="Enemy:Archer_LH,Pos:1">
          <a:extLst>
            <a:ext uri="{FF2B5EF4-FFF2-40B4-BE49-F238E27FC236}">
              <a16:creationId xmlns:a16="http://schemas.microsoft.com/office/drawing/2014/main" id="{9BF1E0CD-A531-8847-A7C2-A8EC6FD0DC78}"/>
            </a:ext>
            <a:ext uri="{147F2762-F138-4A5C-976F-8EAC2B608ADB}">
              <a16:predDERef xmlns:a16="http://schemas.microsoft.com/office/drawing/2014/main" pred="{CEED1375-FAF4-46DA-9D09-D50258A6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9126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90222" cy="790222"/>
    <xdr:pic>
      <xdr:nvPicPr>
        <xdr:cNvPr id="146" name="Picture 158" descr="Enemy:Archer_LH,Pos:1">
          <a:extLst>
            <a:ext uri="{FF2B5EF4-FFF2-40B4-BE49-F238E27FC236}">
              <a16:creationId xmlns:a16="http://schemas.microsoft.com/office/drawing/2014/main" id="{1090B4B1-10C0-7647-A6F3-9AF1F270F862}"/>
            </a:ext>
            <a:ext uri="{147F2762-F138-4A5C-976F-8EAC2B608ADB}">
              <a16:predDERef xmlns:a16="http://schemas.microsoft.com/office/drawing/2014/main" pred="{5EBD5913-B935-4BA9-B187-8508F73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27635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1622360" cy="1646553"/>
    <xdr:pic>
      <xdr:nvPicPr>
        <xdr:cNvPr id="147" name="Picture 159" descr="Item:Trebochet_Left,Pos:1">
          <a:extLst>
            <a:ext uri="{FF2B5EF4-FFF2-40B4-BE49-F238E27FC236}">
              <a16:creationId xmlns:a16="http://schemas.microsoft.com/office/drawing/2014/main" id="{7D730050-1F29-7446-9BFE-FA3AAE1C2E09}"/>
            </a:ext>
            <a:ext uri="{147F2762-F138-4A5C-976F-8EAC2B608ADB}">
              <a16:predDERef xmlns:a16="http://schemas.microsoft.com/office/drawing/2014/main" pred="{09733D94-061E-4A8E-99AF-9B116F13B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90223" cy="790223"/>
    <xdr:pic>
      <xdr:nvPicPr>
        <xdr:cNvPr id="148" name="Picture 160" descr="Enemy:SwordFighter_LH,Pos:1">
          <a:extLst>
            <a:ext uri="{FF2B5EF4-FFF2-40B4-BE49-F238E27FC236}">
              <a16:creationId xmlns:a16="http://schemas.microsoft.com/office/drawing/2014/main" id="{67B0C036-0A95-DC4F-A80A-284559D3F73B}"/>
            </a:ext>
            <a:ext uri="{147F2762-F138-4A5C-976F-8EAC2B608ADB}">
              <a16:predDERef xmlns:a16="http://schemas.microsoft.com/office/drawing/2014/main" pred="{96E3F230-CF23-44E0-90E7-141CAD7EF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180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7876" cy="777876"/>
    <xdr:pic>
      <xdr:nvPicPr>
        <xdr:cNvPr id="149" name="Picture 161" descr=" 2, 2, 3, 3,">
          <a:extLst>
            <a:ext uri="{FF2B5EF4-FFF2-40B4-BE49-F238E27FC236}">
              <a16:creationId xmlns:a16="http://schemas.microsoft.com/office/drawing/2014/main" id="{E9D7C480-8167-A54B-8699-8AB24A585FEC}"/>
            </a:ext>
            <a:ext uri="{147F2762-F138-4A5C-976F-8EAC2B608ADB}">
              <a16:predDERef xmlns:a16="http://schemas.microsoft.com/office/drawing/2014/main" pred="{1751457C-E616-4C48-A225-D13EC63CF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8719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7876" cy="777876"/>
    <xdr:pic>
      <xdr:nvPicPr>
        <xdr:cNvPr id="150" name="Picture 162" descr=" 2, 2, 3, 3,">
          <a:extLst>
            <a:ext uri="{FF2B5EF4-FFF2-40B4-BE49-F238E27FC236}">
              <a16:creationId xmlns:a16="http://schemas.microsoft.com/office/drawing/2014/main" id="{E6797442-6957-E54F-BB0F-ABB09B0F916F}"/>
            </a:ext>
            <a:ext uri="{147F2762-F138-4A5C-976F-8EAC2B608ADB}">
              <a16:predDERef xmlns:a16="http://schemas.microsoft.com/office/drawing/2014/main" pred="{3296F178-B8F5-445E-8CEE-365F74B0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210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7876" cy="777876"/>
    <xdr:pic>
      <xdr:nvPicPr>
        <xdr:cNvPr id="151" name="Picture 164" descr=" 2, 2, 3, 3,">
          <a:extLst>
            <a:ext uri="{FF2B5EF4-FFF2-40B4-BE49-F238E27FC236}">
              <a16:creationId xmlns:a16="http://schemas.microsoft.com/office/drawing/2014/main" id="{C4037726-C89D-894E-B495-5EFC581C8EF3}"/>
            </a:ext>
            <a:ext uri="{147F2762-F138-4A5C-976F-8EAC2B608ADB}">
              <a16:predDERef xmlns:a16="http://schemas.microsoft.com/office/drawing/2014/main" pred="{B7DBE793-82AA-4BFE-8285-DBA4310D9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6581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7876" cy="777876"/>
    <xdr:pic>
      <xdr:nvPicPr>
        <xdr:cNvPr id="152" name="Picture 165" descr=" 2, 2, 3, 3,">
          <a:extLst>
            <a:ext uri="{FF2B5EF4-FFF2-40B4-BE49-F238E27FC236}">
              <a16:creationId xmlns:a16="http://schemas.microsoft.com/office/drawing/2014/main" id="{7B492DD9-18A6-B641-92F4-1B35322680A6}"/>
            </a:ext>
            <a:ext uri="{147F2762-F138-4A5C-976F-8EAC2B608ADB}">
              <a16:predDERef xmlns:a16="http://schemas.microsoft.com/office/drawing/2014/main" pred="{9A6DFE41-E960-4F7F-B106-EEFFE85B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04216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3545" cy="818444"/>
    <xdr:pic>
      <xdr:nvPicPr>
        <xdr:cNvPr id="153" name="Picture 166" descr="Item:Potion,Pos:1">
          <a:extLst>
            <a:ext uri="{FF2B5EF4-FFF2-40B4-BE49-F238E27FC236}">
              <a16:creationId xmlns:a16="http://schemas.microsoft.com/office/drawing/2014/main" id="{2155803C-C177-7F4B-A621-4237E7BB6BD0}"/>
            </a:ext>
            <a:ext uri="{147F2762-F138-4A5C-976F-8EAC2B608ADB}">
              <a16:predDERef xmlns:a16="http://schemas.microsoft.com/office/drawing/2014/main" pred="{A38EF3DE-5642-46D4-B1E6-E19FAEB122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53162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3545" cy="818444"/>
    <xdr:pic>
      <xdr:nvPicPr>
        <xdr:cNvPr id="154" name="Picture 167" descr="Item:Potion,Pos:1">
          <a:extLst>
            <a:ext uri="{FF2B5EF4-FFF2-40B4-BE49-F238E27FC236}">
              <a16:creationId xmlns:a16="http://schemas.microsoft.com/office/drawing/2014/main" id="{C81A74DB-E736-AA49-80F2-F4E77A885223}"/>
            </a:ext>
            <a:ext uri="{147F2762-F138-4A5C-976F-8EAC2B608ADB}">
              <a16:predDERef xmlns:a16="http://schemas.microsoft.com/office/drawing/2014/main" pred="{7F33F71E-1C1D-4F07-BE17-FE636B12F2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167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3545" cy="818444"/>
    <xdr:pic>
      <xdr:nvPicPr>
        <xdr:cNvPr id="155" name="Picture 168" descr="Item:Potion,Pos:1">
          <a:extLst>
            <a:ext uri="{FF2B5EF4-FFF2-40B4-BE49-F238E27FC236}">
              <a16:creationId xmlns:a16="http://schemas.microsoft.com/office/drawing/2014/main" id="{3B1F43A2-2790-F94E-A911-B4A8FCB47695}"/>
            </a:ext>
            <a:ext uri="{147F2762-F138-4A5C-976F-8EAC2B608ADB}">
              <a16:predDERef xmlns:a16="http://schemas.microsoft.com/office/drawing/2014/main" pred="{E4FFA3CC-E64D-47E2-A0A1-359FA27261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658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3545" cy="818444"/>
    <xdr:pic>
      <xdr:nvPicPr>
        <xdr:cNvPr id="156" name="Picture 169" descr="Item:Potion,Pos:1">
          <a:extLst>
            <a:ext uri="{FF2B5EF4-FFF2-40B4-BE49-F238E27FC236}">
              <a16:creationId xmlns:a16="http://schemas.microsoft.com/office/drawing/2014/main" id="{00D14EB7-CD98-A446-BEDA-ABDA85028E4C}"/>
            </a:ext>
            <a:ext uri="{147F2762-F138-4A5C-976F-8EAC2B608ADB}">
              <a16:predDERef xmlns:a16="http://schemas.microsoft.com/office/drawing/2014/main" pred="{E4DCB43B-3660-468F-92FF-AEEB679BD7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0210800" y="406400"/>
          <a:ext cx="773545" cy="818444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EFACDEF-5768-F04E-A910-7F3F4916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673A054-5A15-3245-B3EA-878912DE205E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63B3F3D-3AE2-7D45-8B75-3B17EBB7212A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C073DF7-2A78-BF4D-BFE3-DF4AFC2041A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F7CECFEA-1661-844B-932B-77CB4299CF27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3A8C6361-EDDB-F949-8297-DBC473A737FE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A82432-798B-C14F-B9A7-DCD006EC8EBB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2541DA26-2F48-1946-9B86-41D28C8C8904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8749C21-2C08-0849-8A84-359E84D821F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8323625-2818-8441-8FDB-C4795F7B08BB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5A6A6EC-878A-FE40-9220-4D1689F93F6B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918AF2C-6595-F343-B092-B79DBF22B2F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CCD156E-0D23-5241-83B0-B7AF8E16099A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84A570C-8426-3847-925F-1AFC8DE4D617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97AFC45-F3C5-2041-930F-21C2F99DDC46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29F8DF8A-C21C-374C-90E5-240B76BDE9D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10EF5D6-D6D7-D64A-BCD9-99C9088BB543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B276B21-718F-CF41-8295-1D1A8EDC1D95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00BC5DC-82D2-3440-AFE0-7773CCF03AA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F0FBDEA-4BAC-3E45-B829-2A6679AC05D8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6F3A5BE-9233-C341-BDEA-31C35B8B3414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4C2153A-844C-4C45-930E-951CF7831E4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6E90A75-97FC-F14F-A41B-77C653F8BD8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FADFA2D4-0079-754B-9B50-36052EF351B7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7791D832-4380-8048-AAB4-2AD200646B5E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497098DE-34B9-8F49-B146-2E70025BEAC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C6DB42C-D10B-454D-A965-C3A661EBAC5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160B115-6203-FA48-BA1A-F78DACD34A8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21245CD-349D-8E46-9C93-09814D145859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BA9FF91-BDB3-2642-841B-03047FF8AB5B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340716D-F0B5-1E4E-A73E-3D92C76D7CC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C4FCA4E-7437-6544-96B3-1DBCFC2D4BF8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2CEADCFE-4096-3B41-9957-DF0803D2F305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F73F075-A1FC-BD42-8AF9-5A20C35B2629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C1EA5F9-FD6C-DF49-A673-74A9D3AB3C14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5013BCF-1E4E-4F48-8396-2B9E52E3FFDF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AF82BCE-D7E4-084D-B393-AD7E676439AF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33A10A15-271A-4B46-BBB7-22BB38325E1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2888F4B-23AD-1C41-9A01-0D77482ED80F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12056D6-F242-7C49-ADA6-220562FB36E3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FEBBC3D-3634-2F40-9CC4-11C1AF973C20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8B4FF9E-EFEE-024E-92C9-A58DC0A16111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8F517E5-827C-1D4B-B62D-FD3986E77838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9C4D295-96A3-0B42-88FD-A2BA67832F3C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7ECE7E0-784E-044E-9151-0F34395485C1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C5C1096-4204-B74E-93A8-AD17A219ACF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A240844-F5C8-E349-9FB9-E263248F845C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2FCD583-CE99-AE46-A106-BC6D884C21EC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2B359684-6CB4-6749-8EA1-6FF62212CD85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9E47EDB-ECD7-3648-A1F1-1A243BC3CCA4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ADE76B1-B646-2544-A630-E9F8088A2C7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57FA764-A4C1-304E-857E-1FED80214039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A9E667E-D04E-C54C-A14A-000A8CD4B42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6C63319-5C5E-2A4A-BB61-1665BB8D5BF6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3A077AA-A047-9843-BA8C-4F155BB5B0B5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E7D31E9-3BE5-9C47-9569-4CB42E696787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4A40D6B-03F6-9847-BAE4-C946ECDB0DC1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3584CDC-FD2F-684A-A0AA-E7BFCC354B36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24F411C-6468-F940-8237-7D52753AA719}"/>
            </a:ext>
            <a:ext uri="{147F2762-F138-4A5C-976F-8EAC2B608ADB}">
              <a16:predDERef xmlns:a16="http://schemas.microsoft.com/office/drawing/2014/main" pred="{57C2236F-5C7C-4212-9B51-00987EFB8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11A0A671-1B64-974A-AB80-342FB457AD83}"/>
            </a:ext>
            <a:ext uri="{147F2762-F138-4A5C-976F-8EAC2B608ADB}">
              <a16:predDERef xmlns:a16="http://schemas.microsoft.com/office/drawing/2014/main" pred="{3D03D897-5D39-4154-869B-3A7C4992F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90FF1003-A996-7440-99A3-0AFDFBE23F1B}"/>
            </a:ext>
            <a:ext uri="{147F2762-F138-4A5C-976F-8EAC2B608ADB}">
              <a16:predDERef xmlns:a16="http://schemas.microsoft.com/office/drawing/2014/main" pred="{68CE7299-393C-4165-8D40-C37CE9975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05E11A6-BEA1-DE4C-9AFC-E66E8400B455}"/>
            </a:ext>
            <a:ext uri="{147F2762-F138-4A5C-976F-8EAC2B608ADB}">
              <a16:predDERef xmlns:a16="http://schemas.microsoft.com/office/drawing/2014/main" pred="{39E9D872-E54E-48F3-8404-BDB498ABF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D0570B49-D842-494C-88BC-F6A888261A5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1C5849AC-01CD-7B40-8A6C-6BE5F4A421F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2F8A90D-8456-2542-AE40-7070B01F641E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4A1BDA85-77B0-AE4D-949D-676F73100C1A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FDF8342D-5D30-BC45-9CCF-82B66106DA6C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CA248D6-CF78-7E4D-AEF9-680E2D69F2FA}"/>
            </a:ext>
            <a:ext uri="{147F2762-F138-4A5C-976F-8EAC2B608ADB}">
              <a16:predDERef xmlns:a16="http://schemas.microsoft.com/office/drawing/2014/main" pred="{C66FA600-5FF3-4183-968A-369F58F1E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B2D4DDC4-03CE-A44F-89B2-917175C9371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6637" cy="796638"/>
    <xdr:pic>
      <xdr:nvPicPr>
        <xdr:cNvPr id="75" name="Picture 74" descr="Item:Lever_LH,Pos:1,Data:1">
          <a:extLst>
            <a:ext uri="{FF2B5EF4-FFF2-40B4-BE49-F238E27FC236}">
              <a16:creationId xmlns:a16="http://schemas.microsoft.com/office/drawing/2014/main" id="{9F82691F-3433-164B-9F1A-9AAC5C460CC6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36144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806593" cy="797919"/>
    <xdr:pic>
      <xdr:nvPicPr>
        <xdr:cNvPr id="76" name="Picture 75" descr="Item:Lever_Portal_Closed,Pos:2">
          <a:extLst>
            <a:ext uri="{FF2B5EF4-FFF2-40B4-BE49-F238E27FC236}">
              <a16:creationId xmlns:a16="http://schemas.microsoft.com/office/drawing/2014/main" id="{28D7726D-5909-CD4D-854E-EA45CB9F3DE2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14400" y="1219200"/>
          <a:ext cx="806593" cy="797919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3809" cy="783809"/>
    <xdr:pic>
      <xdr:nvPicPr>
        <xdr:cNvPr id="77" name="Picture 76" descr="Item:Lever_Portal_Open,Pos:2">
          <a:extLst>
            <a:ext uri="{FF2B5EF4-FFF2-40B4-BE49-F238E27FC236}">
              <a16:creationId xmlns:a16="http://schemas.microsoft.com/office/drawing/2014/main" id="{C51DC781-CED0-8F47-A99B-EF84D842F858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14400" y="8128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90223" cy="790223"/>
    <xdr:pic>
      <xdr:nvPicPr>
        <xdr:cNvPr id="78" name="Picture 77" descr="Item:Lever_RH,Pos:1,Data:1">
          <a:extLst>
            <a:ext uri="{FF2B5EF4-FFF2-40B4-BE49-F238E27FC236}">
              <a16:creationId xmlns:a16="http://schemas.microsoft.com/office/drawing/2014/main" id="{88343DAD-80FB-BD43-9778-012276E6B54F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3162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695" cy="776112"/>
    <xdr:pic>
      <xdr:nvPicPr>
        <xdr:cNvPr id="79" name="Picture 78" descr="Item:Lever_Portal_Auto_Closed,Pos:2,Data:256">
          <a:extLst>
            <a:ext uri="{FF2B5EF4-FFF2-40B4-BE49-F238E27FC236}">
              <a16:creationId xmlns:a16="http://schemas.microsoft.com/office/drawing/2014/main" id="{8A31D6F1-5AAE-2245-A06B-86AF84A2EAAA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6200" y="8128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776113" cy="776113"/>
    <xdr:pic>
      <xdr:nvPicPr>
        <xdr:cNvPr id="80" name="Picture 79" descr="Item:Lever_Portal_Auto_Open,Pos:2,Data:256">
          <a:extLst>
            <a:ext uri="{FF2B5EF4-FFF2-40B4-BE49-F238E27FC236}">
              <a16:creationId xmlns:a16="http://schemas.microsoft.com/office/drawing/2014/main" id="{3535D115-050B-C748-9CD2-A82B9DCE40E7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5316200" y="40640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AC730EC0-C23A-AB44-898F-844431DCD75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36A8713-004A-1D46-85B3-35580B1B2916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5480925-F865-C945-A7E3-E59544C86289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5E5DFF7-AB2E-F543-A30A-2F06FF18E710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D53D6B95-422E-9642-A2AB-F8454EDEEBA9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5C995713-B541-B646-A222-D9994EEE6535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C567EA9C-C03B-9643-B501-9F9F35A0E1D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B002C58-29C4-224D-B6C9-722A8AEEFFD7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99DCE3F1-D012-3144-83D7-22C32137DCCD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AB018A-0657-E540-B62D-8B277EB3E39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AB2569FD-4319-BA46-B752-839F03C43EC6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E55075A2-F247-DB4D-B84F-D29FA4E2644B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0C32208-A9B7-1D4D-BC2E-CF164D4C0446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CD56DCF4-FDE8-1E4D-A885-21A7E82D3EA4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9C1A880C-D768-C140-A527-66804603FA8F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86484" cy="774000"/>
    <xdr:pic>
      <xdr:nvPicPr>
        <xdr:cNvPr id="96" name="Picture 95" descr=" 8, 8, 7, 7,">
          <a:extLst>
            <a:ext uri="{FF2B5EF4-FFF2-40B4-BE49-F238E27FC236}">
              <a16:creationId xmlns:a16="http://schemas.microsoft.com/office/drawing/2014/main" id="{E0637E74-1910-5B44-88C1-5EBF2F546A11}"/>
            </a:ext>
            <a:ext uri="{147F2762-F138-4A5C-976F-8EAC2B608ADB}">
              <a16:predDERef xmlns:a16="http://schemas.microsoft.com/office/drawing/2014/main" pred="{FF56DD61-3423-429C-A86C-011DBDE3F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1219200"/>
          <a:ext cx="786484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1166DC0E-4A9C-6842-AC50-9829FD790BA8}"/>
            </a:ext>
            <a:ext uri="{147F2762-F138-4A5C-976F-8EAC2B608ADB}">
              <a16:predDERef xmlns:a16="http://schemas.microsoft.com/office/drawing/2014/main" pred="{3CB14136-C46D-42CD-A757-D76911A8A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180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86484" cy="774000"/>
    <xdr:pic>
      <xdr:nvPicPr>
        <xdr:cNvPr id="98" name="Picture 97" descr=" 8, 8, 7, 7,">
          <a:extLst>
            <a:ext uri="{FF2B5EF4-FFF2-40B4-BE49-F238E27FC236}">
              <a16:creationId xmlns:a16="http://schemas.microsoft.com/office/drawing/2014/main" id="{D5BE5643-4740-AD45-932C-953B162A7817}"/>
            </a:ext>
            <a:ext uri="{147F2762-F138-4A5C-976F-8EAC2B608ADB}">
              <a16:predDERef xmlns:a16="http://schemas.microsoft.com/office/drawing/2014/main" pred="{B40562A4-1C9E-49C3-9D20-DBDDD0A4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30E5FEFD-BBDB-9C42-B594-9427ED82423A}"/>
            </a:ext>
            <a:ext uri="{147F2762-F138-4A5C-976F-8EAC2B608ADB}">
              <a16:predDERef xmlns:a16="http://schemas.microsoft.com/office/drawing/2014/main" pred="{7D5B43FD-D73E-46A3-A4C9-EEC5E27F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F5D97C24-CA7F-5A4A-8F6A-33CA084F8F2F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873134BC-5836-124F-9432-DEE5F282A792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C8D92B1F-E11D-EC4B-9DF7-5DD2B42DD82E}"/>
            </a:ext>
            <a:ext uri="{147F2762-F138-4A5C-976F-8EAC2B608ADB}">
              <a16:predDERef xmlns:a16="http://schemas.microsoft.com/office/drawing/2014/main" pred="{CCA27973-E081-4591-B877-C1E880CB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03" name="Picture 102" descr="12,12, 7, 7,">
          <a:extLst>
            <a:ext uri="{FF2B5EF4-FFF2-40B4-BE49-F238E27FC236}">
              <a16:creationId xmlns:a16="http://schemas.microsoft.com/office/drawing/2014/main" id="{7D09984D-6914-E446-B810-69095CA61DAF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4" name="Picture 103" descr="12,12, 7, 7,">
          <a:extLst>
            <a:ext uri="{FF2B5EF4-FFF2-40B4-BE49-F238E27FC236}">
              <a16:creationId xmlns:a16="http://schemas.microsoft.com/office/drawing/2014/main" id="{4DD66748-DBB1-5B46-BB26-49775CA03359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EFF110F-077B-6744-8279-9748B3C3095C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504A704-C738-CE42-A622-D129E40BA94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062ECCD2-C3BC-B04D-93DA-49A5E49E6CA2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19915</xdr:colOff>
      <xdr:row>2</xdr:row>
      <xdr:rowOff>12411</xdr:rowOff>
    </xdr:from>
    <xdr:ext cx="808183" cy="796638"/>
    <xdr:pic>
      <xdr:nvPicPr>
        <xdr:cNvPr id="108" name="Picture 107" descr="Item:Chakana,Pos:1">
          <a:extLst>
            <a:ext uri="{FF2B5EF4-FFF2-40B4-BE49-F238E27FC236}">
              <a16:creationId xmlns:a16="http://schemas.microsoft.com/office/drawing/2014/main" id="{AEE7AA7B-5320-1147-83F6-F4A988620AE6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64915" y="1726911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11" name="Picture 110" descr=" 0, 0,28,28,">
          <a:extLst>
            <a:ext uri="{FF2B5EF4-FFF2-40B4-BE49-F238E27FC236}">
              <a16:creationId xmlns:a16="http://schemas.microsoft.com/office/drawing/2014/main" id="{49F25B13-BF82-CB4E-AF5D-DB2CCFE2A2E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12" name="Picture 111" descr=" 0, 0,27,27,">
          <a:extLst>
            <a:ext uri="{FF2B5EF4-FFF2-40B4-BE49-F238E27FC236}">
              <a16:creationId xmlns:a16="http://schemas.microsoft.com/office/drawing/2014/main" id="{0D78BE4A-889F-2540-B607-90461FF2C4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13" name="Picture 112" descr="28,28, 2, 2,">
          <a:extLst>
            <a:ext uri="{FF2B5EF4-FFF2-40B4-BE49-F238E27FC236}">
              <a16:creationId xmlns:a16="http://schemas.microsoft.com/office/drawing/2014/main" id="{0A3B94F8-A6B0-9B48-8ECF-AF0A804F007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14" name="Picture 113" descr="27,27, 2, 2,">
          <a:extLst>
            <a:ext uri="{FF2B5EF4-FFF2-40B4-BE49-F238E27FC236}">
              <a16:creationId xmlns:a16="http://schemas.microsoft.com/office/drawing/2014/main" id="{6DF21A15-91EF-C443-8801-F1A80306D35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5B2885C-4534-F648-A36E-636E22D3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35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D890DE6A-405F-7D45-98F6-FDF44BEC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88999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CA46C454-6B4A-AD4F-9878-DD62350E7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6212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C640D1B8-2C4C-D846-9096-3D8BBA11C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19375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15" name="Picture 114" descr="48,48,48,48, ">
          <a:extLst>
            <a:ext uri="{FF2B5EF4-FFF2-40B4-BE49-F238E27FC236}">
              <a16:creationId xmlns:a16="http://schemas.microsoft.com/office/drawing/2014/main" id="{FEC498CF-0528-104E-9D0D-E416FDDC0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76625" y="11176001"/>
          <a:ext cx="793750" cy="7937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D44100-628C-8249-9C32-E93B717B9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83CAC8C-1166-DC43-B9AE-6F9E604675D3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BEB1C17-7974-EB46-ADC8-3363B28535C1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1175C3D-8099-AB43-B60F-1468D8E45687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10312AB-9A76-2145-AD20-88F3E3DF881A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140D9B9-DF2E-E74E-863B-6F55F10A0F92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55F09A1-4F4F-1C43-84B8-70CB1A7D1A02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F1241A85-716A-214D-8DEC-C55E6D48607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09E5E12C-386B-A64F-B1DD-2D4EA0552E1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A275483-4360-BC40-863C-2194D0741383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1B38063-50A1-C048-87BD-8288B238C545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D335054-16C7-2E45-B2AE-595B0657716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CCA28E2-ACD4-D945-9F9B-3E851CF47310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0CCE827F-E6C7-2440-8866-34276BAB92F5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81F2701-D390-A34F-8C1A-98C61D8FA8C5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4408357-C517-3448-998B-B67D2923CCBD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E650ECF4-201A-324A-B8D7-BF40B2E52A43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8202E0F-4B6F-B245-B3FB-526EAA91CF8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C1A9673-D95A-5549-B3C8-E9897DF2C4E8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27F799E-66C4-8448-AE22-95E9619C07A6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617D9BC-4BF0-1F41-B471-3CC65F47EA9B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D7CABAC2-EEB8-6845-A1D1-1FCF586DD13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2A13759-D492-3946-9539-563A4B7CA089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E25CF3B-10D8-4749-92A9-D86F139A769D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5969E7-C602-F54F-8810-56DE1288CDA2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66E0C09-6FD5-224C-81F1-D4671F96D6DD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3149499-62F3-2C4B-9339-4607C4B0AAFF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71FCB67-1F75-4548-A35C-B3659A5A7288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EDBB2F3-B073-4448-A151-DC45B58B92AF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31A8239-0811-CE43-953F-FA9E9D3DBC4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E33D1ED-2338-F647-B889-F1CCFFBF791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199B493-EB8B-F748-90F7-24E262C521FD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4E4E6B6-3BB4-3C4A-850C-AFB5FE461442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26CD46B1-2F09-5045-8121-1BF03E659092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78F4CDE-F64A-3245-AD81-3BC82942D9A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57E439D-C1E3-944A-A1CC-2DE46AD905B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E4F161B-22BA-9645-9769-77106201A2E6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9E53EE7-44DE-4442-9E0E-D19982497BBD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D1CEB9-8C68-3A45-B756-404FDF889CD2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0826C15-C228-9C47-8C0A-9781765445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E9F3CC2-8C85-CB49-85BB-83FEE7490503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8CABADC-0E84-394E-91B7-7997C6812C43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928F7EFF-0CC8-F840-A154-6495DE2C0C93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A0EC73C-59A2-0948-AE7B-DAB17436D113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5755FE5-C88B-2645-B76B-D6F45C69890B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5F48198-73EB-DF49-BF49-DDE4DF98EEF6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A4D8E687-6321-6940-9BA0-26DE4ABB21D4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2741939-70AC-5A4C-9168-83D5DCD9BC80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198B91-FB05-7049-ADAE-1987F2DE08F6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6A50A11-E3ED-9B4B-8D12-8636C60C2690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75ADDBF-B54D-814C-A252-B6CD57DBB7DC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5E5EB19-6318-1E4F-BB97-C6B56510E9A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E55E479-8F1B-EE4F-97DD-C42917BF715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E553977F-8BCD-BB40-954A-467B72B16EF4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76B3BEB-4934-314B-8EEF-C47A147A5335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86048CF-A914-2946-81DF-C801BED5E31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67A79255-9185-BA4F-8767-1DBDB7617849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C43A6429-D2A8-484F-86D7-B0684043DD1A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0" name="Picture 59" descr="Enemy:Archer_RH,Pos:1">
          <a:extLst>
            <a:ext uri="{FF2B5EF4-FFF2-40B4-BE49-F238E27FC236}">
              <a16:creationId xmlns:a16="http://schemas.microsoft.com/office/drawing/2014/main" id="{5C9F2E67-3DA4-0A49-84AB-2CFD804DAEB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1" name="Picture 60" descr="Enemy:Archer_LH,Pos:1">
          <a:extLst>
            <a:ext uri="{FF2B5EF4-FFF2-40B4-BE49-F238E27FC236}">
              <a16:creationId xmlns:a16="http://schemas.microsoft.com/office/drawing/2014/main" id="{90112843-6DED-A44F-892B-98FDC32EFA7B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2" name="Picture 61">
          <a:extLst>
            <a:ext uri="{FF2B5EF4-FFF2-40B4-BE49-F238E27FC236}">
              <a16:creationId xmlns:a16="http://schemas.microsoft.com/office/drawing/2014/main" id="{035821DE-F776-A345-AA5C-21A01B29138A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3" name="Picture 62" descr="Enemy:SwordFighter_LH,Pos:1">
          <a:extLst>
            <a:ext uri="{FF2B5EF4-FFF2-40B4-BE49-F238E27FC236}">
              <a16:creationId xmlns:a16="http://schemas.microsoft.com/office/drawing/2014/main" id="{1E74369D-E163-7B42-9B7A-F6ED3F7F78B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402A616-5ACE-B044-930B-C0DEF5717FA4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BC7E3987-EA11-244A-9C7A-7443604AAA20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16CA2DA6-A99A-224A-8CFB-EEFD1E148A11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8DBB9CA0-20B6-B547-BBB0-4E39D20D59EC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D102DB99-A482-0642-A15C-F1439C4E435B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9C744445-D315-EB4E-BEF3-116D6B588A39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E865DA1F-C0BA-A34A-9553-748B2144BBA3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90222" cy="790222"/>
    <xdr:pic>
      <xdr:nvPicPr>
        <xdr:cNvPr id="71" name="Picture 70" descr="Enemy:Archer_LH,Pos:1">
          <a:extLst>
            <a:ext uri="{FF2B5EF4-FFF2-40B4-BE49-F238E27FC236}">
              <a16:creationId xmlns:a16="http://schemas.microsoft.com/office/drawing/2014/main" id="{285FBBC0-B07C-DD44-989C-D876B1C3FB82}"/>
            </a:ext>
            <a:ext uri="{147F2762-F138-4A5C-976F-8EAC2B608ADB}">
              <a16:predDERef xmlns:a16="http://schemas.microsoft.com/office/drawing/2014/main" pred="{36CA2D74-2466-4EEF-BD95-32FC95C9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5707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E41C5BDD-E7C3-4741-869C-C00F8CE21FEA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C8784CE-83BF-DE45-9E0D-7418D4B12798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301C4AB-D91F-4D4F-9518-F1E6C4B2690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34F8600-A7DE-D044-8234-69C24848C2F6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61CF0095-D253-064A-A4DC-75D79929316E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D0F3AEAD-5040-A349-8539-FF1FF0DD6CFC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B85197AF-C179-4949-8359-96A110D4BD4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B5BFDAB-C423-AF41-BD93-81E0D8A42D62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B837055-7199-6341-AE1B-65C0819A364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B505290-D925-4C40-8B07-C99DC471DFB1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FE162FB-7C26-5A44-9FD8-DB12F6C5BE4A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F633E88C-A00B-D749-9350-E0FC7082201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DC3FCC1A-5E71-5847-BBA2-7662EE050E4B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0186352-671C-E94F-A52B-DBF2B30090AD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E4AF85B6-AA11-E041-A8AB-0D9AD372AA97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0F32C15D-D103-F64D-ABC7-250416B46359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E79F2E1-782B-534F-97BF-3188DC0BC302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ED3102F-9221-5548-BD1B-F4B65311FD69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A1642238-B315-5044-8053-8AE13D00DC9E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7299269-3CFE-A746-AFB7-14E05005EFB5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7FE26E3A-CBF8-C847-B679-72047B8A832C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5245D58-2898-A448-9E04-6875AF86688B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F696CDB4-AB1F-A54B-ACB8-31138AC76888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10617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95" name="Picture 94" descr="Item:Potion,Pos:1">
          <a:extLst>
            <a:ext uri="{FF2B5EF4-FFF2-40B4-BE49-F238E27FC236}">
              <a16:creationId xmlns:a16="http://schemas.microsoft.com/office/drawing/2014/main" id="{9565C3F4-5B21-F541-8F69-3F4BC37CFD7F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3545" cy="818444"/>
    <xdr:pic>
      <xdr:nvPicPr>
        <xdr:cNvPr id="96" name="Picture 95" descr="Item:Potion,Pos:1">
          <a:extLst>
            <a:ext uri="{FF2B5EF4-FFF2-40B4-BE49-F238E27FC236}">
              <a16:creationId xmlns:a16="http://schemas.microsoft.com/office/drawing/2014/main" id="{7FF9929C-5968-BF4F-9F4A-35613FF304D5}"/>
            </a:ext>
            <a:ext uri="{147F2762-F138-4A5C-976F-8EAC2B608ADB}">
              <a16:predDERef xmlns:a16="http://schemas.microsoft.com/office/drawing/2014/main" pred="{1AD18864-1AFB-46B4-8294-AEB9C2EBC4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29743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5829FEFB-4C62-394A-A9BF-08DC4735F632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8636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98" name="Picture 97" descr="12,12, 7, 7,">
          <a:extLst>
            <a:ext uri="{FF2B5EF4-FFF2-40B4-BE49-F238E27FC236}">
              <a16:creationId xmlns:a16="http://schemas.microsoft.com/office/drawing/2014/main" id="{D79E9617-2FB7-FD40-B79B-7F048C167B54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AA083504-8809-5C49-AD72-FA37F194AFAB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238A514D-700A-1245-B59E-115478B6B5AD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B490BC52-BB38-324B-9E45-5C4E9D2667F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BF8B1079-4BB6-BC49-AD94-FC4ABDB47E53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D1ED5A07-1428-CC4C-B60D-4E51CC8BD3E3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4E0524BA-BE34-7F4A-B0F5-C2F2AFAA8825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6636" cy="808182"/>
    <xdr:pic>
      <xdr:nvPicPr>
        <xdr:cNvPr id="105" name="Picture 104" descr="Item:Sword,Pos:1">
          <a:extLst>
            <a:ext uri="{FF2B5EF4-FFF2-40B4-BE49-F238E27FC236}">
              <a16:creationId xmlns:a16="http://schemas.microsoft.com/office/drawing/2014/main" id="{771123AA-B703-EC4F-A784-127E25E669D7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254500" y="6908800"/>
          <a:ext cx="796636" cy="80818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1622360" cy="1646553"/>
    <xdr:pic>
      <xdr:nvPicPr>
        <xdr:cNvPr id="106" name="Picture 105" descr="Item:Trebochet_Left,Pos:1">
          <a:extLst>
            <a:ext uri="{FF2B5EF4-FFF2-40B4-BE49-F238E27FC236}">
              <a16:creationId xmlns:a16="http://schemas.microsoft.com/office/drawing/2014/main" id="{F58B8E32-F74B-8E46-8D0F-62DF98410BE1}"/>
            </a:ext>
            <a:ext uri="{147F2762-F138-4A5C-976F-8EAC2B608ADB}">
              <a16:predDERef xmlns:a16="http://schemas.microsoft.com/office/drawing/2014/main" pred="{5EFE9292-7284-4F22-BE2C-6A3FC045B6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6045200"/>
          <a:ext cx="1622360" cy="1646553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90223" cy="790223"/>
    <xdr:pic>
      <xdr:nvPicPr>
        <xdr:cNvPr id="107" name="Picture 106" descr="Enemy:SwordFighter_LH,Pos:1">
          <a:extLst>
            <a:ext uri="{FF2B5EF4-FFF2-40B4-BE49-F238E27FC236}">
              <a16:creationId xmlns:a16="http://schemas.microsoft.com/office/drawing/2014/main" id="{CBDCD214-C498-9E4E-B370-B22A3DDFABE9}"/>
            </a:ext>
            <a:ext uri="{147F2762-F138-4A5C-976F-8EAC2B608ADB}">
              <a16:predDERef xmlns:a16="http://schemas.microsoft.com/office/drawing/2014/main" pred="{AE3E2279-012E-4398-B2D4-E9E7269B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7658100" y="6908800"/>
          <a:ext cx="790223" cy="7902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90222" cy="790222"/>
    <xdr:pic>
      <xdr:nvPicPr>
        <xdr:cNvPr id="108" name="Picture 107" descr="Enemy:Archer_LH,Pos:1">
          <a:extLst>
            <a:ext uri="{FF2B5EF4-FFF2-40B4-BE49-F238E27FC236}">
              <a16:creationId xmlns:a16="http://schemas.microsoft.com/office/drawing/2014/main" id="{8B0728D5-7FCE-764D-8278-B24D416E02C8}"/>
            </a:ext>
            <a:ext uri="{147F2762-F138-4A5C-976F-8EAC2B608ADB}">
              <a16:predDERef xmlns:a16="http://schemas.microsoft.com/office/drawing/2014/main" pred="{60A7D541-6783-4ECF-978C-E3A36F10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653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1673995" cy="808183"/>
    <xdr:pic>
      <xdr:nvPicPr>
        <xdr:cNvPr id="109" name="Picture 108" descr="Item:SwingyThing,Pos:1">
          <a:extLst>
            <a:ext uri="{FF2B5EF4-FFF2-40B4-BE49-F238E27FC236}">
              <a16:creationId xmlns:a16="http://schemas.microsoft.com/office/drawing/2014/main" id="{5A8ECC69-57D3-9743-8993-33FA4899E195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2123400" y="1727200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B28D6B5-5992-814C-8F5D-C98B22FD2FF7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BDAC895C-4A59-A145-81A0-7389673EB00D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12" name="Picture 111" descr=" 0,22,22, 2,">
          <a:extLst>
            <a:ext uri="{FF2B5EF4-FFF2-40B4-BE49-F238E27FC236}">
              <a16:creationId xmlns:a16="http://schemas.microsoft.com/office/drawing/2014/main" id="{41622F1C-C1CF-1D48-BEA8-F297649FBF19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2974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A738021-2D97-8A4D-9D61-144DC051FF21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423168E-8D44-034D-BEF8-F14E4BA909B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2591157-74E9-0640-A50D-208E242A472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883DFA32-6BEF-F545-AE77-3584E269E061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88A99814-5C49-794E-844A-C9A11BE187AC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804333" cy="800806"/>
    <xdr:pic>
      <xdr:nvPicPr>
        <xdr:cNvPr id="118" name="Picture 117" descr="Item:LifeSaver,Pos:1">
          <a:extLst>
            <a:ext uri="{FF2B5EF4-FFF2-40B4-BE49-F238E27FC236}">
              <a16:creationId xmlns:a16="http://schemas.microsoft.com/office/drawing/2014/main" id="{C2C31DCC-62AD-8648-AECA-7CD76E8C38F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12340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EE3A700-0641-C945-83B6-3827E2F20B5B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039D0AFB-5458-DA49-BBAA-ED7932F8315E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3EBFEF4-CB1A-EF41-B5AB-F47EEAC6A5CA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253132F-1854-E04C-8C27-7D7F927C6009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5CB9B47-000B-3640-A65D-ECFFF3AF771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4584" cy="774000"/>
    <xdr:pic>
      <xdr:nvPicPr>
        <xdr:cNvPr id="124" name="Picture 123" descr=" 0, 0,38,38,">
          <a:extLst>
            <a:ext uri="{FF2B5EF4-FFF2-40B4-BE49-F238E27FC236}">
              <a16:creationId xmlns:a16="http://schemas.microsoft.com/office/drawing/2014/main" id="{C80973CE-6BC8-1F40-9BE1-4A0E2692DF93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018000" y="345440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84583" cy="774000"/>
    <xdr:pic>
      <xdr:nvPicPr>
        <xdr:cNvPr id="125" name="Picture 124" descr=" 0, 0,39,39,">
          <a:extLst>
            <a:ext uri="{FF2B5EF4-FFF2-40B4-BE49-F238E27FC236}">
              <a16:creationId xmlns:a16="http://schemas.microsoft.com/office/drawing/2014/main" id="{CB06E0CD-CD37-654E-817C-324F8EF95AD6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868900" y="3454400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3DB6247E-DD73-D342-BC58-5CE8F04D481C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719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7E54CF-4C40-884B-B16F-0AB926162B9A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591510-6CFE-014E-AC48-F577770D927D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FBF40FF-5362-974E-BC19-45FCB277939F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027E30A-E395-6445-8B9A-46EB879E1220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8905DADA-5A1F-6F47-B999-D40B7D571130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47D8F407-1406-4443-8C20-30ED31549DB2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B76C5ECB-7539-AC45-A1CA-D159CEB519E5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9750051-C63A-1B4B-BE12-530624A7E6EA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5" name="Picture 134" descr=" 0, 0, 1, 1">
          <a:extLst>
            <a:ext uri="{FF2B5EF4-FFF2-40B4-BE49-F238E27FC236}">
              <a16:creationId xmlns:a16="http://schemas.microsoft.com/office/drawing/2014/main" id="{F5576C7A-A69A-054B-BC14-CE1E33BC1EAF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36" name="Picture 135" descr=" 0, 0, 1, 1">
          <a:extLst>
            <a:ext uri="{FF2B5EF4-FFF2-40B4-BE49-F238E27FC236}">
              <a16:creationId xmlns:a16="http://schemas.microsoft.com/office/drawing/2014/main" id="{303CAD4A-A87A-234D-A058-2947EE7C405E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14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A0ED276-DAF1-274D-BCCD-7876E488D612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736FCE78-D2FA-2345-8A88-77E3D6620153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2F33C06-CBD6-AD43-9FA2-4955D2848D93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40" name="Picture 139" descr="33,33,31,31,">
          <a:extLst>
            <a:ext uri="{FF2B5EF4-FFF2-40B4-BE49-F238E27FC236}">
              <a16:creationId xmlns:a16="http://schemas.microsoft.com/office/drawing/2014/main" id="{D6E6FE06-C714-F44A-8542-0D07B730BABD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E72A0253-B5C9-054A-B9B4-80775224537D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C137CD14-273E-6747-9FBE-37B00E4218A0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43" name="Picture 142" descr="31,31,32,32,">
          <a:extLst>
            <a:ext uri="{FF2B5EF4-FFF2-40B4-BE49-F238E27FC236}">
              <a16:creationId xmlns:a16="http://schemas.microsoft.com/office/drawing/2014/main" id="{2BDD04A0-30E7-5243-84A9-AA5A4D6D9744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00111E13-5911-5E4C-B68F-9E04CC9B1AE3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5" name="Picture 144" descr="Item:Lever_RH,Pos:1,Data:1">
          <a:extLst>
            <a:ext uri="{FF2B5EF4-FFF2-40B4-BE49-F238E27FC236}">
              <a16:creationId xmlns:a16="http://schemas.microsoft.com/office/drawing/2014/main" id="{445E27AB-DDE2-DF48-BD57-BD8EA4B3837D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62000" cy="762000"/>
    <xdr:pic>
      <xdr:nvPicPr>
        <xdr:cNvPr id="146" name="Picture 145" descr=" 9, 0, 2,11, ">
          <a:extLst>
            <a:ext uri="{FF2B5EF4-FFF2-40B4-BE49-F238E27FC236}">
              <a16:creationId xmlns:a16="http://schemas.microsoft.com/office/drawing/2014/main" id="{7F208DB2-0AEC-5B4C-8D77-1EF41E463C39}"/>
            </a:ext>
            <a:ext uri="{147F2762-F138-4A5C-976F-8EAC2B608ADB}">
              <a16:predDERef xmlns:a16="http://schemas.microsoft.com/office/drawing/2014/main" pred="{AC34912F-61FA-4174-87DF-90474141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9359900" y="25908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86695" cy="776112"/>
    <xdr:pic>
      <xdr:nvPicPr>
        <xdr:cNvPr id="147" name="Picture 146" descr="Item:Lever_Portal_Auto_Closed,Pos:2,Data:256">
          <a:extLst>
            <a:ext uri="{FF2B5EF4-FFF2-40B4-BE49-F238E27FC236}">
              <a16:creationId xmlns:a16="http://schemas.microsoft.com/office/drawing/2014/main" id="{57DEAB8E-D696-6C46-8E23-178BC0769581}"/>
            </a:ext>
            <a:ext uri="{147F2762-F138-4A5C-976F-8EAC2B608ADB}">
              <a16:predDERef xmlns:a16="http://schemas.microsoft.com/office/drawing/2014/main" pred="{A631FE6B-E0B0-4225-AD0D-B136C3152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763500" y="2590800"/>
          <a:ext cx="786695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02A6E19E-7C92-974B-841F-DA17128D5A9B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49" name="Picture 148" descr="Item:Lever_Portal_Closed,Pos:2">
          <a:extLst>
            <a:ext uri="{FF2B5EF4-FFF2-40B4-BE49-F238E27FC236}">
              <a16:creationId xmlns:a16="http://schemas.microsoft.com/office/drawing/2014/main" id="{23AA53D9-8F31-8E4E-9B91-55E21FEE986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2590800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62000" cy="762000"/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1459AB7A-9D80-0840-AA4C-7F1E3B66CA8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09000" y="17272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62000" cy="762000"/>
    <xdr:pic>
      <xdr:nvPicPr>
        <xdr:cNvPr id="151" name="Picture 150" descr=" 9, 0, 2,11, ">
          <a:extLst>
            <a:ext uri="{FF2B5EF4-FFF2-40B4-BE49-F238E27FC236}">
              <a16:creationId xmlns:a16="http://schemas.microsoft.com/office/drawing/2014/main" id="{5E4F6818-9400-D247-A36B-44B806D9B113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863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5D810F6-FD44-5E4C-87F5-841CB1C16684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28B91C8-2CAE-4047-B9E7-5EF97F912ED5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54" name="Picture 153" descr=" 0,22,22, 2,">
          <a:extLst>
            <a:ext uri="{FF2B5EF4-FFF2-40B4-BE49-F238E27FC236}">
              <a16:creationId xmlns:a16="http://schemas.microsoft.com/office/drawing/2014/main" id="{1317C362-CF54-9C44-866D-F354C7C844EE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05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8081CA3-DA1E-4E46-890B-723C33E1C7B9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30ECE250-73E9-5A46-8C08-B7AC4794BD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15C4F78B-3012-6449-8C97-64D7F492F90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D2C49F47-1F29-8B4B-8831-13EE1451D58D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F80F1A07-5A33-4A48-A0B2-FC0785C1E601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86484" cy="774000"/>
    <xdr:pic>
      <xdr:nvPicPr>
        <xdr:cNvPr id="160" name="Picture 159" descr=" 8, 8, 7, 7,">
          <a:extLst>
            <a:ext uri="{FF2B5EF4-FFF2-40B4-BE49-F238E27FC236}">
              <a16:creationId xmlns:a16="http://schemas.microsoft.com/office/drawing/2014/main" id="{0CAE24BE-556E-9B42-A2E8-EB90A1E98244}"/>
            </a:ext>
            <a:ext uri="{147F2762-F138-4A5C-976F-8EAC2B608ADB}">
              <a16:predDERef xmlns:a16="http://schemas.microsoft.com/office/drawing/2014/main" pred="{2CB12D90-C1CB-4227-A3D4-5601655A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807200" y="1727200"/>
          <a:ext cx="786484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161" name="Picture 160" descr="12,12, 7, 7,">
          <a:extLst>
            <a:ext uri="{FF2B5EF4-FFF2-40B4-BE49-F238E27FC236}">
              <a16:creationId xmlns:a16="http://schemas.microsoft.com/office/drawing/2014/main" id="{A1D25426-7B76-0C44-866A-85AB6541C606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07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62" name="Picture 161" descr="12,12,12,12,">
          <a:extLst>
            <a:ext uri="{FF2B5EF4-FFF2-40B4-BE49-F238E27FC236}">
              <a16:creationId xmlns:a16="http://schemas.microsoft.com/office/drawing/2014/main" id="{0877ACF4-EC24-4145-A9EA-C614557CAF9C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5547BBD8-1D56-7F4C-B254-15BDEF7CA65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808183" cy="796638"/>
    <xdr:pic>
      <xdr:nvPicPr>
        <xdr:cNvPr id="164" name="Picture 163" descr="Item:Chakana,Pos:1">
          <a:extLst>
            <a:ext uri="{FF2B5EF4-FFF2-40B4-BE49-F238E27FC236}">
              <a16:creationId xmlns:a16="http://schemas.microsoft.com/office/drawing/2014/main" id="{63C434EB-DF53-F14B-9B1C-3B49BA47A52E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43180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93750" cy="793750"/>
    <xdr:pic>
      <xdr:nvPicPr>
        <xdr:cNvPr id="165" name="Picture 164" descr=" 0, 0, 3, 3,">
          <a:extLst>
            <a:ext uri="{FF2B5EF4-FFF2-40B4-BE49-F238E27FC236}">
              <a16:creationId xmlns:a16="http://schemas.microsoft.com/office/drawing/2014/main" id="{838FE56E-BCCD-C44F-BDF8-8B1835F37847}"/>
            </a:ext>
            <a:ext uri="{147F2762-F138-4A5C-976F-8EAC2B608ADB}">
              <a16:predDERef xmlns:a16="http://schemas.microsoft.com/office/drawing/2014/main" pred="{39625C1B-D069-4054-B345-1663757B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05400" y="4318000"/>
          <a:ext cx="793750" cy="793750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66" name="Picture 165" descr=" 0, 0,28,28,">
          <a:extLst>
            <a:ext uri="{FF2B5EF4-FFF2-40B4-BE49-F238E27FC236}">
              <a16:creationId xmlns:a16="http://schemas.microsoft.com/office/drawing/2014/main" id="{20E0BACC-33B5-E64D-BBDD-288D0A3D8E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67" name="Picture 166" descr=" 0, 0,27,27,">
          <a:extLst>
            <a:ext uri="{FF2B5EF4-FFF2-40B4-BE49-F238E27FC236}">
              <a16:creationId xmlns:a16="http://schemas.microsoft.com/office/drawing/2014/main" id="{949A014A-0A91-D445-9652-39A18B208BC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8" name="Picture 167" descr="28,28, 2, 2,">
          <a:extLst>
            <a:ext uri="{FF2B5EF4-FFF2-40B4-BE49-F238E27FC236}">
              <a16:creationId xmlns:a16="http://schemas.microsoft.com/office/drawing/2014/main" id="{A4AC9CD0-2D68-6E41-B9EB-67DCF74268D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9" name="Picture 168" descr="27,27, 2, 2,">
          <a:extLst>
            <a:ext uri="{FF2B5EF4-FFF2-40B4-BE49-F238E27FC236}">
              <a16:creationId xmlns:a16="http://schemas.microsoft.com/office/drawing/2014/main" id="{82B48A42-E8B3-1F40-BD7B-EB25D825B790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7E75D7-B54C-0941-8EA9-67D0BED35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F1FD5DC-2CD7-AD41-8858-7C345B257409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72CF4AC-4F51-1B47-AF0C-46C45F126736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555F41-23F2-414D-A59B-B37895A34757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9C0F55-A9B4-C946-A927-AFF1C2F33C64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8E1AA020-C0A4-0F41-9BB9-97D5722CCB41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CE1E29A-6541-8A41-9192-2A1F426D04E9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31AB0EA-8C4D-534D-8CBA-9868355AB372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4E8C3B9-8995-B046-9487-7BFEE5FDB789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2450A5C-E6DC-524D-B396-BF995D20D18F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EB9D6A9-9B31-0949-83A2-315947842725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BCF0970-3FB5-224A-A995-D00056E592E5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3A76AB3-E217-5947-8239-01A6BCA21D69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9F9B26A-BB3A-F24F-8A6F-C94D80FFDF64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10E91468-437E-7F42-8AF4-C0905B480B38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7AAE3DE-228D-CB47-AAB0-903F8BEE9F0C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801058B-850C-8149-B36C-141336E8A77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512DADD-BC8F-484F-86C3-D87169C16826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F73B3C51-B89F-5A44-9386-C8CDC01F44E7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988AAF8-71C5-5942-85AE-FB2C8C17F292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BA57D8E-D902-964C-9FCE-CDA7008A35DD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F4B5851-F3DA-2940-B40C-330EC50235D1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CA644BBE-AC2D-A342-996C-262272F3DD0B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D6380B-53FA-894E-8261-6A9B0679B447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41A560D-A5B5-0349-A469-0CC055A32399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5101472-611B-7944-A79C-2F95CD1A793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EED3541-DD6F-7A47-9193-B3AEF06248B9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3B969D-E568-EB4B-AE30-B6C94A9DBD2D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4B48A73-8ED9-954C-81DE-4D049A0BFF1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5E5C07F-BAFC-B84F-98EA-2E90793DA9E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80E8E361-3805-F44F-94A0-B57F3FFCFC5E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1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2589A36-F1B2-BD4F-BEF3-0C6B8E931D38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04A5FAA-F319-EC49-9E25-79087CACD7F1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84180AB-2672-054A-B59D-F745E66E951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9694FBD-055C-844A-B1C3-73FFFE41A03E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FCFC7FE-939D-DF49-B4C4-8C080EE5F029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A971AFCA-CEFF-B246-9354-99804A1DE6CB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A1A4B68-8592-3F45-8910-0962794662A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E535199-D28C-B94E-85A2-51DE78B257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FACCFEC-32BE-2B4C-992D-55DEDA228A3B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9B2C0AD-6A70-DF49-9DE3-1639AFE5C532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8C5C35F-D343-234E-A888-34E116457AB0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843B0DC-659F-6B48-A94F-3B9BA6551E97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B8FF934-634B-A645-AB1A-3399AE737703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AE561C-A465-8245-A46B-7ECFC84C409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DA5DD6B-B77B-904C-A015-F21C00FA1046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008DF4E-AB63-4540-9EE4-F87978C9F097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46211EF-B101-584B-8A87-470F438459AB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B16383B-D245-834C-96AE-E1FB066AA079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4861866-0633-7440-9397-769A8C2F4244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853BBC50-704A-BB48-AA6F-0F93AF7164E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EB4141A4-7590-D94F-92FD-425244C23687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079FD0E-6675-F747-9EB1-478532F3E545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1793D7-0A0D-0A4E-B522-C378F77A2F58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2436532F-1B97-2946-B36E-1FCB78866A2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70A7EEC-43B8-7444-B208-6DD1320AD2A8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B4FE6AE-716B-1D42-8875-6D75128FF4B1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1B31FE9-8D30-FD44-81DA-CAFCDF4B65AF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5ABF8EB-373F-D042-96B7-B6FAF816DED2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3D94987-1183-974E-A53B-D364A82E7959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F6770699-E2FB-034F-954B-30BFF57B9321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A37255C-202C-D748-A900-5B599911869F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0F88AE5C-1D8C-ED4A-A624-C48EB3F30BA7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A652B93-23EC-FF43-961F-D20A64AF89F9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E976F52-07CD-544C-9FC3-02A6716CAE15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5431548-FC9F-6948-B2D1-74C6456EB9AA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7E2B4AA-F94C-D945-8194-8063E94C93DD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F3A74C3D-789F-554B-BE7C-44D89E2D99FE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6981EC4A-080E-6A4D-81D4-DF1863A8C454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403EE89-4E49-414E-A47A-8CC0183825E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2D9707BD-2F64-424D-9B87-5CD8336AAC05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773F33C-C94B-A846-A21A-032E4F04AD9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6B5F3AF-173B-7941-B39B-D6DF532830AC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FAC3C21-727E-B24D-AC23-B1BDDD512B78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52AC36D8-4268-3E42-A0F0-9B968C033CCE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92CF878-E823-CB4A-94A1-50E277499EF3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AF29DDC1-C4BA-DA46-B696-CFC845286F09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9F246DC-0295-3D48-B960-D9A4D9C1F919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518B4B8-2555-D944-B4B2-762C4A840AC1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F4869E2-E908-3D47-B887-EBE94515C8C4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D6232C9-A559-4B4E-BD83-E643664BBAA5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40184E92-3B7A-A544-A324-50C5F5DA9CA4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4E040C9-6941-D242-9D9D-1932A5A4C746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63F3A585-727D-1D49-94A4-533902EFE29B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0770A36-2CF5-CC4E-BEE9-6A2A467A4829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C1699EA-6144-674C-A455-FEAD72653971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9" name="Picture 138" descr=" 0, 0, 1, 1">
          <a:extLst>
            <a:ext uri="{FF2B5EF4-FFF2-40B4-BE49-F238E27FC236}">
              <a16:creationId xmlns:a16="http://schemas.microsoft.com/office/drawing/2014/main" id="{40C497DC-F91B-3142-A452-6B9B10343699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DDCDAE12-AB98-2945-9821-8BC16B02C014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CD6ACEF-AA62-B64A-B297-1031E90EFB8D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E21E721-3217-2645-AE82-044CF03EFD94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53" name="Picture 152" descr="Item:Lever_Portal_Closed,Pos:4">
          <a:extLst>
            <a:ext uri="{FF2B5EF4-FFF2-40B4-BE49-F238E27FC236}">
              <a16:creationId xmlns:a16="http://schemas.microsoft.com/office/drawing/2014/main" id="{DB7B4123-CAD7-AB4F-95B3-C88AE1033EA7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0" name="Picture 169" descr=" 0, 0,28,28,">
          <a:extLst>
            <a:ext uri="{FF2B5EF4-FFF2-40B4-BE49-F238E27FC236}">
              <a16:creationId xmlns:a16="http://schemas.microsoft.com/office/drawing/2014/main" id="{7B8C28BC-60B4-BD47-91F6-7CC0419AE94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1" name="Picture 170" descr=" 0, 0,27,27,">
          <a:extLst>
            <a:ext uri="{FF2B5EF4-FFF2-40B4-BE49-F238E27FC236}">
              <a16:creationId xmlns:a16="http://schemas.microsoft.com/office/drawing/2014/main" id="{0E2156CB-FFA7-704D-AADA-8441A0E33AD4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2" name="Picture 171" descr="28,28, 2, 2,">
          <a:extLst>
            <a:ext uri="{FF2B5EF4-FFF2-40B4-BE49-F238E27FC236}">
              <a16:creationId xmlns:a16="http://schemas.microsoft.com/office/drawing/2014/main" id="{6B96972F-5ADB-C445-89AC-5E7D1EFE237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BE7138C4-A0BA-7943-930A-20DFFF8F87F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38615</xdr:colOff>
      <xdr:row>3</xdr:row>
      <xdr:rowOff>30050</xdr:rowOff>
    </xdr:from>
    <xdr:ext cx="783809" cy="783809"/>
    <xdr:pic>
      <xdr:nvPicPr>
        <xdr:cNvPr id="176" name="Picture 175" descr="Item:Lever_Portal_Open,Pos:5">
          <a:extLst>
            <a:ext uri="{FF2B5EF4-FFF2-40B4-BE49-F238E27FC236}">
              <a16:creationId xmlns:a16="http://schemas.microsoft.com/office/drawing/2014/main" id="{2B2C12B6-1BB0-5D48-B2D5-2DFCAAD0CDD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97365" y="2601800"/>
          <a:ext cx="783809" cy="783809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3</xdr:row>
      <xdr:rowOff>25400</xdr:rowOff>
    </xdr:from>
    <xdr:ext cx="774000" cy="774000"/>
    <xdr:pic>
      <xdr:nvPicPr>
        <xdr:cNvPr id="185" name="Picture 184" descr=" 4, 5, 1, 2,">
          <a:extLst>
            <a:ext uri="{FF2B5EF4-FFF2-40B4-BE49-F238E27FC236}">
              <a16:creationId xmlns:a16="http://schemas.microsoft.com/office/drawing/2014/main" id="{841C073E-0396-7B47-A9AD-D76B2EE8B7AD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41275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55450</xdr:colOff>
      <xdr:row>7</xdr:row>
      <xdr:rowOff>49100</xdr:rowOff>
    </xdr:from>
    <xdr:ext cx="1612835" cy="1646553"/>
    <xdr:pic>
      <xdr:nvPicPr>
        <xdr:cNvPr id="5" name="Picture 4" descr="Item:Trebochet_Left,Pos:1">
          <a:extLst>
            <a:ext uri="{FF2B5EF4-FFF2-40B4-BE49-F238E27FC236}">
              <a16:creationId xmlns:a16="http://schemas.microsoft.com/office/drawing/2014/main" id="{CB71A554-20E9-944F-83CD-3F5B6A8EC1C1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8627950" y="6049850"/>
          <a:ext cx="1612835" cy="1646553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CF58A2-3D45-A04B-9769-93F2D4727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421B2B-4C11-C04E-98CA-532128F00B9C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C110370-842C-5641-A325-0CF54FD72432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31D2EA07-E093-1D47-B4C9-A41DB0D6D59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B543661-1412-D949-BAD2-CB15E75120A1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2897256-3D6A-7044-A033-68F9A5F337DA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1BD02B9-EBC2-E444-87E9-65C6F468E2ED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FCCD9B2-BB8F-004B-AC72-7069438598C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76300D5-F929-4142-B96B-766846040FED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10F2712-4EAE-FB4D-973C-A4167C3FBE83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CE539F1-7CA8-0346-80FA-6883A2320E57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03EE5C-E8DB-E045-B9D7-1022988CE1D6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801AE75-100B-EA4C-85A3-1304FB869EF4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DD209976-C039-C148-92A7-38CB203DBE93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F5BEFEE-3CB1-8548-879F-8E03BD2E3BEA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76F7413-38FF-D74B-A748-A2C1843C49C1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89655FB-283D-5543-AA88-96E415F4F181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9037F73-9467-D64D-9193-A50D01551C74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F666BAA-BE86-F640-B171-028AB1B7A6D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70C25B3-32AE-A94B-90CE-D8AD39144F22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8937FA2-7F0F-3C4E-AE2E-D5FFFAA7D687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488B4AE-58EF-8E44-8E96-6498F6C4137E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40D6F07-ACBD-5F49-93FF-0B966E616D0D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3DEE96-1C03-B340-97BB-507ADBA5465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64BFF79-B562-F245-AABB-2DDC80451409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E81DC425-7214-1E41-B353-DAED0DF223F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1626CDB-929F-4D4F-AE31-050A41FECAF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5E68ACF-2DA2-7A47-AA5C-DF1C5274A476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A4652CD-E928-ED45-817E-9ECB350F5326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EEEF040-9757-CB4A-9334-2C0DAE00E3A3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748905E-9E35-AC43-A1CA-540A5D02FC45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9CF8CFF-7E28-494D-AE3A-7731827C234D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DAF2D22-01D5-5244-BAE2-C016EF5AF69B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A3666B2-834D-5944-9233-EF6EAF8A2876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4934AE83-D3A4-6D43-8AE6-CDCE9716E962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C13F869-C7FC-8346-909B-252A2CDED261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43C612F-5700-1E4B-8FA4-1F0B8D91FA6B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7869342-CBBA-5D40-B6E9-52C3BF86F085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BA1A861-25BB-B74A-BEE0-8C06626F98F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25CB23E-0B40-074B-A816-760E7C122815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5FBFA9B-DFD4-4042-9083-22E84C8E758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FF743E38-1FB3-F14C-A6DD-9BF97965E8E4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262B340-2AE4-EC48-9E8F-58D7E1813D36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46AACAD-6B4B-7040-81A8-DA0DE6FC444C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696783A6-C625-6749-B9AD-1D5FA95B7E8C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13BA7C5-BEBB-6040-ADC9-911C97996E47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FA750CD-6D80-774B-8455-52EAF6A319C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BC8F7D8-D23F-2F45-9578-9BEEFE8D55CD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7E73C01-C64E-6B40-8CBB-7846B0C0AAE6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18</xdr:col>
      <xdr:colOff>64622</xdr:colOff>
      <xdr:row>8</xdr:row>
      <xdr:rowOff>18760</xdr:rowOff>
    </xdr:from>
    <xdr:ext cx="796637" cy="796638"/>
    <xdr:pic>
      <xdr:nvPicPr>
        <xdr:cNvPr id="51" name="Picture 50" descr="Item:Lever_LH,Pos:3,Data:1">
          <a:extLst>
            <a:ext uri="{FF2B5EF4-FFF2-40B4-BE49-F238E27FC236}">
              <a16:creationId xmlns:a16="http://schemas.microsoft.com/office/drawing/2014/main" id="{82010A6D-FD82-B849-80FA-152E295717B5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95122" y="687676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41533</xdr:colOff>
      <xdr:row>12</xdr:row>
      <xdr:rowOff>52276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E9E05BBD-EEEF-8847-ACDD-CC25477E507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757533" y="1033927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92B0701-2F7D-9B43-8E56-C93A02879BD6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05879867-C8CB-6B41-8CEF-0C00130EFA0C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BA51B2E0-BC38-7C45-B781-8454771A1DE7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4C6B013-0518-2045-9837-65185D4D3DCA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7053FFF-5728-7741-A124-C98EB513A217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2A179D07-82A0-694C-A2FD-9CF008C6106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76B0BD67-6F8D-F34E-8EF1-4789275590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B17AC8CB-FCED-9F44-A9F6-37DC5000B08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B7BC9BC-C3D7-644C-BC36-F42D4805575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37F3F07B-1D99-9543-831A-2A621DBFE976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83C04DF-7D8E-4E46-A5BD-803FA713871C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2B0BFF38-DF5C-DB42-AEFA-2D3D70F90606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09B2373-AAC3-164F-86DE-5526850CFF6B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A53E013C-BA52-AE43-879A-2E1B443C0A07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0DF12E60-F561-2D49-B468-4F55F7059B37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E0E1718-845A-3742-8338-6F3E46D3CFD2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6477D0EA-C2E0-434A-A9DC-5382DDA8A7FB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07A9A0F-73A7-B949-AD97-6C6706B0E0C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1EFF11A-3E09-2744-9ADD-C057A5F20179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FB8F097-83D6-714C-8F08-30CAE284E435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7B7F5E51-C9E3-494D-ABF1-F42CBE0EC88C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77B9D15-E336-B840-A169-28D7A3F42CDD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E6D13B33-96E3-DF49-A74F-DE2E3173D9C5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E143AA14-3618-7C46-90AC-10C880F0BC55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E53B9F8D-7C16-D14E-BF79-55E9557CD48E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F380EECB-C316-174F-A523-D220F1C154DF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15875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A56E2EA8-3E03-3448-AB9F-CC2B4997B87C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45000" y="687387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67B6AD51-3A87-3F4C-B9D2-2EA463E606A6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15AE464A-215C-B547-8F57-D845A8C4A7FF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127000</xdr:colOff>
      <xdr:row>8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2D78A014-83AB-E246-9EE2-47B1685D829C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56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86892813-9E11-4949-B91C-07C5638161E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E9A274E8-5C05-B04E-93E1-06050FE3450A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5BC331C3-AB78-DB4A-8FA4-89C8618F94F3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F2E05896-A3C3-0E44-B1B6-2B419D523374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BDEB95-EB5E-9040-877E-4C2FE2594F62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D29C1383-3833-2046-9B98-279010DE887D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8BC6212-61A2-C34F-BB50-5DAB7C083B53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F1BAD0E5-34A5-FC40-A5A1-B5C1149ABE7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4E270B5-0474-F341-B715-BD991B9C80A1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AD5A7BF3-1F15-7846-9132-91620D5112D1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568E902-7A56-2A4C-A994-954BBB715A7E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EB144FB0-8C5E-A843-B874-2585193BE1B0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586270D-1A15-D845-97E0-D6C5461B9165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0B26565F-C105-F54D-991F-500F4E65884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318A91B-ECEE-0445-85F2-2CEA59ACF4C4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127000</xdr:colOff>
      <xdr:row>7</xdr:row>
      <xdr:rowOff>63500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B614B532-F711-DF45-B6E5-25A537BF1152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9500" y="6064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3333152-E197-8646-B6F2-23D9FF22B071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127661C-D571-B744-987C-A8D88719877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C6CF8939-14A0-E343-B6F5-2CC8FDA81B12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3C0579B-23B4-2B41-8FF5-16EE312A4440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547569F5-04FE-D844-A68E-6524CC1CB2A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D859C8AD-30BE-ED44-9C26-9BB3586F9F81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8E599F5C-EA63-D944-B852-1C32BBB41564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79375</xdr:colOff>
      <xdr:row>6</xdr:row>
      <xdr:rowOff>15875</xdr:rowOff>
    </xdr:from>
    <xdr:ext cx="820622" cy="808183"/>
    <xdr:pic>
      <xdr:nvPicPr>
        <xdr:cNvPr id="129" name="Picture 128" descr="Item:MysteryCrate,Pos:1,ItemType:17">
          <a:extLst>
            <a:ext uri="{FF2B5EF4-FFF2-40B4-BE49-F238E27FC236}">
              <a16:creationId xmlns:a16="http://schemas.microsoft.com/office/drawing/2014/main" id="{81B1EA50-F220-9B44-98F9-340DB08E00AB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0366375" y="5159375"/>
          <a:ext cx="820622" cy="808183"/>
        </a:xfrm>
        <a:prstGeom prst="rect">
          <a:avLst/>
        </a:prstGeom>
      </xdr:spPr>
    </xdr:pic>
    <xdr:clientData/>
  </xdr:oneCellAnchor>
  <xdr:oneCellAnchor>
    <xdr:from>
      <xdr:col>14</xdr:col>
      <xdr:colOff>174625</xdr:colOff>
      <xdr:row>8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1E28AE4-65A1-3D4F-97AC-7BB5540A5B2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6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D38AC3E9-8DD9-684D-BC22-BE0D0C7060E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E1DB60F5-EF90-854C-A5F1-A0F709A9DC70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F3E013C-46B6-F546-B761-6274BB3E06B4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505263C9-2620-CA4C-8D5D-CEE27B76BA98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FAF2A2C-6754-9143-89D5-DEA882E5218E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1AACFAEF-87BF-EB41-A225-0E863EF4100A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F6EE19CE-7BC2-2448-967F-781B79FA6681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E4B294F-C15B-F944-B3CB-440D87EC05E4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7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BCCC2EDC-76BA-E940-878A-A8E4B443D79A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126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7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FE285EB-FBD3-264B-9B8D-A9F2255E9A03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7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A2844421-065C-DD42-B47D-F6C2391C555E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66B3BAE-E091-7E49-8F43-9A3C23659AD6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1E7175B3-0119-9B4B-A7A8-B12001F9DAE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BFE03542-586C-4A4C-8499-F0C40BD3F751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65A240E2-B888-BC45-B1C9-62CC4AB6083A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62" name="Picture 161" descr="42,42,42,42, ">
          <a:extLst>
            <a:ext uri="{FF2B5EF4-FFF2-40B4-BE49-F238E27FC236}">
              <a16:creationId xmlns:a16="http://schemas.microsoft.com/office/drawing/2014/main" id="{3AA8DB49-E27E-474C-AF58-C7069C600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409650" y="95313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32</xdr:col>
      <xdr:colOff>6349</xdr:colOff>
      <xdr:row>12</xdr:row>
      <xdr:rowOff>825499</xdr:rowOff>
    </xdr:to>
    <xdr:pic>
      <xdr:nvPicPr>
        <xdr:cNvPr id="163" name="Picture 162" descr="43,43,43,43, ">
          <a:extLst>
            <a:ext uri="{FF2B5EF4-FFF2-40B4-BE49-F238E27FC236}">
              <a16:creationId xmlns:a16="http://schemas.microsoft.com/office/drawing/2014/main" id="{21F0B42A-B476-FB4F-906D-0655423F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425524" y="103790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AD3EE4D0-898A-5546-B7E1-8B42995C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E1C9C099-38C7-F441-950A-E6D8F9BCC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2B04FD11-51AB-4F4A-BFD0-BFB41DA80588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111125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A6E3C99A-8FAB-CD46-8710-D7758122B06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9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DBF439A4-F592-204B-AAD3-D59C6C0A9808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8</xdr:row>
      <xdr:rowOff>34925</xdr:rowOff>
    </xdr:from>
    <xdr:ext cx="774000" cy="774000"/>
    <xdr:pic>
      <xdr:nvPicPr>
        <xdr:cNvPr id="176" name="Picture 175" descr=" 4, 5, 1, 2,">
          <a:extLst>
            <a:ext uri="{FF2B5EF4-FFF2-40B4-BE49-F238E27FC236}">
              <a16:creationId xmlns:a16="http://schemas.microsoft.com/office/drawing/2014/main" id="{8F23FCBC-3C9A-6E46-9A4C-0F4CEAA5664B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373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7</xdr:row>
      <xdr:rowOff>44450</xdr:rowOff>
    </xdr:from>
    <xdr:ext cx="774000" cy="774000"/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075BCFA0-B003-C445-A4E5-BE2666D05815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0415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74147</xdr:colOff>
      <xdr:row>12</xdr:row>
      <xdr:rowOff>28285</xdr:rowOff>
    </xdr:from>
    <xdr:ext cx="796637" cy="796638"/>
    <xdr:pic>
      <xdr:nvPicPr>
        <xdr:cNvPr id="178" name="Picture 177" descr="Item:Lever_LH,Pos:1,Data:1">
          <a:extLst>
            <a:ext uri="{FF2B5EF4-FFF2-40B4-BE49-F238E27FC236}">
              <a16:creationId xmlns:a16="http://schemas.microsoft.com/office/drawing/2014/main" id="{209EC34D-4019-F943-A093-B276D9555161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75647" y="10315285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130433</xdr:colOff>
      <xdr:row>6</xdr:row>
      <xdr:rowOff>855551</xdr:rowOff>
    </xdr:from>
    <xdr:ext cx="806593" cy="797919"/>
    <xdr:pic>
      <xdr:nvPicPr>
        <xdr:cNvPr id="179" name="Picture 178" descr="Item:Lever_Portal_Closed,Pos:4">
          <a:extLst>
            <a:ext uri="{FF2B5EF4-FFF2-40B4-BE49-F238E27FC236}">
              <a16:creationId xmlns:a16="http://schemas.microsoft.com/office/drawing/2014/main" id="{BC063289-9B7B-4740-A9AD-F40A2536CDA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274683" y="5999051"/>
          <a:ext cx="806593" cy="797919"/>
        </a:xfrm>
        <a:prstGeom prst="rect">
          <a:avLst/>
        </a:prstGeom>
      </xdr:spPr>
    </xdr:pic>
    <xdr:clientData/>
  </xdr:oneCellAnchor>
  <xdr:oneCellAnchor>
    <xdr:from>
      <xdr:col>15</xdr:col>
      <xdr:colOff>95250</xdr:colOff>
      <xdr:row>7</xdr:row>
      <xdr:rowOff>15875</xdr:rowOff>
    </xdr:from>
    <xdr:ext cx="774000" cy="774000"/>
    <xdr:pic>
      <xdr:nvPicPr>
        <xdr:cNvPr id="180" name="Picture 179" descr=" 9,10, 2, 1,">
          <a:extLst>
            <a:ext uri="{FF2B5EF4-FFF2-40B4-BE49-F238E27FC236}">
              <a16:creationId xmlns:a16="http://schemas.microsoft.com/office/drawing/2014/main" id="{7D897429-5797-3A42-A6F4-1AFB479C02CF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5400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120650</xdr:colOff>
      <xdr:row>8</xdr:row>
      <xdr:rowOff>25400</xdr:rowOff>
    </xdr:from>
    <xdr:ext cx="774000" cy="774000"/>
    <xdr:pic>
      <xdr:nvPicPr>
        <xdr:cNvPr id="182" name="Picture 181" descr=" 9,10, 2, 1,">
          <a:extLst>
            <a:ext uri="{FF2B5EF4-FFF2-40B4-BE49-F238E27FC236}">
              <a16:creationId xmlns:a16="http://schemas.microsoft.com/office/drawing/2014/main" id="{37A9E413-733B-4147-9416-531C921E9DEB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8366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99547</xdr:colOff>
      <xdr:row>6</xdr:row>
      <xdr:rowOff>21935</xdr:rowOff>
    </xdr:from>
    <xdr:ext cx="796637" cy="796638"/>
    <xdr:pic>
      <xdr:nvPicPr>
        <xdr:cNvPr id="183" name="Picture 182" descr="Item:Lever_LH,Pos:2,Data:2">
          <a:extLst>
            <a:ext uri="{FF2B5EF4-FFF2-40B4-BE49-F238E27FC236}">
              <a16:creationId xmlns:a16="http://schemas.microsoft.com/office/drawing/2014/main" id="{713AFFB0-2E85-004E-8A00-4B36230D01D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9529297" y="516543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8</xdr:row>
      <xdr:rowOff>15875</xdr:rowOff>
    </xdr:from>
    <xdr:ext cx="830147" cy="808183"/>
    <xdr:pic>
      <xdr:nvPicPr>
        <xdr:cNvPr id="184" name="Picture 183" descr="Item:MysteryCrate,Pos:1,ItemType:17">
          <a:extLst>
            <a:ext uri="{FF2B5EF4-FFF2-40B4-BE49-F238E27FC236}">
              <a16:creationId xmlns:a16="http://schemas.microsoft.com/office/drawing/2014/main" id="{A0349B28-E3BE-7446-87D3-048E8EB92413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625" y="6873875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85091" cy="819727"/>
    <xdr:pic>
      <xdr:nvPicPr>
        <xdr:cNvPr id="185" name="Picture 184" descr="Item:PinchBar,Pos:1">
          <a:extLst>
            <a:ext uri="{FF2B5EF4-FFF2-40B4-BE49-F238E27FC236}">
              <a16:creationId xmlns:a16="http://schemas.microsoft.com/office/drawing/2014/main" id="{909FAFC3-B24E-4D44-A6F7-629612722D7C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143500" y="6858000"/>
          <a:ext cx="785091" cy="819727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2" sqref="F2"/>
    </sheetView>
  </sheetViews>
  <sheetFormatPr baseColWidth="10" defaultColWidth="11.1640625" defaultRowHeight="39" customHeight="1" x14ac:dyDescent="0.2"/>
  <sheetData>
    <row r="1" spans="3:31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39" customHeight="1" x14ac:dyDescent="0.2">
      <c r="E2" s="1">
        <v>0</v>
      </c>
      <c r="AE2" s="2"/>
    </row>
    <row r="3" spans="3:31" ht="39" customHeight="1" x14ac:dyDescent="0.2">
      <c r="E3" s="1">
        <v>1</v>
      </c>
      <c r="AE3" s="2"/>
    </row>
    <row r="4" spans="3:31" ht="39" customHeight="1" x14ac:dyDescent="0.2">
      <c r="E4" s="1">
        <v>2</v>
      </c>
      <c r="AE4" s="2"/>
    </row>
    <row r="5" spans="3:31" ht="39" customHeight="1" x14ac:dyDescent="0.2">
      <c r="E5" s="1">
        <v>3</v>
      </c>
      <c r="AE5" s="2"/>
    </row>
    <row r="6" spans="3:31" ht="39" customHeight="1" x14ac:dyDescent="0.2">
      <c r="E6" s="1">
        <v>4</v>
      </c>
      <c r="AE6" s="2"/>
    </row>
    <row r="7" spans="3:31" ht="39" customHeight="1" x14ac:dyDescent="0.2">
      <c r="E7" s="1">
        <v>5</v>
      </c>
      <c r="N7" s="3"/>
      <c r="AE7" s="2"/>
    </row>
    <row r="8" spans="3:31" ht="39" customHeight="1" x14ac:dyDescent="0.2">
      <c r="E8" s="1">
        <v>6</v>
      </c>
      <c r="AE8" s="2"/>
    </row>
    <row r="9" spans="3:31" ht="39" customHeight="1" x14ac:dyDescent="0.2">
      <c r="E9" s="1">
        <v>7</v>
      </c>
      <c r="AE9" s="2"/>
    </row>
    <row r="10" spans="3:31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1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1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6</v>
      </c>
      <c r="M13" s="6" t="s">
        <v>6</v>
      </c>
      <c r="N13" s="6" t="s">
        <v>6</v>
      </c>
      <c r="O13" s="6" t="s">
        <v>6</v>
      </c>
      <c r="P13" s="6" t="s">
        <v>66</v>
      </c>
      <c r="Q13" s="6" t="s">
        <v>68</v>
      </c>
      <c r="R13" s="6" t="s">
        <v>68</v>
      </c>
      <c r="S13" s="6" t="s">
        <v>68</v>
      </c>
      <c r="T13" s="6" t="s">
        <v>82</v>
      </c>
      <c r="U13" s="6" t="s">
        <v>83</v>
      </c>
      <c r="V13" s="6" t="s">
        <v>6</v>
      </c>
      <c r="W13" s="6" t="s">
        <v>6</v>
      </c>
      <c r="X13" s="6" t="s">
        <v>66</v>
      </c>
      <c r="Y13" s="6" t="s">
        <v>68</v>
      </c>
      <c r="Z13" s="4" t="s">
        <v>68</v>
      </c>
      <c r="AA13" s="4" t="s">
        <v>68</v>
      </c>
      <c r="AB13" s="4" t="s">
        <v>82</v>
      </c>
      <c r="AC13" s="4" t="s">
        <v>83</v>
      </c>
      <c r="AD13" s="4" t="s">
        <v>177</v>
      </c>
      <c r="AE13" s="2"/>
    </row>
    <row r="14" spans="3:31" ht="39" customHeight="1" x14ac:dyDescent="0.2">
      <c r="E14" s="1">
        <v>1</v>
      </c>
      <c r="F14" s="4" t="s">
        <v>6</v>
      </c>
      <c r="G14" s="4" t="s">
        <v>198</v>
      </c>
      <c r="H14" s="4" t="s">
        <v>82</v>
      </c>
      <c r="I14" s="4" t="s">
        <v>83</v>
      </c>
      <c r="J14" s="6" t="s">
        <v>176</v>
      </c>
      <c r="K14" s="6" t="s">
        <v>6</v>
      </c>
      <c r="L14" s="6" t="s">
        <v>6</v>
      </c>
      <c r="M14" s="4" t="s">
        <v>6</v>
      </c>
      <c r="N14" s="4" t="s">
        <v>178</v>
      </c>
      <c r="O14" s="6" t="s">
        <v>179</v>
      </c>
      <c r="P14" s="6" t="s">
        <v>179</v>
      </c>
      <c r="Q14" s="6" t="s">
        <v>6</v>
      </c>
      <c r="R14" s="6" t="s">
        <v>6</v>
      </c>
      <c r="S14" s="4" t="s">
        <v>6</v>
      </c>
      <c r="T14" s="4" t="s">
        <v>6</v>
      </c>
      <c r="U14" s="4" t="s">
        <v>6</v>
      </c>
      <c r="V14" s="4" t="s">
        <v>6</v>
      </c>
      <c r="W14" s="6" t="s">
        <v>6</v>
      </c>
      <c r="X14" s="6" t="s">
        <v>6</v>
      </c>
      <c r="Y14" s="6" t="s">
        <v>6</v>
      </c>
      <c r="Z14" s="4" t="s">
        <v>6</v>
      </c>
      <c r="AA14" s="4" t="s">
        <v>6</v>
      </c>
      <c r="AB14" s="4" t="s">
        <v>6</v>
      </c>
      <c r="AC14" s="4" t="s">
        <v>6</v>
      </c>
      <c r="AD14" s="4" t="s">
        <v>139</v>
      </c>
      <c r="AE14" s="2"/>
    </row>
    <row r="15" spans="3:31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177</v>
      </c>
      <c r="J15" s="6" t="s">
        <v>175</v>
      </c>
      <c r="K15" s="6" t="s">
        <v>176</v>
      </c>
      <c r="L15" s="4" t="s">
        <v>6</v>
      </c>
      <c r="M15" s="4" t="s">
        <v>6</v>
      </c>
      <c r="N15" s="4" t="s">
        <v>140</v>
      </c>
      <c r="O15" s="6" t="s">
        <v>6</v>
      </c>
      <c r="P15" s="6" t="s">
        <v>140</v>
      </c>
      <c r="Q15" s="6" t="s">
        <v>6</v>
      </c>
      <c r="R15" s="6" t="s">
        <v>195</v>
      </c>
      <c r="S15" s="6" t="s">
        <v>175</v>
      </c>
      <c r="T15" s="6" t="s">
        <v>195</v>
      </c>
      <c r="U15" s="6" t="s">
        <v>6</v>
      </c>
      <c r="V15" s="6" t="s">
        <v>6</v>
      </c>
      <c r="W15" s="6" t="s">
        <v>6</v>
      </c>
      <c r="X15" s="4" t="s">
        <v>6</v>
      </c>
      <c r="Y15" s="6" t="s">
        <v>6</v>
      </c>
      <c r="Z15" s="6" t="s">
        <v>6</v>
      </c>
      <c r="AA15" s="4" t="s">
        <v>6</v>
      </c>
      <c r="AB15" s="4" t="s">
        <v>198</v>
      </c>
      <c r="AC15" s="4" t="s">
        <v>175</v>
      </c>
      <c r="AD15" s="4" t="s">
        <v>139</v>
      </c>
      <c r="AE15" s="2"/>
    </row>
    <row r="16" spans="3:31" ht="39" customHeight="1" x14ac:dyDescent="0.2">
      <c r="E16" s="1">
        <v>3</v>
      </c>
      <c r="F16" s="4" t="s">
        <v>178</v>
      </c>
      <c r="G16" s="4" t="s">
        <v>179</v>
      </c>
      <c r="H16" s="4" t="s">
        <v>179</v>
      </c>
      <c r="I16" s="4" t="s">
        <v>139</v>
      </c>
      <c r="J16" s="4" t="s">
        <v>6</v>
      </c>
      <c r="K16" s="4" t="s">
        <v>66</v>
      </c>
      <c r="L16" s="4" t="s">
        <v>68</v>
      </c>
      <c r="M16" s="4" t="s">
        <v>68</v>
      </c>
      <c r="N16" s="4" t="s">
        <v>68</v>
      </c>
      <c r="O16" s="4" t="s">
        <v>66</v>
      </c>
      <c r="P16" s="4" t="s">
        <v>68</v>
      </c>
      <c r="Q16" s="4" t="s">
        <v>68</v>
      </c>
      <c r="R16" s="4" t="s">
        <v>68</v>
      </c>
      <c r="S16" s="4" t="s">
        <v>178</v>
      </c>
      <c r="T16" s="4" t="s">
        <v>179</v>
      </c>
      <c r="U16" s="4" t="s">
        <v>179</v>
      </c>
      <c r="V16" s="4" t="s">
        <v>7</v>
      </c>
      <c r="W16" s="4" t="s">
        <v>9</v>
      </c>
      <c r="X16" s="4" t="s">
        <v>8</v>
      </c>
      <c r="Y16" s="6" t="s">
        <v>66</v>
      </c>
      <c r="Z16" s="4" t="s">
        <v>68</v>
      </c>
      <c r="AA16" s="4" t="s">
        <v>68</v>
      </c>
      <c r="AB16" s="4" t="s">
        <v>68</v>
      </c>
      <c r="AC16" s="6" t="s">
        <v>175</v>
      </c>
      <c r="AD16" s="4" t="s">
        <v>139</v>
      </c>
      <c r="AE16" s="2"/>
    </row>
    <row r="17" spans="5:31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139</v>
      </c>
      <c r="J17" s="4" t="s">
        <v>6</v>
      </c>
      <c r="K17" s="4" t="s">
        <v>175</v>
      </c>
      <c r="L17" s="4" t="s">
        <v>6</v>
      </c>
      <c r="M17" s="4" t="s">
        <v>6</v>
      </c>
      <c r="N17" s="4" t="s">
        <v>6</v>
      </c>
      <c r="O17" s="4" t="s">
        <v>4</v>
      </c>
      <c r="P17" s="4" t="s">
        <v>6</v>
      </c>
      <c r="Q17" s="4" t="s">
        <v>6</v>
      </c>
      <c r="R17" s="4" t="s">
        <v>6</v>
      </c>
      <c r="S17" s="4" t="s">
        <v>6</v>
      </c>
      <c r="T17" s="6" t="s">
        <v>6</v>
      </c>
      <c r="U17" s="6" t="s">
        <v>66</v>
      </c>
      <c r="V17" s="6" t="s">
        <v>68</v>
      </c>
      <c r="W17" s="6" t="s">
        <v>68</v>
      </c>
      <c r="X17" s="4" t="s">
        <v>68</v>
      </c>
      <c r="Y17" s="6" t="s">
        <v>175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139</v>
      </c>
      <c r="AE17" s="2"/>
    </row>
    <row r="18" spans="5:31" ht="39" customHeight="1" x14ac:dyDescent="0.2">
      <c r="E18" s="1">
        <v>5</v>
      </c>
      <c r="F18" s="4" t="s">
        <v>6</v>
      </c>
      <c r="G18" s="4" t="s">
        <v>194</v>
      </c>
      <c r="H18" s="4" t="s">
        <v>6</v>
      </c>
      <c r="I18" s="4" t="s">
        <v>138</v>
      </c>
      <c r="J18" s="6" t="s">
        <v>6</v>
      </c>
      <c r="K18" s="6" t="s">
        <v>175</v>
      </c>
      <c r="L18" s="4" t="s">
        <v>6</v>
      </c>
      <c r="M18" s="4" t="s">
        <v>6</v>
      </c>
      <c r="N18" s="6" t="s">
        <v>175</v>
      </c>
      <c r="O18" s="6" t="s">
        <v>2</v>
      </c>
      <c r="P18" s="6" t="s">
        <v>175</v>
      </c>
      <c r="Q18" s="6" t="s">
        <v>6</v>
      </c>
      <c r="R18" s="6" t="s">
        <v>6</v>
      </c>
      <c r="S18" s="6" t="s">
        <v>6</v>
      </c>
      <c r="T18" s="4" t="s">
        <v>6</v>
      </c>
      <c r="U18" s="4" t="s">
        <v>6</v>
      </c>
      <c r="V18" s="6" t="s">
        <v>6</v>
      </c>
      <c r="W18" s="4" t="s">
        <v>6</v>
      </c>
      <c r="X18" s="6" t="s">
        <v>6</v>
      </c>
      <c r="Y18" s="4" t="s">
        <v>6</v>
      </c>
      <c r="Z18" s="4" t="s">
        <v>6</v>
      </c>
      <c r="AA18" s="4" t="s">
        <v>178</v>
      </c>
      <c r="AB18" s="4" t="s">
        <v>179</v>
      </c>
      <c r="AC18" s="6" t="s">
        <v>179</v>
      </c>
      <c r="AD18" s="4" t="s">
        <v>139</v>
      </c>
      <c r="AE18" s="2"/>
    </row>
    <row r="19" spans="5:31" ht="39" customHeight="1" x14ac:dyDescent="0.2">
      <c r="E19" s="1">
        <v>6</v>
      </c>
      <c r="F19" s="4" t="s">
        <v>66</v>
      </c>
      <c r="G19" s="4" t="s">
        <v>68</v>
      </c>
      <c r="H19" s="6" t="s">
        <v>68</v>
      </c>
      <c r="I19" s="6" t="s">
        <v>68</v>
      </c>
      <c r="J19" s="6" t="s">
        <v>82</v>
      </c>
      <c r="K19" s="6" t="s">
        <v>83</v>
      </c>
      <c r="L19" s="6" t="s">
        <v>6</v>
      </c>
      <c r="M19" s="4" t="s">
        <v>6</v>
      </c>
      <c r="N19" s="4" t="s">
        <v>6</v>
      </c>
      <c r="O19" s="4" t="s">
        <v>2</v>
      </c>
      <c r="P19" s="4" t="s">
        <v>6</v>
      </c>
      <c r="Q19" s="6" t="s">
        <v>6</v>
      </c>
      <c r="R19" s="6" t="s">
        <v>6</v>
      </c>
      <c r="S19" s="6" t="s">
        <v>6</v>
      </c>
      <c r="T19" s="6" t="s">
        <v>6</v>
      </c>
      <c r="U19" s="4" t="s">
        <v>6</v>
      </c>
      <c r="V19" s="4" t="s">
        <v>6</v>
      </c>
      <c r="W19" s="4" t="s">
        <v>6</v>
      </c>
      <c r="X19" s="6" t="s">
        <v>6</v>
      </c>
      <c r="Y19" s="6" t="s">
        <v>6</v>
      </c>
      <c r="Z19" s="6" t="s">
        <v>6</v>
      </c>
      <c r="AA19" s="4" t="s">
        <v>6</v>
      </c>
      <c r="AB19" s="4" t="s">
        <v>6</v>
      </c>
      <c r="AC19" s="6" t="s">
        <v>6</v>
      </c>
      <c r="AD19" s="4" t="s">
        <v>139</v>
      </c>
      <c r="AE19" s="2"/>
    </row>
    <row r="20" spans="5:31" ht="39" customHeight="1" x14ac:dyDescent="0.2">
      <c r="E20" s="1">
        <v>7</v>
      </c>
      <c r="F20" s="4" t="s">
        <v>6</v>
      </c>
      <c r="G20" s="6" t="s">
        <v>6</v>
      </c>
      <c r="H20" s="6" t="s">
        <v>206</v>
      </c>
      <c r="I20" s="6" t="s">
        <v>6</v>
      </c>
      <c r="J20" s="6" t="s">
        <v>6</v>
      </c>
      <c r="K20" s="6" t="s">
        <v>206</v>
      </c>
      <c r="L20" s="6" t="s">
        <v>6</v>
      </c>
      <c r="M20" s="6" t="s">
        <v>202</v>
      </c>
      <c r="N20" s="6" t="s">
        <v>6</v>
      </c>
      <c r="O20" s="6" t="s">
        <v>3</v>
      </c>
      <c r="P20" s="6" t="s">
        <v>6</v>
      </c>
      <c r="Q20" s="6" t="s">
        <v>6</v>
      </c>
      <c r="R20" s="6" t="s">
        <v>6</v>
      </c>
      <c r="S20" s="6" t="s">
        <v>6</v>
      </c>
      <c r="T20" s="6" t="s">
        <v>206</v>
      </c>
      <c r="U20" s="6" t="s">
        <v>6</v>
      </c>
      <c r="V20" s="6" t="s">
        <v>6</v>
      </c>
      <c r="W20" s="6" t="s">
        <v>6</v>
      </c>
      <c r="X20" s="6" t="s">
        <v>206</v>
      </c>
      <c r="Y20" s="6" t="s">
        <v>6</v>
      </c>
      <c r="Z20" s="6" t="s">
        <v>6</v>
      </c>
      <c r="AA20" s="6" t="s">
        <v>6</v>
      </c>
      <c r="AB20" s="6" t="s">
        <v>6</v>
      </c>
      <c r="AC20" s="6" t="s">
        <v>6</v>
      </c>
      <c r="AD20" s="4" t="s">
        <v>138</v>
      </c>
      <c r="AE20" s="2"/>
    </row>
    <row r="21" spans="5:31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</row>
    <row r="23" spans="5:31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1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5</v>
      </c>
      <c r="M24" t="s">
        <v>5</v>
      </c>
      <c r="N24" t="s">
        <v>5</v>
      </c>
      <c r="O24" t="s">
        <v>5</v>
      </c>
      <c r="P24" t="s">
        <v>67</v>
      </c>
      <c r="Q24" t="s">
        <v>69</v>
      </c>
      <c r="R24" t="s">
        <v>69</v>
      </c>
      <c r="S24" t="s">
        <v>69</v>
      </c>
      <c r="T24" t="s">
        <v>84</v>
      </c>
      <c r="U24" t="s">
        <v>85</v>
      </c>
      <c r="V24" t="s">
        <v>5</v>
      </c>
      <c r="W24" t="s">
        <v>5</v>
      </c>
      <c r="X24" t="s">
        <v>67</v>
      </c>
      <c r="Y24" t="s">
        <v>69</v>
      </c>
      <c r="Z24" t="s">
        <v>69</v>
      </c>
      <c r="AA24" t="s">
        <v>69</v>
      </c>
      <c r="AB24" t="s">
        <v>84</v>
      </c>
      <c r="AC24" t="s">
        <v>85</v>
      </c>
      <c r="AD24" t="s">
        <v>150</v>
      </c>
      <c r="AE24" s="2"/>
    </row>
    <row r="25" spans="5:31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5</v>
      </c>
      <c r="M25" t="s">
        <v>5</v>
      </c>
      <c r="N25" t="s">
        <v>5</v>
      </c>
      <c r="O25" t="s">
        <v>5</v>
      </c>
      <c r="P25" t="s">
        <v>67</v>
      </c>
      <c r="Q25" t="s">
        <v>69</v>
      </c>
      <c r="R25" t="s">
        <v>69</v>
      </c>
      <c r="S25" t="s">
        <v>69</v>
      </c>
      <c r="T25" t="s">
        <v>84</v>
      </c>
      <c r="U25" t="s">
        <v>85</v>
      </c>
      <c r="V25" t="s">
        <v>5</v>
      </c>
      <c r="W25" t="s">
        <v>5</v>
      </c>
      <c r="X25" t="s">
        <v>67</v>
      </c>
      <c r="Y25" t="s">
        <v>69</v>
      </c>
      <c r="Z25" t="s">
        <v>69</v>
      </c>
      <c r="AA25" t="s">
        <v>69</v>
      </c>
      <c r="AB25" t="s">
        <v>84</v>
      </c>
      <c r="AC25" t="s">
        <v>85</v>
      </c>
      <c r="AD25" t="s">
        <v>152</v>
      </c>
      <c r="AE25" s="2"/>
    </row>
    <row r="26" spans="5:31" ht="39" customHeight="1" x14ac:dyDescent="0.2">
      <c r="E26" s="1">
        <v>2</v>
      </c>
      <c r="F26" t="s">
        <v>5</v>
      </c>
      <c r="G26" t="s">
        <v>200</v>
      </c>
      <c r="H26" t="s">
        <v>84</v>
      </c>
      <c r="I26" t="s">
        <v>85</v>
      </c>
      <c r="J26" t="s">
        <v>185</v>
      </c>
      <c r="K26" t="s">
        <v>5</v>
      </c>
      <c r="L26" t="s">
        <v>5</v>
      </c>
      <c r="M26" t="s">
        <v>5</v>
      </c>
      <c r="N26" t="s">
        <v>187</v>
      </c>
      <c r="O26" t="s">
        <v>188</v>
      </c>
      <c r="P26" t="s">
        <v>188</v>
      </c>
      <c r="Q26" t="s">
        <v>5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5</v>
      </c>
      <c r="X26" t="s">
        <v>5</v>
      </c>
      <c r="Y26" t="s">
        <v>5</v>
      </c>
      <c r="Z26" t="s">
        <v>5</v>
      </c>
      <c r="AA26" t="s">
        <v>5</v>
      </c>
      <c r="AB26" t="s">
        <v>5</v>
      </c>
      <c r="AC26" t="s">
        <v>5</v>
      </c>
      <c r="AD26" t="s">
        <v>152</v>
      </c>
      <c r="AE26" s="2"/>
    </row>
    <row r="27" spans="5:31" ht="39" customHeight="1" x14ac:dyDescent="0.2">
      <c r="E27" s="1">
        <v>3</v>
      </c>
      <c r="F27" t="s">
        <v>5</v>
      </c>
      <c r="G27" t="s">
        <v>201</v>
      </c>
      <c r="H27" t="s">
        <v>84</v>
      </c>
      <c r="I27" t="s">
        <v>85</v>
      </c>
      <c r="J27" t="s">
        <v>186</v>
      </c>
      <c r="K27" t="s">
        <v>5</v>
      </c>
      <c r="L27" t="s">
        <v>5</v>
      </c>
      <c r="M27" t="s">
        <v>5</v>
      </c>
      <c r="N27" t="s">
        <v>187</v>
      </c>
      <c r="O27" t="s">
        <v>188</v>
      </c>
      <c r="P27" t="s">
        <v>188</v>
      </c>
      <c r="Q27" t="s">
        <v>5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5</v>
      </c>
      <c r="X27" t="s">
        <v>5</v>
      </c>
      <c r="Y27" t="s">
        <v>5</v>
      </c>
      <c r="Z27" t="s">
        <v>5</v>
      </c>
      <c r="AA27" t="s">
        <v>5</v>
      </c>
      <c r="AB27" t="s">
        <v>5</v>
      </c>
      <c r="AC27" t="s">
        <v>5</v>
      </c>
      <c r="AD27" t="s">
        <v>152</v>
      </c>
      <c r="AE27" s="2"/>
    </row>
    <row r="28" spans="5:31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150</v>
      </c>
      <c r="J28" t="s">
        <v>180</v>
      </c>
      <c r="K28" t="s">
        <v>185</v>
      </c>
      <c r="L28" t="s">
        <v>5</v>
      </c>
      <c r="M28" t="s">
        <v>5</v>
      </c>
      <c r="N28" t="s">
        <v>153</v>
      </c>
      <c r="O28" t="s">
        <v>5</v>
      </c>
      <c r="P28" t="s">
        <v>153</v>
      </c>
      <c r="Q28" t="s">
        <v>5</v>
      </c>
      <c r="R28" t="s">
        <v>5</v>
      </c>
      <c r="S28" t="s">
        <v>180</v>
      </c>
      <c r="T28" t="s">
        <v>5</v>
      </c>
      <c r="U28" t="s">
        <v>5</v>
      </c>
      <c r="V28" t="s">
        <v>5</v>
      </c>
      <c r="W28" t="s">
        <v>5</v>
      </c>
      <c r="X28" t="s">
        <v>5</v>
      </c>
      <c r="Y28" t="s">
        <v>5</v>
      </c>
      <c r="Z28" t="s">
        <v>5</v>
      </c>
      <c r="AA28" t="s">
        <v>5</v>
      </c>
      <c r="AB28" t="s">
        <v>200</v>
      </c>
      <c r="AC28" t="s">
        <v>180</v>
      </c>
      <c r="AD28" t="s">
        <v>152</v>
      </c>
      <c r="AE28" s="2"/>
    </row>
    <row r="29" spans="5:31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152</v>
      </c>
      <c r="J29" t="s">
        <v>181</v>
      </c>
      <c r="K29" t="s">
        <v>186</v>
      </c>
      <c r="L29" t="s">
        <v>5</v>
      </c>
      <c r="M29" t="s">
        <v>5</v>
      </c>
      <c r="N29" t="s">
        <v>153</v>
      </c>
      <c r="O29" t="s">
        <v>5</v>
      </c>
      <c r="P29" t="s">
        <v>153</v>
      </c>
      <c r="Q29" t="s">
        <v>5</v>
      </c>
      <c r="R29" t="s">
        <v>180</v>
      </c>
      <c r="S29" t="s">
        <v>181</v>
      </c>
      <c r="T29" t="s">
        <v>180</v>
      </c>
      <c r="U29" t="s">
        <v>5</v>
      </c>
      <c r="V29" t="s">
        <v>5</v>
      </c>
      <c r="W29" t="s">
        <v>5</v>
      </c>
      <c r="X29" t="s">
        <v>5</v>
      </c>
      <c r="Y29" t="s">
        <v>5</v>
      </c>
      <c r="Z29" t="s">
        <v>5</v>
      </c>
      <c r="AA29" t="s">
        <v>5</v>
      </c>
      <c r="AB29" t="s">
        <v>201</v>
      </c>
      <c r="AC29" t="s">
        <v>181</v>
      </c>
      <c r="AD29" t="s">
        <v>152</v>
      </c>
      <c r="AE29" s="2"/>
    </row>
    <row r="30" spans="5:31" ht="39" customHeight="1" x14ac:dyDescent="0.2">
      <c r="E30" s="1">
        <v>6</v>
      </c>
      <c r="F30" t="s">
        <v>187</v>
      </c>
      <c r="G30" t="s">
        <v>188</v>
      </c>
      <c r="H30" t="s">
        <v>188</v>
      </c>
      <c r="I30" t="s">
        <v>152</v>
      </c>
      <c r="J30" t="s">
        <v>5</v>
      </c>
      <c r="K30" t="s">
        <v>67</v>
      </c>
      <c r="L30" t="s">
        <v>69</v>
      </c>
      <c r="M30" t="s">
        <v>69</v>
      </c>
      <c r="N30" t="s">
        <v>69</v>
      </c>
      <c r="O30" t="s">
        <v>67</v>
      </c>
      <c r="P30" t="s">
        <v>69</v>
      </c>
      <c r="Q30" t="s">
        <v>69</v>
      </c>
      <c r="R30" t="s">
        <v>69</v>
      </c>
      <c r="S30" t="s">
        <v>187</v>
      </c>
      <c r="T30" t="s">
        <v>188</v>
      </c>
      <c r="U30" t="s">
        <v>188</v>
      </c>
      <c r="V30" t="s">
        <v>5</v>
      </c>
      <c r="W30" t="s">
        <v>5</v>
      </c>
      <c r="X30" t="s">
        <v>5</v>
      </c>
      <c r="Y30" t="s">
        <v>67</v>
      </c>
      <c r="Z30" t="s">
        <v>69</v>
      </c>
      <c r="AA30" t="s">
        <v>69</v>
      </c>
      <c r="AB30" t="s">
        <v>69</v>
      </c>
      <c r="AC30" t="s">
        <v>180</v>
      </c>
      <c r="AD30" t="s">
        <v>152</v>
      </c>
      <c r="AE30" s="2"/>
    </row>
    <row r="31" spans="5:31" ht="39" customHeight="1" x14ac:dyDescent="0.2">
      <c r="E31" s="1">
        <v>7</v>
      </c>
      <c r="F31" t="s">
        <v>187</v>
      </c>
      <c r="G31" t="s">
        <v>188</v>
      </c>
      <c r="H31" t="s">
        <v>188</v>
      </c>
      <c r="I31" t="s">
        <v>152</v>
      </c>
      <c r="J31" t="s">
        <v>5</v>
      </c>
      <c r="K31" t="s">
        <v>67</v>
      </c>
      <c r="L31" t="s">
        <v>69</v>
      </c>
      <c r="M31" t="s">
        <v>69</v>
      </c>
      <c r="N31" t="s">
        <v>69</v>
      </c>
      <c r="O31" t="s">
        <v>67</v>
      </c>
      <c r="P31" t="s">
        <v>69</v>
      </c>
      <c r="Q31" t="s">
        <v>69</v>
      </c>
      <c r="R31" t="s">
        <v>69</v>
      </c>
      <c r="S31" t="s">
        <v>187</v>
      </c>
      <c r="T31" t="s">
        <v>188</v>
      </c>
      <c r="U31" t="s">
        <v>188</v>
      </c>
      <c r="V31" t="s">
        <v>192</v>
      </c>
      <c r="W31" t="s">
        <v>191</v>
      </c>
      <c r="X31" t="s">
        <v>190</v>
      </c>
      <c r="Y31" t="s">
        <v>67</v>
      </c>
      <c r="Z31" t="s">
        <v>69</v>
      </c>
      <c r="AA31" t="s">
        <v>69</v>
      </c>
      <c r="AB31" t="s">
        <v>69</v>
      </c>
      <c r="AC31" t="s">
        <v>181</v>
      </c>
      <c r="AD31" t="s">
        <v>152</v>
      </c>
      <c r="AE31" s="2"/>
    </row>
    <row r="32" spans="5:31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152</v>
      </c>
      <c r="J32" t="s">
        <v>5</v>
      </c>
      <c r="K32" t="s">
        <v>180</v>
      </c>
      <c r="L32" t="s">
        <v>5</v>
      </c>
      <c r="M32" t="s">
        <v>5</v>
      </c>
      <c r="N32" t="s">
        <v>5</v>
      </c>
      <c r="O32" t="s">
        <v>182</v>
      </c>
      <c r="P32" t="s">
        <v>5</v>
      </c>
      <c r="Q32" t="s">
        <v>5</v>
      </c>
      <c r="R32" t="s">
        <v>5</v>
      </c>
      <c r="S32" t="s">
        <v>5</v>
      </c>
      <c r="T32" t="s">
        <v>5</v>
      </c>
      <c r="U32" t="s">
        <v>67</v>
      </c>
      <c r="V32" t="s">
        <v>69</v>
      </c>
      <c r="W32" t="s">
        <v>69</v>
      </c>
      <c r="X32" t="s">
        <v>69</v>
      </c>
      <c r="Y32" t="s">
        <v>180</v>
      </c>
      <c r="Z32" t="s">
        <v>5</v>
      </c>
      <c r="AA32" t="s">
        <v>5</v>
      </c>
      <c r="AB32" t="s">
        <v>5</v>
      </c>
      <c r="AC32" t="s">
        <v>5</v>
      </c>
      <c r="AD32" t="s">
        <v>152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152</v>
      </c>
      <c r="J33" t="s">
        <v>5</v>
      </c>
      <c r="K33" t="s">
        <v>181</v>
      </c>
      <c r="L33" t="s">
        <v>5</v>
      </c>
      <c r="M33" t="s">
        <v>5</v>
      </c>
      <c r="N33" t="s">
        <v>5</v>
      </c>
      <c r="O33" t="s">
        <v>183</v>
      </c>
      <c r="P33" t="s">
        <v>5</v>
      </c>
      <c r="Q33" t="s">
        <v>5</v>
      </c>
      <c r="R33" t="s">
        <v>5</v>
      </c>
      <c r="S33" t="s">
        <v>5</v>
      </c>
      <c r="T33" t="s">
        <v>5</v>
      </c>
      <c r="U33" t="s">
        <v>67</v>
      </c>
      <c r="V33" t="s">
        <v>69</v>
      </c>
      <c r="W33" t="s">
        <v>69</v>
      </c>
      <c r="X33" t="s">
        <v>69</v>
      </c>
      <c r="Y33" t="s">
        <v>181</v>
      </c>
      <c r="Z33" t="s">
        <v>5</v>
      </c>
      <c r="AA33" t="s">
        <v>5</v>
      </c>
      <c r="AB33" t="s">
        <v>5</v>
      </c>
      <c r="AC33" t="s">
        <v>5</v>
      </c>
      <c r="AD33" t="s">
        <v>152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152</v>
      </c>
      <c r="J34" t="s">
        <v>5</v>
      </c>
      <c r="K34" t="s">
        <v>180</v>
      </c>
      <c r="L34" t="s">
        <v>5</v>
      </c>
      <c r="M34" t="s">
        <v>5</v>
      </c>
      <c r="N34" t="s">
        <v>180</v>
      </c>
      <c r="O34" t="s">
        <v>183</v>
      </c>
      <c r="P34" t="s">
        <v>180</v>
      </c>
      <c r="Q34" t="s">
        <v>5</v>
      </c>
      <c r="R34" t="s">
        <v>5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5</v>
      </c>
      <c r="Y34" t="s">
        <v>5</v>
      </c>
      <c r="Z34" t="s">
        <v>5</v>
      </c>
      <c r="AA34" t="s">
        <v>187</v>
      </c>
      <c r="AB34" t="s">
        <v>188</v>
      </c>
      <c r="AC34" t="s">
        <v>188</v>
      </c>
      <c r="AD34" t="s">
        <v>152</v>
      </c>
      <c r="AE34" s="2"/>
    </row>
    <row r="35" spans="5:31" ht="39" customHeight="1" x14ac:dyDescent="0.2">
      <c r="E35" s="1">
        <v>11</v>
      </c>
      <c r="F35" t="s">
        <v>5</v>
      </c>
      <c r="G35" t="s">
        <v>193</v>
      </c>
      <c r="H35" t="s">
        <v>5</v>
      </c>
      <c r="I35" t="s">
        <v>151</v>
      </c>
      <c r="J35" t="s">
        <v>5</v>
      </c>
      <c r="K35" t="s">
        <v>181</v>
      </c>
      <c r="L35" t="s">
        <v>5</v>
      </c>
      <c r="M35" t="s">
        <v>5</v>
      </c>
      <c r="N35" t="s">
        <v>181</v>
      </c>
      <c r="O35" t="s">
        <v>183</v>
      </c>
      <c r="P35" t="s">
        <v>181</v>
      </c>
      <c r="Q35" t="s">
        <v>5</v>
      </c>
      <c r="R35" t="s">
        <v>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5</v>
      </c>
      <c r="Y35" t="s">
        <v>5</v>
      </c>
      <c r="Z35" t="s">
        <v>5</v>
      </c>
      <c r="AA35" t="s">
        <v>187</v>
      </c>
      <c r="AB35" t="s">
        <v>188</v>
      </c>
      <c r="AC35" t="s">
        <v>188</v>
      </c>
      <c r="AD35" t="s">
        <v>152</v>
      </c>
      <c r="AE35" s="2"/>
    </row>
    <row r="36" spans="5:31" ht="39" customHeight="1" x14ac:dyDescent="0.2">
      <c r="E36" s="1">
        <v>12</v>
      </c>
      <c r="F36" t="s">
        <v>67</v>
      </c>
      <c r="G36" t="s">
        <v>69</v>
      </c>
      <c r="H36" t="s">
        <v>69</v>
      </c>
      <c r="I36" t="s">
        <v>69</v>
      </c>
      <c r="J36" t="s">
        <v>84</v>
      </c>
      <c r="K36" t="s">
        <v>85</v>
      </c>
      <c r="L36" t="s">
        <v>5</v>
      </c>
      <c r="M36" t="s">
        <v>5</v>
      </c>
      <c r="N36" t="s">
        <v>5</v>
      </c>
      <c r="O36" t="s">
        <v>183</v>
      </c>
      <c r="P36" t="s">
        <v>5</v>
      </c>
      <c r="Q36" t="s">
        <v>5</v>
      </c>
      <c r="R36" t="s">
        <v>5</v>
      </c>
      <c r="S36" t="s">
        <v>5</v>
      </c>
      <c r="T36" t="s">
        <v>5</v>
      </c>
      <c r="U36" t="s">
        <v>5</v>
      </c>
      <c r="V36" t="s">
        <v>5</v>
      </c>
      <c r="W36" t="s">
        <v>5</v>
      </c>
      <c r="X36" t="s">
        <v>5</v>
      </c>
      <c r="Y36" t="s">
        <v>5</v>
      </c>
      <c r="Z36" t="s">
        <v>5</v>
      </c>
      <c r="AA36" t="s">
        <v>5</v>
      </c>
      <c r="AB36" t="s">
        <v>5</v>
      </c>
      <c r="AC36" t="s">
        <v>5</v>
      </c>
      <c r="AD36" t="s">
        <v>152</v>
      </c>
      <c r="AE36" s="2"/>
    </row>
    <row r="37" spans="5:31" ht="39" customHeight="1" x14ac:dyDescent="0.2">
      <c r="E37" s="1">
        <v>13</v>
      </c>
      <c r="F37" t="s">
        <v>67</v>
      </c>
      <c r="G37" t="s">
        <v>69</v>
      </c>
      <c r="H37" t="s">
        <v>69</v>
      </c>
      <c r="I37" t="s">
        <v>69</v>
      </c>
      <c r="J37" t="s">
        <v>84</v>
      </c>
      <c r="K37" t="s">
        <v>85</v>
      </c>
      <c r="L37" t="s">
        <v>5</v>
      </c>
      <c r="M37" t="s">
        <v>5</v>
      </c>
      <c r="N37" t="s">
        <v>5</v>
      </c>
      <c r="O37" t="s">
        <v>183</v>
      </c>
      <c r="P37" t="s">
        <v>5</v>
      </c>
      <c r="Q37" t="s">
        <v>5</v>
      </c>
      <c r="R37" t="s">
        <v>5</v>
      </c>
      <c r="S37" t="s">
        <v>5</v>
      </c>
      <c r="T37" t="s">
        <v>5</v>
      </c>
      <c r="U37" t="s">
        <v>5</v>
      </c>
      <c r="V37" t="s">
        <v>5</v>
      </c>
      <c r="W37" t="s">
        <v>5</v>
      </c>
      <c r="X37" t="s">
        <v>5</v>
      </c>
      <c r="Y37" t="s">
        <v>5</v>
      </c>
      <c r="Z37" t="s">
        <v>5</v>
      </c>
      <c r="AA37" t="s">
        <v>5</v>
      </c>
      <c r="AB37" t="s">
        <v>5</v>
      </c>
      <c r="AC37" t="s">
        <v>5</v>
      </c>
      <c r="AD37" t="s">
        <v>152</v>
      </c>
      <c r="AE37" s="2"/>
    </row>
    <row r="38" spans="5:31" ht="39" customHeight="1" x14ac:dyDescent="0.2">
      <c r="E38" s="1">
        <v>14</v>
      </c>
      <c r="F38" t="s">
        <v>5</v>
      </c>
      <c r="G38" t="s">
        <v>5</v>
      </c>
      <c r="H38" t="s">
        <v>207</v>
      </c>
      <c r="I38" t="s">
        <v>5</v>
      </c>
      <c r="J38" t="s">
        <v>5</v>
      </c>
      <c r="K38" t="s">
        <v>207</v>
      </c>
      <c r="L38" t="s">
        <v>5</v>
      </c>
      <c r="M38" t="s">
        <v>203</v>
      </c>
      <c r="N38" t="s">
        <v>5</v>
      </c>
      <c r="O38" t="s">
        <v>183</v>
      </c>
      <c r="P38" t="s">
        <v>5</v>
      </c>
      <c r="Q38" t="s">
        <v>5</v>
      </c>
      <c r="R38" t="s">
        <v>5</v>
      </c>
      <c r="S38" t="s">
        <v>5</v>
      </c>
      <c r="T38" t="s">
        <v>207</v>
      </c>
      <c r="U38" t="s">
        <v>5</v>
      </c>
      <c r="V38" t="s">
        <v>5</v>
      </c>
      <c r="W38" t="s">
        <v>5</v>
      </c>
      <c r="X38" t="s">
        <v>207</v>
      </c>
      <c r="Y38" t="s">
        <v>5</v>
      </c>
      <c r="Z38" t="s">
        <v>5</v>
      </c>
      <c r="AA38" t="s">
        <v>5</v>
      </c>
      <c r="AB38" t="s">
        <v>5</v>
      </c>
      <c r="AC38" t="s">
        <v>5</v>
      </c>
      <c r="AD38" t="s">
        <v>152</v>
      </c>
      <c r="AE38" s="2"/>
    </row>
    <row r="39" spans="5:31" ht="39" customHeight="1" x14ac:dyDescent="0.2">
      <c r="E39" s="1">
        <v>15</v>
      </c>
      <c r="F39" t="s">
        <v>5</v>
      </c>
      <c r="G39" t="s">
        <v>5</v>
      </c>
      <c r="H39" t="s">
        <v>207</v>
      </c>
      <c r="I39" t="s">
        <v>5</v>
      </c>
      <c r="J39" t="s">
        <v>5</v>
      </c>
      <c r="K39" t="s">
        <v>207</v>
      </c>
      <c r="L39" t="s">
        <v>5</v>
      </c>
      <c r="M39" t="s">
        <v>203</v>
      </c>
      <c r="N39" t="s">
        <v>5</v>
      </c>
      <c r="O39" t="s">
        <v>184</v>
      </c>
      <c r="P39" t="s">
        <v>5</v>
      </c>
      <c r="Q39" t="s">
        <v>5</v>
      </c>
      <c r="R39" t="s">
        <v>5</v>
      </c>
      <c r="S39" t="s">
        <v>5</v>
      </c>
      <c r="T39" t="s">
        <v>207</v>
      </c>
      <c r="U39" t="s">
        <v>5</v>
      </c>
      <c r="V39" t="s">
        <v>5</v>
      </c>
      <c r="W39" t="s">
        <v>5</v>
      </c>
      <c r="X39" t="s">
        <v>207</v>
      </c>
      <c r="Y39" t="s">
        <v>5</v>
      </c>
      <c r="Z39" t="s">
        <v>5</v>
      </c>
      <c r="AA39" t="s">
        <v>5</v>
      </c>
      <c r="AB39" t="s">
        <v>5</v>
      </c>
      <c r="AC39" t="s">
        <v>5</v>
      </c>
      <c r="AD39" t="s">
        <v>151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2A948-75D7-6E41-98E2-ECBCF64F17BF}">
  <sheetPr codeName="Sheet7"/>
  <dimension ref="C1:AE259"/>
  <sheetViews>
    <sheetView zoomScale="80" zoomScaleNormal="80" workbookViewId="0">
      <selection activeCell="F17" sqref="F17:F3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95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87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17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 t="s">
        <v>12</v>
      </c>
    </row>
    <row r="78" spans="6:15" ht="18" customHeight="1" x14ac:dyDescent="0.25">
      <c r="F78" s="7"/>
    </row>
    <row r="79" spans="6:15" ht="18" customHeight="1" x14ac:dyDescent="0.25">
      <c r="F79" s="7" t="str">
        <f ca="1">_xlfn.CONCAT("uint16_t ", _xlfn.TEXTAFTER(CELL("filename"),"]"), "_Enemies[] = {")</f>
        <v>uint16_t Level_02_Enemies[] = {</v>
      </c>
    </row>
    <row r="80" spans="6:15" ht="18" customHeight="1" x14ac:dyDescent="0.25">
      <c r="F80" s="7" t="s">
        <v>18</v>
      </c>
    </row>
    <row r="81" spans="6:6" ht="18" customHeight="1" x14ac:dyDescent="0.25">
      <c r="F81" s="7" t="s">
        <v>15</v>
      </c>
    </row>
    <row r="82" spans="6:6" ht="18" customHeight="1" x14ac:dyDescent="0.25">
      <c r="F82" s="7" t="s">
        <v>16</v>
      </c>
    </row>
    <row r="83" spans="6:6" ht="18" customHeight="1" x14ac:dyDescent="0.25">
      <c r="F83" s="7" t="s">
        <v>19</v>
      </c>
    </row>
    <row r="84" spans="6:6" ht="18" customHeight="1" x14ac:dyDescent="0.25">
      <c r="F84" s="7" t="s">
        <v>20</v>
      </c>
    </row>
    <row r="85" spans="6:6" ht="18" customHeight="1" x14ac:dyDescent="0.25">
      <c r="F85" s="7"/>
    </row>
    <row r="86" spans="6:6" ht="18" customHeight="1" x14ac:dyDescent="0.25">
      <c r="F86" s="7" t="s">
        <v>18</v>
      </c>
    </row>
    <row r="87" spans="6:6" ht="18" customHeight="1" x14ac:dyDescent="0.25">
      <c r="F87" s="7" t="s">
        <v>15</v>
      </c>
    </row>
    <row r="88" spans="6:6" ht="18" customHeight="1" x14ac:dyDescent="0.25">
      <c r="F88" s="7" t="s">
        <v>16</v>
      </c>
    </row>
    <row r="89" spans="6:6" ht="18" customHeight="1" x14ac:dyDescent="0.25">
      <c r="F89" s="7" t="s">
        <v>19</v>
      </c>
    </row>
    <row r="90" spans="6:6" ht="18" customHeight="1" x14ac:dyDescent="0.25">
      <c r="F90" s="7" t="s">
        <v>20</v>
      </c>
    </row>
    <row r="91" spans="6:6" ht="18" customHeight="1" x14ac:dyDescent="0.25">
      <c r="F91" s="7"/>
    </row>
    <row r="92" spans="6:6" ht="18" customHeight="1" x14ac:dyDescent="0.25">
      <c r="F92" s="7" t="s">
        <v>18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19</v>
      </c>
    </row>
    <row r="96" spans="6:6" ht="18" customHeight="1" x14ac:dyDescent="0.25">
      <c r="F96" s="7" t="s">
        <v>20</v>
      </c>
    </row>
    <row r="97" spans="6:6" ht="18" customHeight="1" x14ac:dyDescent="0.25">
      <c r="F97" s="7"/>
    </row>
    <row r="98" spans="6:6" ht="18" customHeight="1" x14ac:dyDescent="0.25">
      <c r="F98" s="7" t="s">
        <v>18</v>
      </c>
    </row>
    <row r="99" spans="6:6" ht="18" customHeight="1" x14ac:dyDescent="0.25">
      <c r="F99" s="7" t="s">
        <v>15</v>
      </c>
    </row>
    <row r="100" spans="6:6" ht="18" customHeight="1" x14ac:dyDescent="0.25">
      <c r="F100" s="7" t="s">
        <v>16</v>
      </c>
    </row>
    <row r="101" spans="6:6" ht="18" customHeight="1" x14ac:dyDescent="0.25">
      <c r="F101" s="7" t="s">
        <v>19</v>
      </c>
    </row>
    <row r="102" spans="6:6" ht="18" customHeight="1" x14ac:dyDescent="0.25">
      <c r="F102" s="7" t="s">
        <v>20</v>
      </c>
    </row>
    <row r="103" spans="6:6" ht="18" customHeight="1" x14ac:dyDescent="0.25">
      <c r="F103" s="7" t="s">
        <v>12</v>
      </c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A14" sqref="A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120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197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133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111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102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189</v>
      </c>
    </row>
    <row r="79" spans="6:15" ht="18" customHeight="1" x14ac:dyDescent="0.25">
      <c r="F79" s="7" t="s">
        <v>70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189</v>
      </c>
    </row>
    <row r="86" spans="6:6" ht="18" customHeight="1" x14ac:dyDescent="0.25">
      <c r="F86" s="7" t="s">
        <v>87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110</v>
      </c>
    </row>
    <row r="93" spans="6:6" ht="18" customHeight="1" x14ac:dyDescent="0.25">
      <c r="F93" s="7" t="s">
        <v>95</v>
      </c>
    </row>
    <row r="94" spans="6:6" ht="18" customHeight="1" x14ac:dyDescent="0.25">
      <c r="F94" s="7" t="s">
        <v>97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112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119</v>
      </c>
    </row>
    <row r="100" spans="6:6" ht="18" customHeight="1" x14ac:dyDescent="0.25">
      <c r="F100" s="7" t="s">
        <v>104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Level_02_Enemies[]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tabSelected="1" topLeftCell="A4" zoomScale="80" zoomScaleNormal="80" workbookViewId="0">
      <selection activeCell="F16" sqref="F16:F159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73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118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97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156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92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106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91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117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61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92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72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189</v>
      </c>
    </row>
    <row r="79" spans="6:15" ht="18" customHeight="1" x14ac:dyDescent="0.25">
      <c r="F79" s="7" t="s">
        <v>77</v>
      </c>
    </row>
    <row r="80" spans="6:15" ht="18" customHeight="1" x14ac:dyDescent="0.25">
      <c r="F80" s="7" t="s">
        <v>72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141</v>
      </c>
    </row>
    <row r="86" spans="6:6" ht="18" customHeight="1" x14ac:dyDescent="0.25">
      <c r="F86" s="7" t="s">
        <v>71</v>
      </c>
    </row>
    <row r="87" spans="6:6" ht="18" customHeight="1" x14ac:dyDescent="0.25">
      <c r="F87" s="7" t="s">
        <v>78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110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102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204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128</v>
      </c>
    </row>
    <row r="100" spans="6:6" ht="18" customHeight="1" x14ac:dyDescent="0.25">
      <c r="F100" s="7" t="s">
        <v>103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199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110</v>
      </c>
    </row>
    <row r="107" spans="6:6" ht="18" customHeight="1" x14ac:dyDescent="0.25">
      <c r="F107" s="7" t="s">
        <v>120</v>
      </c>
    </row>
    <row r="108" spans="6:6" ht="18" customHeight="1" x14ac:dyDescent="0.25">
      <c r="F108" s="7" t="s">
        <v>97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116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119</v>
      </c>
    </row>
    <row r="114" spans="6:6" ht="18" customHeight="1" x14ac:dyDescent="0.25">
      <c r="F114" s="7" t="s">
        <v>114</v>
      </c>
    </row>
    <row r="115" spans="6:6" ht="18" customHeight="1" x14ac:dyDescent="0.25">
      <c r="F115" s="7" t="s">
        <v>80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130</v>
      </c>
    </row>
    <row r="121" spans="6:6" ht="18" customHeight="1" x14ac:dyDescent="0.25">
      <c r="F121" s="7" t="s">
        <v>103</v>
      </c>
    </row>
    <row r="122" spans="6:6" ht="18" customHeight="1" x14ac:dyDescent="0.25">
      <c r="F122" s="7" t="s">
        <v>80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65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17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_xlfn.CONCAT("uint16_t ", _xlfn.TEXTAFTER(CELL("filename"),"]"), "_Enemies[] = {")</f>
        <v>uint16_t Level_02_Enemies[] = {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145</v>
      </c>
    </row>
    <row r="138" spans="6:6" ht="18" customHeight="1" x14ac:dyDescent="0.25">
      <c r="F138" s="7" t="s">
        <v>16</v>
      </c>
    </row>
    <row r="139" spans="6:6" ht="18" customHeight="1" x14ac:dyDescent="0.25">
      <c r="F139" s="7" t="s">
        <v>208</v>
      </c>
    </row>
    <row r="140" spans="6:6" ht="18" customHeight="1" x14ac:dyDescent="0.25">
      <c r="F140" s="7" t="s">
        <v>147</v>
      </c>
    </row>
    <row r="141" spans="6:6" ht="18" customHeight="1" x14ac:dyDescent="0.25">
      <c r="F141" s="7"/>
    </row>
    <row r="142" spans="6:6" ht="18" customHeight="1" x14ac:dyDescent="0.25">
      <c r="F142" s="7" t="s">
        <v>18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16</v>
      </c>
    </row>
    <row r="145" spans="6:6" ht="18" customHeight="1" x14ac:dyDescent="0.25">
      <c r="F145" s="7" t="s">
        <v>19</v>
      </c>
    </row>
    <row r="146" spans="6:6" ht="18" customHeight="1" x14ac:dyDescent="0.25">
      <c r="F146" s="7" t="s">
        <v>20</v>
      </c>
    </row>
    <row r="147" spans="6:6" ht="18" customHeight="1" x14ac:dyDescent="0.25">
      <c r="F147" s="7"/>
    </row>
    <row r="148" spans="6:6" ht="18" customHeight="1" x14ac:dyDescent="0.25">
      <c r="F148" s="7" t="s">
        <v>18</v>
      </c>
    </row>
    <row r="149" spans="6:6" ht="18" customHeight="1" x14ac:dyDescent="0.25">
      <c r="F149" s="7" t="s">
        <v>15</v>
      </c>
    </row>
    <row r="150" spans="6:6" ht="18" customHeight="1" x14ac:dyDescent="0.25">
      <c r="F150" s="7" t="s">
        <v>16</v>
      </c>
    </row>
    <row r="151" spans="6:6" ht="18" customHeight="1" x14ac:dyDescent="0.25">
      <c r="F151" s="7" t="s">
        <v>19</v>
      </c>
    </row>
    <row r="152" spans="6:6" ht="18" customHeight="1" x14ac:dyDescent="0.25">
      <c r="F152" s="7" t="s">
        <v>20</v>
      </c>
    </row>
    <row r="153" spans="6:6" ht="18" customHeight="1" x14ac:dyDescent="0.25">
      <c r="F153" s="7"/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16</v>
      </c>
    </row>
    <row r="157" spans="6:6" ht="18" customHeight="1" x14ac:dyDescent="0.25">
      <c r="F157" s="7" t="s">
        <v>19</v>
      </c>
    </row>
    <row r="158" spans="6:6" ht="18" customHeight="1" x14ac:dyDescent="0.25">
      <c r="F158" s="7" t="s">
        <v>20</v>
      </c>
    </row>
    <row r="159" spans="6:6" ht="18" customHeight="1" x14ac:dyDescent="0.25">
      <c r="F159" s="7" t="s">
        <v>12</v>
      </c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G12" sqref="G1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70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92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129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71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116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128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78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131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130</v>
      </c>
    </row>
    <row r="100" spans="6:6" ht="18" customHeight="1" x14ac:dyDescent="0.25">
      <c r="F100" s="7" t="s">
        <v>118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21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113</v>
      </c>
    </row>
    <row r="107" spans="6:6" ht="18" customHeight="1" x14ac:dyDescent="0.25">
      <c r="F107" s="7" t="s">
        <v>117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132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189</v>
      </c>
    </row>
    <row r="114" spans="6:6" ht="18" customHeight="1" x14ac:dyDescent="0.25">
      <c r="F114" s="7" t="s">
        <v>136</v>
      </c>
    </row>
    <row r="115" spans="6:6" ht="18" customHeight="1" x14ac:dyDescent="0.25">
      <c r="F115" s="7" t="s">
        <v>97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65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17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 t="s">
        <v>12</v>
      </c>
    </row>
    <row r="127" spans="6:6" ht="18" customHeight="1" x14ac:dyDescent="0.25">
      <c r="F127" s="7"/>
    </row>
    <row r="128" spans="6:6" ht="18" customHeight="1" x14ac:dyDescent="0.25">
      <c r="F128" s="7" t="str">
        <f ca="1">_xlfn.CONCAT("uint16_t ", _xlfn.TEXTAFTER(CELL("filename"),"]"), "_Enemies[] = {")</f>
        <v>uint16_t Level_02_Enemies[] = {</v>
      </c>
    </row>
    <row r="129" spans="6:6" ht="18" customHeight="1" x14ac:dyDescent="0.25">
      <c r="F129" s="7" t="s">
        <v>18</v>
      </c>
    </row>
    <row r="130" spans="6:6" ht="18" customHeight="1" x14ac:dyDescent="0.25">
      <c r="F130" s="7" t="s">
        <v>15</v>
      </c>
    </row>
    <row r="131" spans="6:6" ht="18" customHeight="1" x14ac:dyDescent="0.25">
      <c r="F131" s="7" t="s">
        <v>16</v>
      </c>
    </row>
    <row r="132" spans="6:6" ht="18" customHeight="1" x14ac:dyDescent="0.25">
      <c r="F132" s="7" t="s">
        <v>19</v>
      </c>
    </row>
    <row r="133" spans="6:6" ht="18" customHeight="1" x14ac:dyDescent="0.25">
      <c r="F133" s="7" t="s">
        <v>20</v>
      </c>
    </row>
    <row r="134" spans="6:6" ht="18" customHeight="1" x14ac:dyDescent="0.25">
      <c r="F134" s="7"/>
    </row>
    <row r="135" spans="6:6" ht="18" customHeight="1" x14ac:dyDescent="0.25">
      <c r="F135" s="7" t="s">
        <v>18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16</v>
      </c>
    </row>
    <row r="138" spans="6:6" ht="18" customHeight="1" x14ac:dyDescent="0.25">
      <c r="F138" s="7" t="s">
        <v>19</v>
      </c>
    </row>
    <row r="139" spans="6:6" ht="18" customHeight="1" x14ac:dyDescent="0.25">
      <c r="F139" s="7" t="s">
        <v>20</v>
      </c>
    </row>
    <row r="140" spans="6:6" ht="18" customHeight="1" x14ac:dyDescent="0.25">
      <c r="F140" s="7"/>
    </row>
    <row r="141" spans="6:6" ht="18" customHeight="1" x14ac:dyDescent="0.25">
      <c r="F141" s="7" t="s">
        <v>18</v>
      </c>
    </row>
    <row r="142" spans="6:6" ht="18" customHeight="1" x14ac:dyDescent="0.25">
      <c r="F142" s="7" t="s">
        <v>15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19</v>
      </c>
    </row>
    <row r="145" spans="6:6" ht="18" customHeight="1" x14ac:dyDescent="0.25">
      <c r="F145" s="7" t="s">
        <v>20</v>
      </c>
    </row>
    <row r="146" spans="6:6" ht="18" customHeight="1" x14ac:dyDescent="0.25">
      <c r="F146" s="7"/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16</v>
      </c>
    </row>
    <row r="150" spans="6:6" ht="18" customHeight="1" x14ac:dyDescent="0.25">
      <c r="F150" s="7" t="s">
        <v>19</v>
      </c>
    </row>
    <row r="151" spans="6:6" ht="18" customHeight="1" x14ac:dyDescent="0.25">
      <c r="F151" s="7" t="s">
        <v>20</v>
      </c>
    </row>
    <row r="152" spans="6:6" ht="18" customHeight="1" x14ac:dyDescent="0.25">
      <c r="F152" s="7" t="s">
        <v>12</v>
      </c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3" zoomScale="80" zoomScaleNormal="80" workbookViewId="0">
      <selection activeCell="F16" sqref="F16:F9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205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65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17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12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tr">
        <f ca="1">_xlfn.CONCAT("uint16_t ", _xlfn.TEXTAFTER(CELL("filename"),"]"), "_Enemies[] = {")</f>
        <v>uint16_t Level_02_Enemies[] = {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18</v>
      </c>
    </row>
    <row r="74" spans="6:15" ht="18" customHeight="1" x14ac:dyDescent="0.25">
      <c r="F74" s="7" t="s">
        <v>15</v>
      </c>
    </row>
    <row r="75" spans="6:15" ht="18" customHeight="1" x14ac:dyDescent="0.25">
      <c r="F75" s="8" t="s">
        <v>16</v>
      </c>
    </row>
    <row r="76" spans="6:15" ht="18" customHeight="1" x14ac:dyDescent="0.25">
      <c r="F76" s="8" t="s">
        <v>19</v>
      </c>
    </row>
    <row r="77" spans="6:15" ht="18" customHeight="1" x14ac:dyDescent="0.25">
      <c r="F77" s="7" t="s">
        <v>20</v>
      </c>
    </row>
    <row r="78" spans="6:15" ht="18" customHeight="1" x14ac:dyDescent="0.25">
      <c r="F78" s="7"/>
    </row>
    <row r="79" spans="6:15" ht="18" customHeight="1" x14ac:dyDescent="0.25">
      <c r="F79" s="7" t="s">
        <v>18</v>
      </c>
    </row>
    <row r="80" spans="6:15" ht="18" customHeight="1" x14ac:dyDescent="0.25">
      <c r="F80" s="7" t="s">
        <v>15</v>
      </c>
    </row>
    <row r="81" spans="6:6" ht="18" customHeight="1" x14ac:dyDescent="0.25">
      <c r="F81" s="7" t="s">
        <v>16</v>
      </c>
    </row>
    <row r="82" spans="6:6" ht="18" customHeight="1" x14ac:dyDescent="0.25">
      <c r="F82" s="7" t="s">
        <v>19</v>
      </c>
    </row>
    <row r="83" spans="6:6" ht="18" customHeight="1" x14ac:dyDescent="0.25">
      <c r="F83" s="7" t="s">
        <v>20</v>
      </c>
    </row>
    <row r="84" spans="6:6" ht="18" customHeight="1" x14ac:dyDescent="0.25">
      <c r="F84" s="7"/>
    </row>
    <row r="85" spans="6:6" ht="18" customHeight="1" x14ac:dyDescent="0.25">
      <c r="F85" s="7" t="s">
        <v>18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19</v>
      </c>
    </row>
    <row r="89" spans="6:6" ht="18" customHeight="1" x14ac:dyDescent="0.25">
      <c r="F89" s="7" t="s">
        <v>20</v>
      </c>
    </row>
    <row r="90" spans="6:6" ht="18" customHeight="1" x14ac:dyDescent="0.25">
      <c r="F90" s="7"/>
    </row>
    <row r="91" spans="6:6" ht="18" customHeight="1" x14ac:dyDescent="0.25">
      <c r="F91" s="7" t="s">
        <v>18</v>
      </c>
    </row>
    <row r="92" spans="6:6" ht="18" customHeight="1" x14ac:dyDescent="0.25">
      <c r="F92" s="7" t="s">
        <v>15</v>
      </c>
    </row>
    <row r="93" spans="6:6" ht="18" customHeight="1" x14ac:dyDescent="0.25">
      <c r="F93" s="7" t="s">
        <v>16</v>
      </c>
    </row>
    <row r="94" spans="6:6" ht="18" customHeight="1" x14ac:dyDescent="0.25">
      <c r="F94" s="7" t="s">
        <v>19</v>
      </c>
    </row>
    <row r="95" spans="6:6" ht="18" customHeight="1" x14ac:dyDescent="0.25">
      <c r="F95" s="7" t="s">
        <v>20</v>
      </c>
    </row>
    <row r="96" spans="6:6" ht="18" customHeight="1" x14ac:dyDescent="0.25">
      <c r="F96" s="7" t="s">
        <v>12</v>
      </c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P41" sqref="P4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101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64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103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73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105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80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110</v>
      </c>
    </row>
    <row r="79" spans="6:15" ht="18" customHeight="1" x14ac:dyDescent="0.25">
      <c r="F79" s="7" t="s">
        <v>111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116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110</v>
      </c>
    </row>
    <row r="86" spans="6:6" ht="18" customHeight="1" x14ac:dyDescent="0.25">
      <c r="F86" s="7" t="s">
        <v>89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Level_02_Enemies[] = {</v>
      </c>
    </row>
    <row r="108" spans="6:6" ht="18" customHeight="1" x14ac:dyDescent="0.25">
      <c r="F108" s="7" t="s">
        <v>74</v>
      </c>
    </row>
    <row r="109" spans="6:6" ht="18" customHeight="1" x14ac:dyDescent="0.25">
      <c r="F109" s="7" t="s">
        <v>107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76</v>
      </c>
    </row>
    <row r="112" spans="6:6" ht="18" customHeight="1" x14ac:dyDescent="0.25">
      <c r="F112" s="7" t="s">
        <v>75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 t="str">
        <f ca="1">_xlfn.CONCAT("uint16_t ", _xlfn.TEXTAFTER(CELL("filename"),"]"), "_PlayerStart[] = {")</f>
        <v>uint16_t Level_02_PlayerStart[] = {</v>
      </c>
    </row>
    <row r="134" spans="6:6" ht="18" customHeight="1" x14ac:dyDescent="0.25">
      <c r="F134" s="7" t="str">
        <f>_xlfn.CONCAT($F$11, ",")</f>
        <v>,</v>
      </c>
    </row>
    <row r="135" spans="6:6" ht="18" customHeight="1" x14ac:dyDescent="0.25">
      <c r="F135" s="7" t="str">
        <f>_xlfn.CONCAT($H$11, ",")</f>
        <v>,</v>
      </c>
    </row>
    <row r="136" spans="6:6" ht="18" customHeight="1" x14ac:dyDescent="0.25">
      <c r="F136" s="7" t="str">
        <f>_xlfn.CONCAT($J$11, ",")</f>
        <v>,</v>
      </c>
    </row>
    <row r="137" spans="6:6" ht="18" customHeight="1" x14ac:dyDescent="0.25">
      <c r="F137" s="7" t="s">
        <v>12</v>
      </c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topLeftCell="A4" zoomScale="80" zoomScaleNormal="80" workbookViewId="0">
      <selection activeCell="G12" sqref="G1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Level_06_Items[]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118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112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80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128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112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154</v>
      </c>
    </row>
    <row r="79" spans="6:15" ht="18" customHeight="1" x14ac:dyDescent="0.25">
      <c r="F79" s="7" t="s">
        <v>137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115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87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87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88</v>
      </c>
    </row>
    <row r="100" spans="6:6" ht="18" customHeight="1" x14ac:dyDescent="0.25">
      <c r="F100" s="7" t="s">
        <v>120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Level_02_Enemies[]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4" zoomScale="80" zoomScaleNormal="80" workbookViewId="0">
      <selection activeCell="J14" sqref="J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Level_07_Items[]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156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137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105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98</v>
      </c>
    </row>
    <row r="79" spans="6:15" ht="18" customHeight="1" x14ac:dyDescent="0.25">
      <c r="F79" s="7" t="s">
        <v>121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99</v>
      </c>
    </row>
    <row r="86" spans="6:6" ht="18" customHeight="1" x14ac:dyDescent="0.25">
      <c r="F86" s="7" t="s">
        <v>121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Level_02_Enemies[] = {</v>
      </c>
    </row>
    <row r="101" spans="6:6" ht="18" customHeight="1" x14ac:dyDescent="0.25">
      <c r="F101" s="7" t="s">
        <v>122</v>
      </c>
    </row>
    <row r="102" spans="6:6" ht="18" customHeight="1" x14ac:dyDescent="0.25">
      <c r="F102" s="7" t="s">
        <v>157</v>
      </c>
    </row>
    <row r="103" spans="6:6" ht="18" customHeight="1" x14ac:dyDescent="0.25">
      <c r="F103" s="7" t="s">
        <v>105</v>
      </c>
    </row>
    <row r="104" spans="6:6" ht="18" customHeight="1" x14ac:dyDescent="0.25">
      <c r="F104" s="7" t="s">
        <v>123</v>
      </c>
    </row>
    <row r="105" spans="6:6" ht="18" customHeight="1" x14ac:dyDescent="0.25">
      <c r="F105" s="7" t="s">
        <v>124</v>
      </c>
    </row>
    <row r="106" spans="6:6" ht="18" customHeight="1" x14ac:dyDescent="0.25">
      <c r="F106" s="7"/>
    </row>
    <row r="107" spans="6:6" ht="18" customHeight="1" x14ac:dyDescent="0.25">
      <c r="F107" s="7" t="s">
        <v>74</v>
      </c>
    </row>
    <row r="108" spans="6:6" ht="18" customHeight="1" x14ac:dyDescent="0.25">
      <c r="F108" s="7" t="s">
        <v>158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76</v>
      </c>
    </row>
    <row r="111" spans="6:6" ht="18" customHeight="1" x14ac:dyDescent="0.25">
      <c r="F111" s="7" t="s">
        <v>75</v>
      </c>
    </row>
    <row r="112" spans="6:6" ht="18" customHeight="1" x14ac:dyDescent="0.25">
      <c r="F112" s="7"/>
    </row>
    <row r="113" spans="6:6" ht="18" customHeight="1" x14ac:dyDescent="0.25">
      <c r="F113" s="7" t="s">
        <v>74</v>
      </c>
    </row>
    <row r="114" spans="6:6" ht="18" customHeight="1" x14ac:dyDescent="0.25">
      <c r="F114" s="7" t="s">
        <v>148</v>
      </c>
    </row>
    <row r="115" spans="6:6" ht="18" customHeight="1" x14ac:dyDescent="0.25">
      <c r="F115" s="7" t="s">
        <v>105</v>
      </c>
    </row>
    <row r="116" spans="6:6" ht="18" customHeight="1" x14ac:dyDescent="0.25">
      <c r="F116" s="7" t="s">
        <v>159</v>
      </c>
    </row>
    <row r="117" spans="6:6" ht="18" customHeight="1" x14ac:dyDescent="0.25">
      <c r="F117" s="7" t="s">
        <v>160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topLeftCell="A4" zoomScale="80" zoomScaleNormal="80" workbookViewId="0">
      <selection activeCell="L14" sqref="L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Level_08_Items[]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96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98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136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99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127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71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130</v>
      </c>
    </row>
    <row r="107" spans="6:6" ht="18" customHeight="1" x14ac:dyDescent="0.25">
      <c r="F107" s="7" t="s">
        <v>95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119</v>
      </c>
    </row>
    <row r="114" spans="6:6" ht="18" customHeight="1" x14ac:dyDescent="0.25">
      <c r="F114" s="7" t="s">
        <v>120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61</v>
      </c>
    </row>
    <row r="121" spans="6:6" ht="18" customHeight="1" x14ac:dyDescent="0.25">
      <c r="F121" s="7" t="s">
        <v>137</v>
      </c>
    </row>
    <row r="122" spans="6:6" ht="18" customHeight="1" x14ac:dyDescent="0.25">
      <c r="F122" s="7" t="s">
        <v>78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106</v>
      </c>
    </row>
    <row r="128" spans="6:6" ht="18" customHeight="1" x14ac:dyDescent="0.25">
      <c r="F128" s="7" t="s">
        <v>109</v>
      </c>
    </row>
    <row r="129" spans="6:6" ht="18" customHeight="1" x14ac:dyDescent="0.25">
      <c r="F129" s="7" t="s">
        <v>78</v>
      </c>
    </row>
    <row r="130" spans="6:6" ht="18" customHeight="1" x14ac:dyDescent="0.25">
      <c r="F130" s="7" t="s">
        <v>21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65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17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 t="s">
        <v>12</v>
      </c>
    </row>
    <row r="141" spans="6:6" ht="18" customHeight="1" x14ac:dyDescent="0.25">
      <c r="F141" s="7"/>
    </row>
    <row r="142" spans="6:6" ht="18" customHeight="1" x14ac:dyDescent="0.25">
      <c r="F142" s="7" t="str">
        <f ca="1">_xlfn.CONCAT("uint16_t ", _xlfn.TEXTAFTER(CELL("filename"),"]"), "_Enemies[] = {")</f>
        <v>uint16_t Level_02_Enemies[] = {</v>
      </c>
    </row>
    <row r="143" spans="6:6" ht="18" customHeight="1" x14ac:dyDescent="0.25">
      <c r="F143" s="7" t="s">
        <v>74</v>
      </c>
    </row>
    <row r="144" spans="6:6" ht="18" customHeight="1" x14ac:dyDescent="0.25">
      <c r="F144" s="7" t="s">
        <v>107</v>
      </c>
    </row>
    <row r="145" spans="6:6" ht="18" customHeight="1" x14ac:dyDescent="0.25">
      <c r="F145" s="7" t="s">
        <v>16</v>
      </c>
    </row>
    <row r="146" spans="6:6" ht="18" customHeight="1" x14ac:dyDescent="0.25">
      <c r="F146" s="7" t="s">
        <v>76</v>
      </c>
    </row>
    <row r="147" spans="6:6" ht="18" customHeight="1" x14ac:dyDescent="0.25">
      <c r="F147" s="7" t="s">
        <v>75</v>
      </c>
    </row>
    <row r="148" spans="6:6" ht="18" customHeight="1" x14ac:dyDescent="0.25">
      <c r="F148" s="7"/>
    </row>
    <row r="149" spans="6:6" ht="18" customHeight="1" x14ac:dyDescent="0.25">
      <c r="F149" s="7" t="s">
        <v>18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16</v>
      </c>
    </row>
    <row r="152" spans="6:6" ht="18" customHeight="1" x14ac:dyDescent="0.25">
      <c r="F152" s="7" t="s">
        <v>19</v>
      </c>
    </row>
    <row r="153" spans="6:6" ht="18" customHeight="1" x14ac:dyDescent="0.25">
      <c r="F153" s="7" t="s">
        <v>20</v>
      </c>
    </row>
    <row r="154" spans="6:6" ht="18" customHeight="1" x14ac:dyDescent="0.25">
      <c r="F154" s="7"/>
    </row>
    <row r="155" spans="6:6" ht="18" customHeight="1" x14ac:dyDescent="0.25">
      <c r="F155" s="7" t="s">
        <v>18</v>
      </c>
    </row>
    <row r="156" spans="6:6" ht="18" customHeight="1" x14ac:dyDescent="0.25">
      <c r="F156" s="7" t="s">
        <v>15</v>
      </c>
    </row>
    <row r="157" spans="6:6" ht="18" customHeight="1" x14ac:dyDescent="0.25">
      <c r="F157" s="7" t="s">
        <v>16</v>
      </c>
    </row>
    <row r="158" spans="6:6" ht="18" customHeight="1" x14ac:dyDescent="0.25">
      <c r="F158" s="7" t="s">
        <v>19</v>
      </c>
    </row>
    <row r="159" spans="6:6" ht="18" customHeight="1" x14ac:dyDescent="0.25">
      <c r="F159" s="7" t="s">
        <v>20</v>
      </c>
    </row>
    <row r="160" spans="6:6" ht="18" customHeight="1" x14ac:dyDescent="0.25">
      <c r="F160" s="7"/>
    </row>
    <row r="161" spans="6:6" ht="18" customHeight="1" x14ac:dyDescent="0.25">
      <c r="F161" s="7" t="s">
        <v>18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16</v>
      </c>
    </row>
    <row r="164" spans="6:6" ht="18" customHeight="1" x14ac:dyDescent="0.25">
      <c r="F164" s="7" t="s">
        <v>19</v>
      </c>
    </row>
    <row r="165" spans="6:6" ht="18" customHeight="1" x14ac:dyDescent="0.25">
      <c r="F165" s="7" t="s">
        <v>20</v>
      </c>
    </row>
    <row r="166" spans="6:6" ht="18" customHeight="1" x14ac:dyDescent="0.25">
      <c r="F166" s="7" t="s">
        <v>12</v>
      </c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H14" sqref="H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Level_09_Items[]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141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142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156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161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162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141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95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142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163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105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164</v>
      </c>
    </row>
    <row r="86" spans="6:6" ht="18" customHeight="1" x14ac:dyDescent="0.25">
      <c r="F86" s="7" t="s">
        <v>136</v>
      </c>
    </row>
    <row r="87" spans="6:6" ht="18" customHeight="1" x14ac:dyDescent="0.25">
      <c r="F87" s="7" t="s">
        <v>105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163</v>
      </c>
    </row>
    <row r="93" spans="6:6" ht="18" customHeight="1" x14ac:dyDescent="0.25">
      <c r="F93" s="7" t="s">
        <v>109</v>
      </c>
    </row>
    <row r="94" spans="6:6" ht="18" customHeight="1" x14ac:dyDescent="0.25">
      <c r="F94" s="7" t="s">
        <v>105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164</v>
      </c>
    </row>
    <row r="100" spans="6:6" ht="18" customHeight="1" x14ac:dyDescent="0.25">
      <c r="F100" s="7" t="s">
        <v>109</v>
      </c>
    </row>
    <row r="101" spans="6:6" ht="18" customHeight="1" x14ac:dyDescent="0.25">
      <c r="F101" s="7" t="s">
        <v>105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61</v>
      </c>
    </row>
    <row r="107" spans="6:6" ht="18" customHeight="1" x14ac:dyDescent="0.25">
      <c r="F107" s="7" t="s">
        <v>118</v>
      </c>
    </row>
    <row r="108" spans="6:6" ht="18" customHeight="1" x14ac:dyDescent="0.25">
      <c r="F108" s="7" t="s">
        <v>90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141</v>
      </c>
    </row>
    <row r="114" spans="6:6" ht="18" customHeight="1" x14ac:dyDescent="0.25">
      <c r="F114" s="7" t="s">
        <v>109</v>
      </c>
    </row>
    <row r="115" spans="6:6" ht="18" customHeight="1" x14ac:dyDescent="0.25">
      <c r="F115" s="7" t="s">
        <v>90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142</v>
      </c>
    </row>
    <row r="121" spans="6:6" ht="18" customHeight="1" x14ac:dyDescent="0.25">
      <c r="F121" s="7" t="s">
        <v>109</v>
      </c>
    </row>
    <row r="122" spans="6:6" ht="18" customHeight="1" x14ac:dyDescent="0.25">
      <c r="F122" s="7" t="s">
        <v>90</v>
      </c>
    </row>
    <row r="123" spans="6:6" ht="18" customHeight="1" x14ac:dyDescent="0.25">
      <c r="F123" s="7" t="s">
        <v>63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141</v>
      </c>
    </row>
    <row r="128" spans="6:6" ht="18" customHeight="1" x14ac:dyDescent="0.25">
      <c r="F128" s="7" t="s">
        <v>71</v>
      </c>
    </row>
    <row r="129" spans="6:6" ht="18" customHeight="1" x14ac:dyDescent="0.25">
      <c r="F129" s="7" t="s">
        <v>90</v>
      </c>
    </row>
    <row r="130" spans="6:6" ht="18" customHeight="1" x14ac:dyDescent="0.25">
      <c r="F130" s="7" t="s">
        <v>63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142</v>
      </c>
    </row>
    <row r="135" spans="6:6" ht="18" customHeight="1" x14ac:dyDescent="0.25">
      <c r="F135" s="7" t="s">
        <v>71</v>
      </c>
    </row>
    <row r="136" spans="6:6" ht="18" customHeight="1" x14ac:dyDescent="0.25">
      <c r="F136" s="7" t="s">
        <v>90</v>
      </c>
    </row>
    <row r="137" spans="6:6" ht="18" customHeight="1" x14ac:dyDescent="0.25">
      <c r="F137" s="7" t="s">
        <v>63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/>
    </row>
    <row r="141" spans="6:6" ht="18" customHeight="1" x14ac:dyDescent="0.25">
      <c r="F141" s="7" t="s">
        <v>73</v>
      </c>
    </row>
    <row r="142" spans="6:6" ht="18" customHeight="1" x14ac:dyDescent="0.25">
      <c r="F142" s="7" t="s">
        <v>120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63</v>
      </c>
    </row>
    <row r="145" spans="6:6" ht="18" customHeight="1" x14ac:dyDescent="0.25">
      <c r="F145" s="7" t="s">
        <v>13</v>
      </c>
    </row>
    <row r="146" spans="6:6" ht="18" customHeight="1" x14ac:dyDescent="0.25">
      <c r="F146" s="7" t="s">
        <v>14</v>
      </c>
    </row>
    <row r="147" spans="6:6" ht="18" customHeight="1" x14ac:dyDescent="0.25">
      <c r="F147" s="7"/>
    </row>
    <row r="148" spans="6:6" ht="18" customHeight="1" x14ac:dyDescent="0.25">
      <c r="F148" s="7" t="s">
        <v>73</v>
      </c>
    </row>
    <row r="149" spans="6:6" ht="18" customHeight="1" x14ac:dyDescent="0.25">
      <c r="F149" s="7" t="s">
        <v>104</v>
      </c>
    </row>
    <row r="150" spans="6:6" ht="18" customHeight="1" x14ac:dyDescent="0.25">
      <c r="F150" s="7" t="s">
        <v>102</v>
      </c>
    </row>
    <row r="151" spans="6:6" ht="18" customHeight="1" x14ac:dyDescent="0.25">
      <c r="F151" s="7" t="s">
        <v>63</v>
      </c>
    </row>
    <row r="152" spans="6:6" ht="18" customHeight="1" x14ac:dyDescent="0.25">
      <c r="F152" s="7" t="s">
        <v>13</v>
      </c>
    </row>
    <row r="153" spans="6:6" ht="18" customHeight="1" x14ac:dyDescent="0.25">
      <c r="F153" s="7" t="s">
        <v>14</v>
      </c>
    </row>
    <row r="154" spans="6:6" ht="18" customHeight="1" x14ac:dyDescent="0.25">
      <c r="F154" s="7"/>
    </row>
    <row r="155" spans="6:6" ht="18" customHeight="1" x14ac:dyDescent="0.25">
      <c r="F155" s="7" t="s">
        <v>73</v>
      </c>
    </row>
    <row r="156" spans="6:6" ht="18" customHeight="1" x14ac:dyDescent="0.25">
      <c r="F156" s="7" t="s">
        <v>87</v>
      </c>
    </row>
    <row r="157" spans="6:6" ht="18" customHeight="1" x14ac:dyDescent="0.25">
      <c r="F157" s="7" t="s">
        <v>102</v>
      </c>
    </row>
    <row r="158" spans="6:6" ht="18" customHeight="1" x14ac:dyDescent="0.25">
      <c r="F158" s="7" t="s">
        <v>63</v>
      </c>
    </row>
    <row r="159" spans="6:6" ht="18" customHeight="1" x14ac:dyDescent="0.25">
      <c r="F159" s="7" t="s">
        <v>13</v>
      </c>
    </row>
    <row r="160" spans="6:6" ht="18" customHeight="1" x14ac:dyDescent="0.25">
      <c r="F160" s="7" t="s">
        <v>14</v>
      </c>
    </row>
    <row r="161" spans="6:6" ht="18" customHeight="1" x14ac:dyDescent="0.25">
      <c r="F161" s="7"/>
    </row>
    <row r="162" spans="6:6" ht="18" customHeight="1" x14ac:dyDescent="0.25">
      <c r="F162" s="7" t="s">
        <v>73</v>
      </c>
    </row>
    <row r="163" spans="6:6" ht="18" customHeight="1" x14ac:dyDescent="0.25">
      <c r="F163" s="7" t="s">
        <v>89</v>
      </c>
    </row>
    <row r="164" spans="6:6" ht="18" customHeight="1" x14ac:dyDescent="0.25">
      <c r="F164" s="7" t="s">
        <v>97</v>
      </c>
    </row>
    <row r="165" spans="6:6" ht="18" customHeight="1" x14ac:dyDescent="0.25">
      <c r="F165" s="7" t="s">
        <v>63</v>
      </c>
    </row>
    <row r="166" spans="6:6" ht="18" customHeight="1" x14ac:dyDescent="0.25">
      <c r="F166" s="7" t="s">
        <v>13</v>
      </c>
    </row>
    <row r="167" spans="6:6" ht="18" customHeight="1" x14ac:dyDescent="0.25">
      <c r="F167" s="7" t="s">
        <v>14</v>
      </c>
    </row>
    <row r="168" spans="6:6" ht="18" customHeight="1" x14ac:dyDescent="0.25">
      <c r="F168" s="7"/>
    </row>
    <row r="169" spans="6:6" ht="18" customHeight="1" x14ac:dyDescent="0.25">
      <c r="F169" s="7" t="s">
        <v>65</v>
      </c>
    </row>
    <row r="170" spans="6:6" ht="18" customHeight="1" x14ac:dyDescent="0.25">
      <c r="F170" s="7" t="s">
        <v>15</v>
      </c>
    </row>
    <row r="171" spans="6:6" ht="18" customHeight="1" x14ac:dyDescent="0.25">
      <c r="F171" s="7" t="s">
        <v>16</v>
      </c>
    </row>
    <row r="172" spans="6:6" ht="18" customHeight="1" x14ac:dyDescent="0.25">
      <c r="F172" s="7" t="s">
        <v>17</v>
      </c>
    </row>
    <row r="173" spans="6:6" ht="18" customHeight="1" x14ac:dyDescent="0.25">
      <c r="F173" s="7" t="s">
        <v>13</v>
      </c>
    </row>
    <row r="174" spans="6:6" ht="18" customHeight="1" x14ac:dyDescent="0.25">
      <c r="F174" s="7" t="s">
        <v>14</v>
      </c>
    </row>
    <row r="175" spans="6:6" ht="18" customHeight="1" x14ac:dyDescent="0.25">
      <c r="F175" s="7" t="s">
        <v>12</v>
      </c>
    </row>
    <row r="176" spans="6:6" ht="18" customHeight="1" x14ac:dyDescent="0.25">
      <c r="F176" s="7"/>
    </row>
    <row r="177" spans="6:6" ht="18" customHeight="1" x14ac:dyDescent="0.25">
      <c r="F177" s="7" t="str">
        <f ca="1">_xlfn.CONCAT("uint16_t ", _xlfn.TEXTAFTER(CELL("filename"),"]"), "_Enemies[] = {")</f>
        <v>uint16_t Level_02_Enemies[] = {</v>
      </c>
    </row>
    <row r="178" spans="6:6" ht="18" customHeight="1" x14ac:dyDescent="0.25">
      <c r="F178" s="7" t="s">
        <v>144</v>
      </c>
    </row>
    <row r="179" spans="6:6" ht="18" customHeight="1" x14ac:dyDescent="0.25">
      <c r="F179" s="7" t="s">
        <v>165</v>
      </c>
    </row>
    <row r="180" spans="6:6" ht="18" customHeight="1" x14ac:dyDescent="0.25">
      <c r="F180" s="7" t="s">
        <v>16</v>
      </c>
    </row>
    <row r="181" spans="6:6" ht="18" customHeight="1" x14ac:dyDescent="0.25">
      <c r="F181" s="7" t="s">
        <v>146</v>
      </c>
    </row>
    <row r="182" spans="6:6" ht="18" customHeight="1" x14ac:dyDescent="0.25">
      <c r="F182" s="7" t="s">
        <v>147</v>
      </c>
    </row>
    <row r="183" spans="6:6" ht="18" customHeight="1" x14ac:dyDescent="0.25">
      <c r="F183" s="7"/>
    </row>
    <row r="184" spans="6:6" ht="18" customHeight="1" x14ac:dyDescent="0.25">
      <c r="F184" s="7" t="s">
        <v>122</v>
      </c>
    </row>
    <row r="185" spans="6:6" ht="18" customHeight="1" x14ac:dyDescent="0.25">
      <c r="F185" s="7" t="s">
        <v>125</v>
      </c>
    </row>
    <row r="186" spans="6:6" ht="18" customHeight="1" x14ac:dyDescent="0.25">
      <c r="F186" s="7" t="s">
        <v>16</v>
      </c>
    </row>
    <row r="187" spans="6:6" ht="18" customHeight="1" x14ac:dyDescent="0.25">
      <c r="F187" s="7" t="s">
        <v>123</v>
      </c>
    </row>
    <row r="188" spans="6:6" ht="18" customHeight="1" x14ac:dyDescent="0.25">
      <c r="F188" s="7" t="s">
        <v>124</v>
      </c>
    </row>
    <row r="189" spans="6:6" ht="18" customHeight="1" x14ac:dyDescent="0.25">
      <c r="F189" s="7"/>
    </row>
    <row r="190" spans="6:6" ht="18" customHeight="1" x14ac:dyDescent="0.25">
      <c r="F190" s="7" t="s">
        <v>122</v>
      </c>
    </row>
    <row r="191" spans="6:6" ht="18" customHeight="1" x14ac:dyDescent="0.25">
      <c r="F191" s="7" t="s">
        <v>166</v>
      </c>
    </row>
    <row r="192" spans="6:6" ht="18" customHeight="1" x14ac:dyDescent="0.25">
      <c r="F192" s="7" t="s">
        <v>16</v>
      </c>
    </row>
    <row r="193" spans="6:6" ht="18" customHeight="1" x14ac:dyDescent="0.25">
      <c r="F193" s="7" t="s">
        <v>123</v>
      </c>
    </row>
    <row r="194" spans="6:6" ht="18" customHeight="1" x14ac:dyDescent="0.25">
      <c r="F194" s="7" t="s">
        <v>124</v>
      </c>
    </row>
    <row r="195" spans="6:6" ht="18" customHeight="1" x14ac:dyDescent="0.25">
      <c r="F195" s="7"/>
    </row>
    <row r="196" spans="6:6" ht="18" customHeight="1" x14ac:dyDescent="0.25">
      <c r="F196" s="7" t="s">
        <v>74</v>
      </c>
    </row>
    <row r="197" spans="6:6" ht="18" customHeight="1" x14ac:dyDescent="0.25">
      <c r="F197" s="7" t="s">
        <v>167</v>
      </c>
    </row>
    <row r="198" spans="6:6" ht="18" customHeight="1" x14ac:dyDescent="0.25">
      <c r="F198" s="7" t="s">
        <v>16</v>
      </c>
    </row>
    <row r="199" spans="6:6" ht="18" customHeight="1" x14ac:dyDescent="0.25">
      <c r="F199" s="7" t="s">
        <v>76</v>
      </c>
    </row>
    <row r="200" spans="6:6" ht="18" customHeight="1" x14ac:dyDescent="0.25">
      <c r="F200" s="7" t="s">
        <v>75</v>
      </c>
    </row>
    <row r="201" spans="6:6" ht="18" customHeight="1" x14ac:dyDescent="0.25">
      <c r="F201" s="7"/>
    </row>
    <row r="202" spans="6:6" ht="18" customHeight="1" x14ac:dyDescent="0.25">
      <c r="F202" s="7" t="s">
        <v>144</v>
      </c>
    </row>
    <row r="203" spans="6:6" ht="18" customHeight="1" x14ac:dyDescent="0.25">
      <c r="F203" s="7" t="s">
        <v>168</v>
      </c>
    </row>
    <row r="204" spans="6:6" ht="18" customHeight="1" x14ac:dyDescent="0.25">
      <c r="F204" s="7" t="s">
        <v>16</v>
      </c>
    </row>
    <row r="205" spans="6:6" ht="18" customHeight="1" x14ac:dyDescent="0.25">
      <c r="F205" s="7" t="s">
        <v>146</v>
      </c>
    </row>
    <row r="206" spans="6:6" ht="18" customHeight="1" x14ac:dyDescent="0.25">
      <c r="F206" s="7" t="s">
        <v>147</v>
      </c>
    </row>
    <row r="207" spans="6:6" ht="18" customHeight="1" x14ac:dyDescent="0.25">
      <c r="F207" s="7"/>
    </row>
    <row r="208" spans="6:6" ht="18" customHeight="1" x14ac:dyDescent="0.25">
      <c r="F208" s="7" t="s">
        <v>144</v>
      </c>
    </row>
    <row r="209" spans="6:6" ht="18" customHeight="1" x14ac:dyDescent="0.25">
      <c r="F209" s="7" t="s">
        <v>166</v>
      </c>
    </row>
    <row r="210" spans="6:6" ht="18" customHeight="1" x14ac:dyDescent="0.25">
      <c r="F210" s="7" t="s">
        <v>102</v>
      </c>
    </row>
    <row r="211" spans="6:6" ht="18" customHeight="1" x14ac:dyDescent="0.25">
      <c r="F211" s="7" t="s">
        <v>169</v>
      </c>
    </row>
    <row r="212" spans="6:6" ht="18" customHeight="1" x14ac:dyDescent="0.25">
      <c r="F212" s="7" t="s">
        <v>170</v>
      </c>
    </row>
    <row r="213" spans="6:6" ht="18" customHeight="1" x14ac:dyDescent="0.25">
      <c r="F213" s="7"/>
    </row>
    <row r="214" spans="6:6" ht="18" customHeight="1" x14ac:dyDescent="0.25">
      <c r="F214" s="7" t="s">
        <v>144</v>
      </c>
    </row>
    <row r="215" spans="6:6" ht="18" customHeight="1" x14ac:dyDescent="0.25">
      <c r="F215" s="7" t="s">
        <v>171</v>
      </c>
    </row>
    <row r="216" spans="6:6" ht="18" customHeight="1" x14ac:dyDescent="0.25">
      <c r="F216" s="7" t="s">
        <v>102</v>
      </c>
    </row>
    <row r="217" spans="6:6" ht="18" customHeight="1" x14ac:dyDescent="0.25">
      <c r="F217" s="7" t="s">
        <v>169</v>
      </c>
    </row>
    <row r="218" spans="6:6" ht="18" customHeight="1" x14ac:dyDescent="0.25">
      <c r="F218" s="7" t="s">
        <v>170</v>
      </c>
    </row>
    <row r="219" spans="6:6" ht="18" customHeight="1" x14ac:dyDescent="0.25">
      <c r="F219" s="7"/>
    </row>
    <row r="220" spans="6:6" ht="18" customHeight="1" x14ac:dyDescent="0.25">
      <c r="F220" s="7" t="s">
        <v>74</v>
      </c>
    </row>
    <row r="221" spans="6:6" ht="18" customHeight="1" x14ac:dyDescent="0.25">
      <c r="F221" s="7" t="s">
        <v>172</v>
      </c>
    </row>
    <row r="222" spans="6:6" ht="18" customHeight="1" x14ac:dyDescent="0.25">
      <c r="F222" s="7" t="s">
        <v>102</v>
      </c>
    </row>
    <row r="223" spans="6:6" ht="18" customHeight="1" x14ac:dyDescent="0.25">
      <c r="F223" s="7" t="s">
        <v>159</v>
      </c>
    </row>
    <row r="224" spans="6:6" ht="18" customHeight="1" x14ac:dyDescent="0.25">
      <c r="F224" s="7" t="s">
        <v>160</v>
      </c>
    </row>
    <row r="225" spans="6:6" ht="18" customHeight="1" x14ac:dyDescent="0.25">
      <c r="F225" s="7"/>
    </row>
    <row r="226" spans="6:6" ht="18" customHeight="1" x14ac:dyDescent="0.25">
      <c r="F226" s="7" t="s">
        <v>144</v>
      </c>
    </row>
    <row r="227" spans="6:6" ht="18" customHeight="1" x14ac:dyDescent="0.25">
      <c r="F227" s="7" t="s">
        <v>173</v>
      </c>
    </row>
    <row r="228" spans="6:6" ht="18" customHeight="1" x14ac:dyDescent="0.25">
      <c r="F228" s="7" t="s">
        <v>97</v>
      </c>
    </row>
    <row r="229" spans="6:6" ht="18" customHeight="1" x14ac:dyDescent="0.25">
      <c r="F229" s="7" t="s">
        <v>146</v>
      </c>
    </row>
    <row r="230" spans="6:6" ht="18" customHeight="1" x14ac:dyDescent="0.25">
      <c r="F230" s="7" t="s">
        <v>147</v>
      </c>
    </row>
    <row r="231" spans="6:6" ht="18" customHeight="1" x14ac:dyDescent="0.25">
      <c r="F231" s="7"/>
    </row>
    <row r="232" spans="6:6" ht="18" customHeight="1" x14ac:dyDescent="0.25">
      <c r="F232" s="7" t="s">
        <v>122</v>
      </c>
    </row>
    <row r="233" spans="6:6" ht="18" customHeight="1" x14ac:dyDescent="0.25">
      <c r="F233" s="7" t="s">
        <v>135</v>
      </c>
    </row>
    <row r="234" spans="6:6" ht="18" customHeight="1" x14ac:dyDescent="0.25">
      <c r="F234" s="7" t="s">
        <v>97</v>
      </c>
    </row>
    <row r="235" spans="6:6" ht="18" customHeight="1" x14ac:dyDescent="0.25">
      <c r="F235" s="7" t="s">
        <v>123</v>
      </c>
    </row>
    <row r="236" spans="6:6" ht="18" customHeight="1" x14ac:dyDescent="0.25">
      <c r="F236" s="7" t="s">
        <v>124</v>
      </c>
    </row>
    <row r="237" spans="6:6" ht="18" customHeight="1" x14ac:dyDescent="0.25">
      <c r="F237" s="7"/>
    </row>
    <row r="238" spans="6:6" ht="18" customHeight="1" x14ac:dyDescent="0.25">
      <c r="F238" s="7" t="s">
        <v>74</v>
      </c>
    </row>
    <row r="239" spans="6:6" ht="18" customHeight="1" x14ac:dyDescent="0.25">
      <c r="F239" s="7" t="s">
        <v>172</v>
      </c>
    </row>
    <row r="240" spans="6:6" ht="18" customHeight="1" x14ac:dyDescent="0.25">
      <c r="F240" s="7" t="s">
        <v>97</v>
      </c>
    </row>
    <row r="241" spans="6:6" ht="18" customHeight="1" x14ac:dyDescent="0.25">
      <c r="F241" s="7" t="s">
        <v>76</v>
      </c>
    </row>
    <row r="242" spans="6:6" ht="18" customHeight="1" x14ac:dyDescent="0.25">
      <c r="F242" s="7" t="s">
        <v>75</v>
      </c>
    </row>
    <row r="243" spans="6:6" ht="18" customHeight="1" x14ac:dyDescent="0.25">
      <c r="F243" s="7"/>
    </row>
    <row r="244" spans="6:6" ht="18" customHeight="1" x14ac:dyDescent="0.25">
      <c r="F244" s="7" t="s">
        <v>74</v>
      </c>
    </row>
    <row r="245" spans="6:6" ht="18" customHeight="1" x14ac:dyDescent="0.2">
      <c r="F245" t="s">
        <v>174</v>
      </c>
    </row>
    <row r="246" spans="6:6" ht="18" customHeight="1" x14ac:dyDescent="0.2">
      <c r="F246" t="s">
        <v>97</v>
      </c>
    </row>
    <row r="247" spans="6:6" ht="18" customHeight="1" x14ac:dyDescent="0.2">
      <c r="F247" t="s">
        <v>76</v>
      </c>
    </row>
    <row r="248" spans="6:6" ht="18" customHeight="1" x14ac:dyDescent="0.2">
      <c r="F248" t="s">
        <v>75</v>
      </c>
    </row>
    <row r="249" spans="6:6" ht="18" customHeight="1" x14ac:dyDescent="0.2"/>
    <row r="250" spans="6:6" ht="18" customHeight="1" x14ac:dyDescent="0.2">
      <c r="F250" t="s">
        <v>144</v>
      </c>
    </row>
    <row r="251" spans="6:6" ht="18" customHeight="1" x14ac:dyDescent="0.2">
      <c r="F251" t="s">
        <v>145</v>
      </c>
    </row>
    <row r="252" spans="6:6" ht="18" customHeight="1" x14ac:dyDescent="0.2">
      <c r="F252" t="s">
        <v>97</v>
      </c>
    </row>
    <row r="253" spans="6:6" ht="18" customHeight="1" x14ac:dyDescent="0.2">
      <c r="F253" t="s">
        <v>146</v>
      </c>
    </row>
    <row r="254" spans="6:6" ht="18" customHeight="1" x14ac:dyDescent="0.2">
      <c r="F254" t="s">
        <v>147</v>
      </c>
    </row>
    <row r="255" spans="6:6" ht="18" customHeight="1" x14ac:dyDescent="0.2"/>
    <row r="256" spans="6:6" ht="18" customHeight="1" x14ac:dyDescent="0.2">
      <c r="F256" t="s">
        <v>122</v>
      </c>
    </row>
    <row r="257" spans="6:6" ht="18" customHeight="1" x14ac:dyDescent="0.2">
      <c r="F257" t="s">
        <v>166</v>
      </c>
    </row>
    <row r="258" spans="6:6" ht="18" customHeight="1" x14ac:dyDescent="0.2">
      <c r="F258" t="s">
        <v>97</v>
      </c>
    </row>
    <row r="259" spans="6:6" ht="18" customHeight="1" x14ac:dyDescent="0.2">
      <c r="F259" t="s">
        <v>123</v>
      </c>
    </row>
    <row r="260" spans="6:6" ht="68" customHeight="1" x14ac:dyDescent="0.2">
      <c r="F260" t="s">
        <v>124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BAD4-1268-FE45-8A3B-875670B245F8}">
  <sheetPr codeName="Sheet21"/>
  <dimension ref="C1:AE259"/>
  <sheetViews>
    <sheetView topLeftCell="A4" zoomScale="80" zoomScaleNormal="80" workbookViewId="0">
      <selection activeCell="I15" sqref="I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110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112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130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105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120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120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105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154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120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115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61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65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Level_02_Enemies[]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5896-CB39-1D46-96A1-FC0960F9C255}">
  <sheetPr codeName="Sheet16"/>
  <dimension ref="C1:AE259"/>
  <sheetViews>
    <sheetView zoomScale="80" zoomScaleNormal="80" workbookViewId="0">
      <selection activeCell="F16" sqref="F16:F3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Level_02_Matt[]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Level_02_Matt_Items[]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73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117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141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142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106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91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102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103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103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114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119</v>
      </c>
    </row>
    <row r="107" spans="6:6" ht="18" customHeight="1" x14ac:dyDescent="0.25">
      <c r="F107" s="7" t="s">
        <v>114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Level_02_Enemies[] = {</v>
      </c>
    </row>
    <row r="122" spans="6:6" ht="18" customHeight="1" x14ac:dyDescent="0.25">
      <c r="F122" s="7" t="s">
        <v>74</v>
      </c>
    </row>
    <row r="123" spans="6:6" ht="18" customHeight="1" x14ac:dyDescent="0.25">
      <c r="F123" s="7" t="s">
        <v>143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76</v>
      </c>
    </row>
    <row r="126" spans="6:6" ht="18" customHeight="1" x14ac:dyDescent="0.25">
      <c r="F126" s="7" t="s">
        <v>75</v>
      </c>
    </row>
    <row r="127" spans="6:6" ht="18" customHeight="1" x14ac:dyDescent="0.25">
      <c r="F127" s="7"/>
    </row>
    <row r="128" spans="6:6" ht="18" customHeight="1" x14ac:dyDescent="0.25">
      <c r="F128" s="7" t="s">
        <v>144</v>
      </c>
    </row>
    <row r="129" spans="6:6" ht="18" customHeight="1" x14ac:dyDescent="0.25">
      <c r="F129" s="7" t="s">
        <v>145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146</v>
      </c>
    </row>
    <row r="132" spans="6:6" ht="18" customHeight="1" x14ac:dyDescent="0.25">
      <c r="F132" s="7" t="s">
        <v>147</v>
      </c>
    </row>
    <row r="133" spans="6:6" ht="18" customHeight="1" x14ac:dyDescent="0.25">
      <c r="F133" s="7"/>
    </row>
    <row r="134" spans="6:6" ht="18" customHeight="1" x14ac:dyDescent="0.25">
      <c r="F134" s="7" t="s">
        <v>122</v>
      </c>
    </row>
    <row r="135" spans="6:6" ht="18" customHeight="1" x14ac:dyDescent="0.25">
      <c r="F135" s="7" t="s">
        <v>148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123</v>
      </c>
    </row>
    <row r="138" spans="6:6" ht="18" customHeight="1" x14ac:dyDescent="0.25">
      <c r="F138" s="7" t="s">
        <v>124</v>
      </c>
    </row>
    <row r="139" spans="6:6" ht="18" customHeight="1" x14ac:dyDescent="0.25">
      <c r="F139" s="7"/>
    </row>
    <row r="140" spans="6:6" ht="18" customHeight="1" x14ac:dyDescent="0.25">
      <c r="F140" s="7" t="s">
        <v>74</v>
      </c>
    </row>
    <row r="141" spans="6:6" ht="18" customHeight="1" x14ac:dyDescent="0.25">
      <c r="F141" s="7" t="s">
        <v>149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76</v>
      </c>
    </row>
    <row r="144" spans="6:6" ht="18" customHeight="1" x14ac:dyDescent="0.25">
      <c r="F144" s="7" t="s">
        <v>75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36C5-90F6-4646-ABEA-78DE7FCC352A}">
  <sheetPr codeName="Sheet15"/>
  <dimension ref="C1:AE259"/>
  <sheetViews>
    <sheetView topLeftCell="A5" zoomScale="80" zoomScaleNormal="80" workbookViewId="0">
      <selection activeCell="F16" sqref="F16:F7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Level_02_Jnk[]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Level_02_Jnk_Items[]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141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109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15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17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 t="s">
        <v>12</v>
      </c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tr">
        <f ca="1">_xlfn.CONCAT("uint16_t ", _xlfn.TEXTAFTER(CELL("filename"),"]"), "_Enemies[] = {")</f>
        <v>uint16_t Level_02_Enemies[] = {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144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173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208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 t="s">
        <v>147</v>
      </c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/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16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19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20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20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18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16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19</v>
      </c>
    </row>
    <row r="74" spans="6:15" ht="18" customHeight="1" x14ac:dyDescent="0.25">
      <c r="F74" s="7" t="s">
        <v>20</v>
      </c>
    </row>
    <row r="75" spans="6:15" ht="18" customHeight="1" x14ac:dyDescent="0.25">
      <c r="F75" s="8" t="s">
        <v>12</v>
      </c>
    </row>
    <row r="76" spans="6:15" ht="18" customHeight="1" x14ac:dyDescent="0.25">
      <c r="F76" s="8"/>
    </row>
    <row r="77" spans="6:15" ht="18" customHeight="1" x14ac:dyDescent="0.25">
      <c r="F77" s="7"/>
    </row>
    <row r="78" spans="6:15" ht="18" customHeight="1" x14ac:dyDescent="0.25">
      <c r="F78" s="7"/>
    </row>
    <row r="79" spans="6:15" ht="18" customHeight="1" x14ac:dyDescent="0.25">
      <c r="F79" s="7"/>
    </row>
    <row r="80" spans="6:15" ht="18" customHeight="1" x14ac:dyDescent="0.25">
      <c r="F80" s="7"/>
    </row>
    <row r="81" spans="6:6" ht="18" customHeight="1" x14ac:dyDescent="0.25">
      <c r="F81" s="7"/>
    </row>
    <row r="82" spans="6:6" ht="18" customHeight="1" x14ac:dyDescent="0.25">
      <c r="F82" s="7"/>
    </row>
    <row r="83" spans="6:6" ht="18" customHeight="1" x14ac:dyDescent="0.25">
      <c r="F83" s="7"/>
    </row>
    <row r="84" spans="6:6" ht="18" customHeight="1" x14ac:dyDescent="0.25">
      <c r="F84" s="7"/>
    </row>
    <row r="85" spans="6:6" ht="18" customHeight="1" x14ac:dyDescent="0.25">
      <c r="F85" s="7"/>
    </row>
    <row r="86" spans="6:6" ht="18" customHeight="1" x14ac:dyDescent="0.25">
      <c r="F86" s="7"/>
    </row>
    <row r="87" spans="6:6" ht="18" customHeight="1" x14ac:dyDescent="0.25">
      <c r="F87" s="7"/>
    </row>
    <row r="88" spans="6:6" ht="18" customHeight="1" x14ac:dyDescent="0.25">
      <c r="F88" s="7"/>
    </row>
    <row r="89" spans="6:6" ht="18" customHeight="1" x14ac:dyDescent="0.25">
      <c r="F89" s="7"/>
    </row>
    <row r="90" spans="6:6" ht="18" customHeight="1" x14ac:dyDescent="0.25">
      <c r="F90" s="7"/>
    </row>
    <row r="91" spans="6:6" ht="18" customHeight="1" x14ac:dyDescent="0.25">
      <c r="F91" s="7"/>
    </row>
    <row r="92" spans="6:6" ht="18" customHeight="1" x14ac:dyDescent="0.25">
      <c r="F92" s="7"/>
    </row>
    <row r="93" spans="6:6" ht="18" customHeight="1" x14ac:dyDescent="0.25">
      <c r="F93" s="7"/>
    </row>
    <row r="94" spans="6:6" ht="18" customHeight="1" x14ac:dyDescent="0.25">
      <c r="F94" s="7"/>
    </row>
    <row r="95" spans="6:6" ht="18" customHeight="1" x14ac:dyDescent="0.25">
      <c r="F95" s="7"/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BAAB-2E1A-6E46-9443-B9A07B0E4A71}">
  <sheetPr codeName="Sheet22"/>
  <dimension ref="C1:AE259"/>
  <sheetViews>
    <sheetView topLeftCell="A3" zoomScale="80" zoomScaleNormal="80" workbookViewId="0">
      <selection activeCell="F16" sqref="F16:F13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Level_01_Bkp[]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64,64, 74,74, 74,74, 74,74, 62,62, 72,72,  0, 0,  0, 0, 64,64, 74,74, 74,74, 74,74, 62,62, 72,72,  8, 8,},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64,64, 74,74, 74,74, 74,74, 62,62, 72,72,  0, 0,  0, 0, 64,64, 74,74, 74,74, 74,74, 62,62, 72,72, 12,12,},</v>
      </c>
    </row>
    <row r="19" spans="6:6" ht="18" customHeight="1" x14ac:dyDescent="0.25">
      <c r="F19" s="7" t="str">
        <f>_xlfn.CONCAT("{",_xlfn.TEXTJOIN(" ",FALSE,Hidden!F26:AD26),"},")</f>
        <v>{ 0, 0,  0,22, 62,62, 72,72,  9, 0,  0, 0,  0, 0,  0, 0, 63,63, 73,73, 73,73,  0, 0,  0, 0,  0, 0,  0, 0,  0, 0,  0, 0,  0, 0,  0, 0,  0, 0,  0, 0,  0, 0,  0, 0,  0, 0, 12,12,},</v>
      </c>
    </row>
    <row r="20" spans="6:6" ht="18" customHeight="1" x14ac:dyDescent="0.25">
      <c r="F20" s="7" t="str">
        <f>_xlfn.CONCAT("{",_xlfn.TEXTJOIN(" ",FALSE,Hidden!F27:AD27),"},")</f>
        <v>{ 0, 0, 22, 2, 62,62, 72,72,  2,11,  0, 0,  0, 0,  0, 0, 63,63, 73,73, 73,73,  0, 0,  0, 0,  0, 0,  0, 0,  0, 0,  0, 0,  0, 0,  0, 0,  0, 0,  0, 0,  0, 0,  0, 0,  0, 0, 12,12,},</v>
      </c>
    </row>
    <row r="21" spans="6:6" ht="18" customHeight="1" x14ac:dyDescent="0.25">
      <c r="F21" s="7" t="str">
        <f>_xlfn.CONCAT("{",_xlfn.TEXTJOIN(" ",FALSE,Hidden!F28:AD28),"},")</f>
        <v>{ 0, 0,  0, 0,  0, 0,  8, 8,  1, 1,  9, 0,  0, 0,  0, 0, 34,35,  0, 0, 34,35,  0, 0,  0, 0,  1, 1,  0, 0,  0, 0,  0, 0,  0, 0,  0, 0,  0, 0,  0, 0,  0, 0,  0,22,  1, 1, 12,12,},</v>
      </c>
    </row>
    <row r="22" spans="6:6" ht="18" customHeight="1" x14ac:dyDescent="0.25">
      <c r="F22" s="7" t="str">
        <f>_xlfn.CONCAT("{",_xlfn.TEXTJOIN(" ",FALSE,Hidden!F29:AD29),"},")</f>
        <v>{ 0, 0,  0, 0,  0, 0, 12,12,  2, 2,  2,11,  0, 0,  0, 0, 34,35,  0, 0, 34,35,  0, 0,  1, 1,  2, 2,  1, 1,  0, 0,  0, 0,  0, 0,  0, 0,  0, 0,  0, 0,  0, 0, 22, 2,  2, 2, 12,12,},</v>
      </c>
    </row>
    <row r="23" spans="6:6" ht="18" customHeight="1" x14ac:dyDescent="0.25">
      <c r="F23" s="7" t="str">
        <f>_xlfn.CONCAT("{",_xlfn.TEXTJOIN(" ",FALSE,Hidden!F30:AD30),"},")</f>
        <v>{63,63, 73,73, 73,73, 12,12,  0, 0, 64,64, 74,74, 74,74, 74,74, 64,64, 74,74, 74,74, 74,74, 63,63, 73,73, 73,73,  0, 0,  0, 0,  0, 0, 64,64, 74,74, 74,74, 74,74,  1, 1, 12,12,},</v>
      </c>
    </row>
    <row r="24" spans="6:6" ht="18" customHeight="1" x14ac:dyDescent="0.25">
      <c r="F24" s="7" t="str">
        <f>_xlfn.CONCAT("{",_xlfn.TEXTJOIN(" ",FALSE,Hidden!F31:AD31),"},")</f>
        <v>{63,63, 73,73, 73,73, 12,12,  0, 0, 64,64, 74,74, 74,74, 74,74, 64,64, 74,74, 74,74, 74,74, 63,63, 73,73, 73,73, 39,39, 38,38, 40,40, 64,64, 74,74, 74,74, 74,74,  2, 2, 12,12,},</v>
      </c>
    </row>
    <row r="25" spans="6:6" ht="18" customHeight="1" x14ac:dyDescent="0.25">
      <c r="F25" s="7" t="str">
        <f>_xlfn.CONCAT("{",_xlfn.TEXTJOIN(" ",FALSE,Hidden!F32:AD32),"},")</f>
        <v>{ 0, 0,  0, 0,  0, 0, 12,12,  0, 0,  1, 1,  0, 0,  0, 0,  0, 0, 33,33,  0, 0,  0, 0,  0, 0,  0, 0,  0, 0, 64,64, 74,74, 74,74, 74,74,  1, 1,  0, 0,  0, 0,  0, 0,  0, 0, 12,12,},</v>
      </c>
    </row>
    <row r="26" spans="6:6" ht="18" customHeight="1" x14ac:dyDescent="0.25">
      <c r="F26" s="7" t="str">
        <f>_xlfn.CONCAT("{",_xlfn.TEXTJOIN(" ",FALSE,Hidden!F33:AD33),"},")</f>
        <v>{ 0, 0,  0, 0,  0, 0, 12,12,  0, 0,  2, 2,  0, 0,  0, 0,  0, 0, 31,31,  0, 0,  0, 0,  0, 0,  0, 0,  0, 0, 64,64, 74,74, 74,74, 74,74,  2, 2,  0, 0,  0, 0,  0, 0,  0, 0, 12,12,},</v>
      </c>
    </row>
    <row r="27" spans="6:6" ht="18" customHeight="1" x14ac:dyDescent="0.25">
      <c r="F27" s="7" t="str">
        <f>_xlfn.CONCAT("{",_xlfn.TEXTJOIN(" ",FALSE,Hidden!F34:AD34),"},")</f>
        <v>{ 0, 0,  0, 0,  0, 0, 12,12,  0, 0,  1, 1,  0, 0,  0, 0,  1, 1, 31,31,  1, 1,  0, 0,  0, 0,  0, 0,  0, 0,  0, 0,  0, 0,  0, 0,  0, 0,  0, 0,  0, 0, 63,63, 73,73, 73,73, 12,12,},</v>
      </c>
    </row>
    <row r="28" spans="6:6" ht="18" customHeight="1" x14ac:dyDescent="0.25">
      <c r="F28" s="7" t="str">
        <f>_xlfn.CONCAT("{",_xlfn.TEXTJOIN(" ",FALSE,Hidden!F35:AD35),"},")</f>
        <v>{ 0, 0, 23,23,  0, 0,  7, 7,  0, 0,  2, 2,  0, 0,  0, 0,  2, 2, 31,31,  2, 2,  0, 0,  0, 0,  0, 0,  0, 0,  0, 0,  0, 0,  0, 0,  0, 0,  0, 0,  0, 0, 63,63, 73,73, 73,73, 12,12,},</v>
      </c>
    </row>
    <row r="29" spans="6:6" ht="18" customHeight="1" x14ac:dyDescent="0.25">
      <c r="F29" s="7" t="str">
        <f>_xlfn.CONCAT("{",_xlfn.TEXTJOIN(" ",FALSE,Hidden!F36:AD36),"},")</f>
        <v>{64,64, 74,74, 74,74, 74,74, 62,62, 72,72,  0, 0,  0, 0,  0, 0, 31,31,  0, 0,  0, 0,  0, 0,  0, 0,  0, 0,  0, 0,  0, 0,  0, 0,  0, 0,  0, 0,  0, 0,  0, 0,  0, 0,  0, 0, 12,12,},</v>
      </c>
    </row>
    <row r="30" spans="6:6" ht="18" customHeight="1" x14ac:dyDescent="0.25">
      <c r="F30" s="7" t="str">
        <f>_xlfn.CONCAT("{",_xlfn.TEXTJOIN(" ",FALSE,Hidden!F37:AD37),"},")</f>
        <v>{64,64, 74,74, 74,74, 74,74, 62,62, 72,72,  0, 0,  0, 0,  0, 0, 31,31,  0, 0,  0, 0,  0, 0,  0, 0,  0, 0,  0, 0,  0, 0,  0, 0,  0, 0,  0, 0,  0, 0,  0, 0,  0, 0,  0, 0, 12,12,},</v>
      </c>
    </row>
    <row r="31" spans="6:6" ht="18" customHeight="1" x14ac:dyDescent="0.25">
      <c r="F31" s="7" t="str">
        <f>_xlfn.CONCAT("{",_xlfn.TEXTJOIN(" ",FALSE,Hidden!F38:AD38),"},")</f>
        <v>{ 0, 0,  0, 0, 48,48,  0, 0,  0, 0, 48,48,  0, 0, 46,46,  0, 0, 31,31,  0, 0,  0, 0,  0, 0,  0, 0, 48,48,  0, 0,  0, 0,  0, 0, 48,48,  0, 0,  0, 0,  0, 0,  0, 0,  0, 0, 12,12,},</v>
      </c>
    </row>
    <row r="32" spans="6:6" ht="18" customHeight="1" x14ac:dyDescent="0.25">
      <c r="F32" s="7" t="str">
        <f>_xlfn.CONCAT("{",_xlfn.TEXTJOIN(" ",FALSE,Hidden!F39:AD39),"},")</f>
        <v>{ 0, 0,  0, 0, 48,48,  0, 0,  0, 0, 48,48,  0, 0, 46,46,  0, 0, 32,32,  0, 0,  0, 0,  0, 0,  0, 0, 48,48,  0, 0,  0, 0,  0, 0, 48,48,  0, 0,  0, 0,  0, 0,  0, 0,  0, 0,  7, 7,},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Level_01_Bkp_Items[]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136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89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196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133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70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196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77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110</v>
      </c>
    </row>
    <row r="79" spans="6:15" ht="18" customHeight="1" x14ac:dyDescent="0.25">
      <c r="F79" s="7" t="s">
        <v>162</v>
      </c>
    </row>
    <row r="80" spans="6:15" ht="18" customHeight="1" x14ac:dyDescent="0.25">
      <c r="F80" s="7" t="s">
        <v>72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116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110</v>
      </c>
    </row>
    <row r="86" spans="6:6" ht="18" customHeight="1" x14ac:dyDescent="0.25">
      <c r="F86" s="7" t="s">
        <v>120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119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78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Level_02_Enemies[] = {</v>
      </c>
    </row>
    <row r="108" spans="6:6" ht="18" customHeight="1" x14ac:dyDescent="0.25">
      <c r="F108" s="7" t="s">
        <v>18</v>
      </c>
    </row>
    <row r="109" spans="6:6" ht="18" customHeight="1" x14ac:dyDescent="0.25">
      <c r="F109" s="7" t="s">
        <v>15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19</v>
      </c>
    </row>
    <row r="112" spans="6:6" ht="18" customHeight="1" x14ac:dyDescent="0.25">
      <c r="F112" s="7" t="s">
        <v>20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22</v>
      </c>
      <c r="C1" t="s">
        <v>23</v>
      </c>
      <c r="D1" t="s">
        <v>24</v>
      </c>
      <c r="F1" t="s">
        <v>22</v>
      </c>
      <c r="G1" t="s">
        <v>23</v>
      </c>
      <c r="H1" t="s">
        <v>24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26</v>
      </c>
      <c r="V14" t="s">
        <v>27</v>
      </c>
      <c r="Y14" t="s">
        <v>28</v>
      </c>
      <c r="AC14" t="s">
        <v>29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25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25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25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25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25</v>
      </c>
      <c r="O38" s="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25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25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25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25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25</v>
      </c>
      <c r="O74" s="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62</v>
      </c>
    </row>
    <row r="100" spans="1:11" x14ac:dyDescent="0.2">
      <c r="C100" t="s">
        <v>23</v>
      </c>
      <c r="D100" t="s">
        <v>24</v>
      </c>
      <c r="G100" t="s">
        <v>23</v>
      </c>
      <c r="H100" t="s">
        <v>24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30</v>
      </c>
    </row>
    <row r="27" spans="8:8" x14ac:dyDescent="0.2">
      <c r="H27" t="s">
        <v>31</v>
      </c>
    </row>
    <row r="28" spans="8:8" x14ac:dyDescent="0.2">
      <c r="H28" t="s">
        <v>32</v>
      </c>
    </row>
    <row r="29" spans="8:8" x14ac:dyDescent="0.2">
      <c r="H29" t="s">
        <v>33</v>
      </c>
    </row>
    <row r="31" spans="8:8" x14ac:dyDescent="0.2">
      <c r="H31" t="s">
        <v>34</v>
      </c>
    </row>
    <row r="32" spans="8:8" x14ac:dyDescent="0.2">
      <c r="H32" t="s">
        <v>35</v>
      </c>
    </row>
    <row r="33" spans="8:10" x14ac:dyDescent="0.2">
      <c r="H33" t="s">
        <v>36</v>
      </c>
    </row>
    <row r="34" spans="8:10" x14ac:dyDescent="0.2">
      <c r="H34" t="s">
        <v>37</v>
      </c>
    </row>
    <row r="36" spans="8:10" x14ac:dyDescent="0.2">
      <c r="H36" t="s">
        <v>38</v>
      </c>
    </row>
    <row r="37" spans="8:10" x14ac:dyDescent="0.2">
      <c r="H37" t="s">
        <v>39</v>
      </c>
    </row>
    <row r="38" spans="8:10" x14ac:dyDescent="0.2">
      <c r="H38" t="s">
        <v>40</v>
      </c>
    </row>
    <row r="39" spans="8:10" x14ac:dyDescent="0.2">
      <c r="H39" t="s">
        <v>41</v>
      </c>
    </row>
    <row r="40" spans="8:10" x14ac:dyDescent="0.2">
      <c r="H40" t="s">
        <v>42</v>
      </c>
    </row>
    <row r="41" spans="8:10" x14ac:dyDescent="0.2">
      <c r="H41" t="s">
        <v>43</v>
      </c>
    </row>
    <row r="42" spans="8:10" x14ac:dyDescent="0.2">
      <c r="H42" t="s">
        <v>44</v>
      </c>
    </row>
    <row r="44" spans="8:10" x14ac:dyDescent="0.2">
      <c r="H44" t="s">
        <v>45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46</v>
      </c>
      <c r="H51" t="s">
        <v>47</v>
      </c>
      <c r="I51" t="s">
        <v>48</v>
      </c>
      <c r="J51" t="s">
        <v>49</v>
      </c>
      <c r="K51" t="s">
        <v>50</v>
      </c>
      <c r="L51" t="s">
        <v>51</v>
      </c>
      <c r="M51" t="s">
        <v>52</v>
      </c>
      <c r="N51" t="s">
        <v>53</v>
      </c>
      <c r="O51" t="s">
        <v>54</v>
      </c>
      <c r="P51" t="s">
        <v>55</v>
      </c>
      <c r="Q51" t="s">
        <v>56</v>
      </c>
      <c r="R51" t="s">
        <v>57</v>
      </c>
      <c r="S51" t="s">
        <v>58</v>
      </c>
      <c r="T51" t="s">
        <v>59</v>
      </c>
      <c r="V51" t="s">
        <v>60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Hidden</vt:lpstr>
      <vt:lpstr>Level_00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Level_02_Matt</vt:lpstr>
      <vt:lpstr>Level_02_Jnk</vt:lpstr>
      <vt:lpstr>Level_01_Bkp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2025-02-10T20:57:32Z</dcterms:modified>
</cp:coreProperties>
</file>